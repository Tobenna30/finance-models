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Curve" sheetId="3" state="visible" r:id="rId5"/>
    <sheet name="Pricing" sheetId="4" state="visible" r:id="rId6"/>
    <sheet name="Scenarios" sheetId="5" state="visible" r:id="rId7"/>
    <sheet name="Sensitivity" sheetId="6" state="visible" r:id="rId8"/>
    <sheet name="Sourc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<sst xmlns="http://schemas.openxmlformats.org/spreadsheetml/2006/main" count="179" uniqueCount="152">
  <si>
    <t xml:space="preserve">Sterling receiver options | Project 12</t>
  </si>
  <si>
    <t xml:space="preserve">Independent research | Synthetic SONIA receiver comparison. No executable swaption quote or post-Budget curve is supplied. Model values are not trade recommendations.</t>
  </si>
  <si>
    <t xml:space="preserve">Input state</t>
  </si>
  <si>
    <t xml:space="preserve">Curve date</t>
  </si>
  <si>
    <t xml:space="preserve">Forward swap rate</t>
  </si>
  <si>
    <t xml:space="preserve">Discount annuity</t>
  </si>
  <si>
    <t xml:space="preserve">PV01 (£/bp)</t>
  </si>
  <si>
    <t xml:space="preserve">Outright premium (rate bp)</t>
  </si>
  <si>
    <t xml:space="preserve">Spread premium (rate bp)</t>
  </si>
  <si>
    <t xml:space="preserve">Spread maximum loss incl costs</t>
  </si>
  <si>
    <t xml:space="preserve">Spread maximum profit incl costs</t>
  </si>
  <si>
    <t xml:space="preserve">Spread break-even rally (bp)</t>
  </si>
  <si>
    <t xml:space="preserve">Outright wins beyond rally (bp)</t>
  </si>
  <si>
    <t xml:space="preserve">Selected rate shift (bp)</t>
  </si>
  <si>
    <t xml:space="preserve">Linear receiver P&amp;L</t>
  </si>
  <si>
    <t xml:space="preserve">Outright receiver P&amp;L</t>
  </si>
  <si>
    <t xml:space="preserve">Receiver spread P&amp;L</t>
  </si>
  <si>
    <t xml:space="preserve">Structure state</t>
  </si>
  <si>
    <t xml:space="preserve">Compare same notional, not equal delta or risk. Expiry P&amp;L is present-value-equivalent with frozen initial annuity. Costs are an assumed all-in rate-bp allowance per strategy. No probability-weighted return, collateral, calendar or early-exit valuation.</t>
  </si>
  <si>
    <t xml:space="preserve">Research call: pass an unconditional cash steepener. A bounded-rally view may favour a receiver spread, subject to premium, skew and costs. Larger rallies favour the outright receiver. Current data do not establish option cheapness.</t>
  </si>
  <si>
    <t xml:space="preserve">Project 12 | Inputs</t>
  </si>
  <si>
    <t xml:space="preserve">Blue = editable | S sourced, A assumption, D derived</t>
  </si>
  <si>
    <t xml:space="preserve">Input</t>
  </si>
  <si>
    <t xml:space="preserve">Value</t>
  </si>
  <si>
    <t xml:space="preserve">Tag</t>
  </si>
  <si>
    <t xml:space="preserve">Meaning / units</t>
  </si>
  <si>
    <t xml:space="preserve">Notional (£)</t>
  </si>
  <si>
    <t xml:space="preserve">A</t>
  </si>
  <si>
    <t xml:space="preserve">Illustrative sizing, not a proposed allocation</t>
  </si>
  <si>
    <t xml:space="preserve">expiry</t>
  </si>
  <si>
    <t xml:space="preserve">Synthetic quarter-year option expiry</t>
  </si>
  <si>
    <t xml:space="preserve">tenor</t>
  </si>
  <si>
    <t xml:space="preserve">Annual fixed payments; whole years, 1 to 10</t>
  </si>
  <si>
    <t xml:space="preserve">width_bp</t>
  </si>
  <si>
    <t xml:space="preserve">Sold receiver strike 25bp below ATM</t>
  </si>
  <si>
    <t xml:space="preserve">long_vol_bp</t>
  </si>
  <si>
    <t xml:space="preserve">Sensitivity assumption, not an observed option quote</t>
  </si>
  <si>
    <t xml:space="preserve">short_vol_bp</t>
  </si>
  <si>
    <t xml:space="preserve">Separate input permits skew sensitivity</t>
  </si>
  <si>
    <t xml:space="preserve">cost_bp</t>
  </si>
  <si>
    <t xml:space="preserve">All-in incremental cost per strategy, rate bp; replace with quote-based costs</t>
  </si>
  <si>
    <t xml:space="preserve">forward_mode</t>
  </si>
  <si>
    <t xml:space="preserve">0 curve-derived; 1 dealer forward</t>
  </si>
  <si>
    <t xml:space="preserve">dealer_forward</t>
  </si>
  <si>
    <t xml:space="preserve">S</t>
  </si>
  <si>
    <t xml:space="preserve">Enter decimal forward for the same underlying schedule</t>
  </si>
  <si>
    <t xml:space="preserve">vol_mode</t>
  </si>
  <si>
    <t xml:space="preserve">0 assumed; 1 dealer strike-specific normal vols</t>
  </si>
  <si>
    <t xml:space="preserve">dealer_long_vol_bp</t>
  </si>
  <si>
    <t xml:space="preserve">Missing; no public executable quote found</t>
  </si>
  <si>
    <t xml:space="preserve">dealer_short_vol_bp</t>
  </si>
  <si>
    <t xml:space="preserve">quote_time</t>
  </si>
  <si>
    <t xml:space="preserve">Missing; timestamp and timezone required for dealer mode</t>
  </si>
  <si>
    <t xml:space="preserve">quote_source</t>
  </si>
  <si>
    <t xml:space="preserve">Missing; source and quote side required for dealer mode</t>
  </si>
  <si>
    <t xml:space="preserve">curve_shock_bp</t>
  </si>
  <si>
    <t xml:space="preserve">Parallel shock to all OIS zero rates</t>
  </si>
  <si>
    <t xml:space="preserve">scenario_shift_bp</t>
  </si>
  <si>
    <t xml:space="preserve">Expiry shift relative to selected forward, not a forecast</t>
  </si>
  <si>
    <t xml:space="preserve">2026-10-27</t>
  </si>
  <si>
    <t xml:space="preserve">Default volatilities and costs are assumptions. Quote cells are blank. Mode 1 requires source and timestamp; missing data blocks valuation. Dealer mode does not establish an executable or attractive trade.</t>
  </si>
  <si>
    <t xml:space="preserve">Project 12 | Curve</t>
  </si>
  <si>
    <t xml:space="preserve">Years</t>
  </si>
  <si>
    <t xml:space="preserve">Zero rate (% continuous)</t>
  </si>
  <si>
    <t xml:space="preserve">S | BoE fitted OIS zero curve; percent continuous. Linear interpolation. No extrapolation. Source URL, retrieval date and hash are in Sources and data/curves.json.</t>
  </si>
  <si>
    <t xml:space="preserve">Project 12 | Pricing</t>
  </si>
  <si>
    <t xml:space="preserve">Basic inputs valid</t>
  </si>
  <si>
    <t xml:space="preserve">Dealer fields valid</t>
  </si>
  <si>
    <t xml:space="preserve">Cash flow</t>
  </si>
  <si>
    <t xml:space="preserve">Time</t>
  </si>
  <si>
    <t xml:space="preserve">Index</t>
  </si>
  <si>
    <t xml:space="preserve">Lower t</t>
  </si>
  <si>
    <t xml:space="preserve">Upper t</t>
  </si>
  <si>
    <t xml:space="preserve">Lower z %</t>
  </si>
  <si>
    <t xml:space="preserve">Upper z %</t>
  </si>
  <si>
    <t xml:space="preserve">Zero %</t>
  </si>
  <si>
    <t xml:space="preserve">DF</t>
  </si>
  <si>
    <t xml:space="preserve">Alpha</t>
  </si>
  <si>
    <t xml:space="preserve">DF x alpha</t>
  </si>
  <si>
    <t xml:space="preserve">Option expiry</t>
  </si>
  <si>
    <t xml:space="preserve">Payment 1</t>
  </si>
  <si>
    <t xml:space="preserve">Payment 2</t>
  </si>
  <si>
    <t xml:space="preserve">Payment 3</t>
  </si>
  <si>
    <t xml:space="preserve">Payment 4</t>
  </si>
  <si>
    <t xml:space="preserve">Payment 5</t>
  </si>
  <si>
    <t xml:space="preserve">Payment 6</t>
  </si>
  <si>
    <t xml:space="preserve">Payment 7</t>
  </si>
  <si>
    <t xml:space="preserve">Payment 8</t>
  </si>
  <si>
    <t xml:space="preserve">Payment 9</t>
  </si>
  <si>
    <t xml:space="preserve">Payment 10</t>
  </si>
  <si>
    <t xml:space="preserve">Underlying maturity</t>
  </si>
  <si>
    <t xml:space="preserve">Curve forward</t>
  </si>
  <si>
    <t xml:space="preserve">Synthetic annual-pay swap. Dealer forward must reference the same underlying. Annuity is curve-derived even in dealer mode. Zero-vol kink delta uses half-delta convention. A negative vertical value flags inconsistent strike vols, not an arbitrage trade.</t>
  </si>
  <si>
    <t xml:space="preserve">PV01 (£ per bp)</t>
  </si>
  <si>
    <t xml:space="preserve">Selected forward</t>
  </si>
  <si>
    <t xml:space="preserve">Long normal vol (bp)</t>
  </si>
  <si>
    <t xml:space="preserve">Short normal vol (bp)</t>
  </si>
  <si>
    <t xml:space="preserve">Long strike</t>
  </si>
  <si>
    <t xml:space="preserve">Short strike</t>
  </si>
  <si>
    <t xml:space="preserve">Long rate std dev</t>
  </si>
  <si>
    <t xml:space="preserve">Short rate std dev</t>
  </si>
  <si>
    <t xml:space="preserve">Long d</t>
  </si>
  <si>
    <t xml:space="preserve">Short d</t>
  </si>
  <si>
    <t xml:space="preserve">Long receiver value (rate)</t>
  </si>
  <si>
    <t xml:space="preserve">Sold receiver value (rate)</t>
  </si>
  <si>
    <t xml:space="preserve">Spread value (rate)</t>
  </si>
  <si>
    <t xml:space="preserve">Vertical bounds valid</t>
  </si>
  <si>
    <t xml:space="preserve">Outright delta (£ / rate bp)</t>
  </si>
  <si>
    <t xml:space="preserve">Spread delta (£ / rate bp)</t>
  </si>
  <si>
    <t xml:space="preserve">Outright vega (£ / norm bp)</t>
  </si>
  <si>
    <t xml:space="preserve">Spread parallel vega</t>
  </si>
  <si>
    <t xml:space="preserve">Project 12 | Scenarios</t>
  </si>
  <si>
    <t xml:space="preserve">Rate shift (bp)</t>
  </si>
  <si>
    <t xml:space="preserve">Linear £</t>
  </si>
  <si>
    <t xml:space="preserve">Outright £</t>
  </si>
  <si>
    <t xml:space="preserve">Spread £</t>
  </si>
  <si>
    <t xml:space="preserve">Spread - outright £</t>
  </si>
  <si>
    <t xml:space="preserve">Rate shifts are scenarios, not forecasts. Premium deducted once; frozen-annuity PV-equivalent outputs. A linear swap has uncapped loss; receiver spread loss is capped at debit only when vertical bounds are valid.</t>
  </si>
  <si>
    <t xml:space="preserve">Project 12 | Sensitivity</t>
  </si>
  <si>
    <t xml:space="preserve">Flat normal vol (bp)</t>
  </si>
  <si>
    <t xml:space="preserve">ATM cost bp</t>
  </si>
  <si>
    <t xml:space="preserve">OTM cost bp</t>
  </si>
  <si>
    <t xml:space="preserve">Spread cost bp</t>
  </si>
  <si>
    <t xml:space="preserve">Max net gain bp</t>
  </si>
  <si>
    <t xml:space="preserve">Crossover rally bp</t>
  </si>
  <si>
    <t xml:space="preserve">Sensitivity grid assumes the same vol for both strikes. Active pricing permits different long/short vols on Inputs. No calibration or observed market vol is claimed.</t>
  </si>
  <si>
    <t xml:space="preserve">Project 12 | Sources</t>
  </si>
  <si>
    <t xml:space="preserve">Source</t>
  </si>
  <si>
    <t xml:space="preserve">Data date</t>
  </si>
  <si>
    <t xml:space="preserve">URL</t>
  </si>
  <si>
    <t xml:space="preserve">Use / limitation</t>
  </si>
  <si>
    <t xml:space="preserve">BoE OIS continuous zero curve</t>
  </si>
  <si>
    <t xml:space="preserve">https://www.bankofengland.co.uk/-/media/boe/files/statistics/yield-curves/latest-yield-curve-data.zip?download=1</t>
  </si>
  <si>
    <t xml:space="preserve">Downloaded 28 Oct 2026. Fitted and revisable; not dealer quotes.</t>
  </si>
  <si>
    <t xml:space="preserve">BoE curve methodology</t>
  </si>
  <si>
    <t xml:space="preserve">2026-10-28</t>
  </si>
  <si>
    <t xml:space="preserve">https://www.bankofengland.co.uk/statistics/yield-curves</t>
  </si>
  <si>
    <t xml:space="preserve">Rates percent continuous; publication normally following business day.</t>
  </si>
  <si>
    <t xml:space="preserve">Budget 2026, section 8.3/Table A.1</t>
  </si>
  <si>
    <t xml:space="preserve">https://www.gov.uk/government/publications/budget-2026-document/budget-2026-html</t>
  </si>
  <si>
    <t xml:space="preserve">April-to-Budget allocation comparison is not an announcement surprise.</t>
  </si>
  <si>
    <t xml:space="preserve">ONS September CPI</t>
  </si>
  <si>
    <t xml:space="preserve">2026-10-21</t>
  </si>
  <si>
    <t xml:space="preserve">https://www.ons.gov.uk/economy/inflationandpriceindices/bulletins/consumerpriceinflation/september2026</t>
  </si>
  <si>
    <t xml:space="preserve">CPI 3.5%; does not establish an easing forecast.</t>
  </si>
  <si>
    <t xml:space="preserve">September MPC</t>
  </si>
  <si>
    <t xml:space="preserve">2026-09-17</t>
  </si>
  <si>
    <t xml:space="preserve">https://www.bankofengland.co.uk/monetary-policy-summary-and-minutes/2026/september-2026</t>
  </si>
  <si>
    <t xml:space="preserve">Bank Rate 3.75%; 6-3 hold; three preferred a hike.</t>
  </si>
  <si>
    <t xml:space="preserve">Dealer option surface</t>
  </si>
  <si>
    <t xml:space="preserve">Unavailable</t>
  </si>
  <si>
    <t xml:space="preserve">No executable OTC 3m2y SONIA strike vols obtained. Do not substitute futures-option or realised vol.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</si>
</sst>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%"/>
    <numFmt numFmtId="166" formatCode="#,##0.00;\(#,##0.00\)"/>
    <numFmt numFmtId="167" formatCode="#,##0"/>
    <numFmt numFmtId="168" formatCode="0.000000"/>
    <numFmt numFmtId="169" formatCode="0.00000000"/>
    <numFmt numFmtId="170" formatCode="#,##0;\(#,##0\)"/>
    <numFmt numFmtId="171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6354A"/>
        <bgColor rgb="FF333333"/>
      </patternFill>
    </fill>
    <fill>
      <patternFill patternType="solid">
        <fgColor rgb="FFE8F0F4"/>
        <bgColor rgb="FFFCE4D6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4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2CC"/>
      <rgbColor rgb="FFE8F0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635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Expiry P&amp;L | same notional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"Linear £"</c:f>
              <c:strCache>
                <c:ptCount val="1"/>
                <c:pt idx="0">
                  <c:v>Linear £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Scenarios!$A$6:$A$16</c:f>
              <c:strCache>
                <c:ptCount val="11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-10</c:v>
                </c:pt>
                <c:pt idx="5">
                  <c:v>0</c:v>
                </c:pt>
                <c:pt idx="6">
                  <c:v>10</c:v>
                </c:pt>
                <c:pt idx="7">
                  <c:v>25</c:v>
                </c:pt>
                <c:pt idx="8">
                  <c:v>50</c:v>
                </c:pt>
                <c:pt idx="9">
                  <c:v>75</c:v>
                </c:pt>
                <c:pt idx="10">
                  <c:v>100</c:v>
                </c:pt>
              </c:strCache>
            </c:strRef>
          </c:cat>
          <c:val>
            <c:numRef>
              <c:f>Scenarios!$B$6:$B$16</c:f>
              <c:numCache>
                <c:formatCode>#,##0;\(#,##0\)</c:formatCode>
                <c:ptCount val="11"/>
                <c:pt idx="0">
                  <c:v>1824701.93484782</c:v>
                </c:pt>
                <c:pt idx="1">
                  <c:v>1363918.61796706</c:v>
                </c:pt>
                <c:pt idx="2">
                  <c:v>903135.301086295</c:v>
                </c:pt>
                <c:pt idx="3">
                  <c:v>442351.984205532</c:v>
                </c:pt>
                <c:pt idx="4">
                  <c:v>165881.994077075</c:v>
                </c:pt>
                <c:pt idx="5">
                  <c:v>-18431.3326752305</c:v>
                </c:pt>
                <c:pt idx="6">
                  <c:v>-202744.659427536</c:v>
                </c:pt>
                <c:pt idx="7">
                  <c:v>-479214.649555993</c:v>
                </c:pt>
                <c:pt idx="8">
                  <c:v>-939997.966436756</c:v>
                </c:pt>
                <c:pt idx="9">
                  <c:v>-1400781.28331752</c:v>
                </c:pt>
                <c:pt idx="10">
                  <c:v>-1861564.60019828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"Outright £"</c:f>
              <c:strCache>
                <c:ptCount val="1"/>
                <c:pt idx="0">
                  <c:v>Outright £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Scenarios!$A$6:$A$16</c:f>
              <c:strCache>
                <c:ptCount val="11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-10</c:v>
                </c:pt>
                <c:pt idx="5">
                  <c:v>0</c:v>
                </c:pt>
                <c:pt idx="6">
                  <c:v>10</c:v>
                </c:pt>
                <c:pt idx="7">
                  <c:v>25</c:v>
                </c:pt>
                <c:pt idx="8">
                  <c:v>50</c:v>
                </c:pt>
                <c:pt idx="9">
                  <c:v>75</c:v>
                </c:pt>
                <c:pt idx="10">
                  <c:v>100</c:v>
                </c:pt>
              </c:strCache>
            </c:strRef>
          </c:cat>
          <c:val>
            <c:numRef>
              <c:f>Scenarios!$C$6:$C$16</c:f>
              <c:numCache>
                <c:formatCode>#,##0;\(#,##0\)</c:formatCode>
                <c:ptCount val="11"/>
                <c:pt idx="0">
                  <c:v>1530580.41931606</c:v>
                </c:pt>
                <c:pt idx="1">
                  <c:v>1069797.1024353</c:v>
                </c:pt>
                <c:pt idx="2">
                  <c:v>609013.785554539</c:v>
                </c:pt>
                <c:pt idx="3">
                  <c:v>148230.468673776</c:v>
                </c:pt>
                <c:pt idx="4">
                  <c:v>-128239.521454681</c:v>
                </c:pt>
                <c:pt idx="5">
                  <c:v>-312552.848206986</c:v>
                </c:pt>
                <c:pt idx="6">
                  <c:v>-312552.848206986</c:v>
                </c:pt>
                <c:pt idx="7">
                  <c:v>-312552.848206986</c:v>
                </c:pt>
                <c:pt idx="8">
                  <c:v>-312552.848206986</c:v>
                </c:pt>
                <c:pt idx="9">
                  <c:v>-312552.848206986</c:v>
                </c:pt>
                <c:pt idx="10">
                  <c:v>-312552.848206986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"Spread £"</c:f>
              <c:strCache>
                <c:ptCount val="1"/>
                <c:pt idx="0">
                  <c:v>Spread £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Scenarios!$A$6:$A$16</c:f>
              <c:strCache>
                <c:ptCount val="11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-10</c:v>
                </c:pt>
                <c:pt idx="5">
                  <c:v>0</c:v>
                </c:pt>
                <c:pt idx="6">
                  <c:v>10</c:v>
                </c:pt>
                <c:pt idx="7">
                  <c:v>25</c:v>
                </c:pt>
                <c:pt idx="8">
                  <c:v>50</c:v>
                </c:pt>
                <c:pt idx="9">
                  <c:v>75</c:v>
                </c:pt>
                <c:pt idx="10">
                  <c:v>100</c:v>
                </c:pt>
              </c:strCache>
            </c:strRef>
          </c:cat>
          <c:val>
            <c:numRef>
              <c:f>Scenarios!$D$6:$D$16</c:f>
              <c:numCache>
                <c:formatCode>#,##0;\(#,##0\)</c:formatCode>
                <c:ptCount val="11"/>
                <c:pt idx="0">
                  <c:v>267606.533651544</c:v>
                </c:pt>
                <c:pt idx="1">
                  <c:v>267606.533651544</c:v>
                </c:pt>
                <c:pt idx="2">
                  <c:v>267606.533651544</c:v>
                </c:pt>
                <c:pt idx="3">
                  <c:v>267606.533651544</c:v>
                </c:pt>
                <c:pt idx="4">
                  <c:v>-8863.45647691337</c:v>
                </c:pt>
                <c:pt idx="5">
                  <c:v>-193176.783229218</c:v>
                </c:pt>
                <c:pt idx="6">
                  <c:v>-193176.783229218</c:v>
                </c:pt>
                <c:pt idx="7">
                  <c:v>-193176.783229218</c:v>
                </c:pt>
                <c:pt idx="8">
                  <c:v>-193176.783229218</c:v>
                </c:pt>
                <c:pt idx="9">
                  <c:v>-193176.783229218</c:v>
                </c:pt>
                <c:pt idx="10">
                  <c:v>-193176.783229218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86623"/>
        <c:axId val="2185494"/>
      </c:lineChart>
      <c:catAx>
        <c:axId val="298662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185494"/>
        <c:crosses val="autoZero"/>
        <c:auto val="1"/>
        <c:lblAlgn val="ctr"/>
        <c:lblOffset val="100"/>
        <c:noMultiLvlLbl val="0"/>
      </c:catAx>
      <c:valAx>
        <c:axId val="218549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986623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7</xdr:col>
      <xdr:colOff>1338840</xdr:colOff>
      <xdr:row>36</xdr:row>
      <xdr:rowOff>266400</xdr:rowOff>
    </xdr:to>
    <xdr:graphicFrame>
      <xdr:nvGraphicFramePr>
        <xdr:cNvPr id="1" name="Chart"/>
        <xdr:cNvGraphicFramePr/>
      </xdr:nvGraphicFramePr>
      <xdr:xfrm>
        <a:off x="0" y="5067360"/>
        <a:ext cx="12123000" cy="480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8" min="2" style="0" width="19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</row>
    <row r="2" customFormat="false" ht="21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</row>
    <row r="3" customFormat="false" ht="21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4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2"/>
      <c r="J4" s="2"/>
      <c r="K4" s="2"/>
      <c r="L4" s="2"/>
    </row>
    <row r="5" customFormat="false" ht="34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2"/>
      <c r="J5" s="2"/>
      <c r="K5" s="2"/>
      <c r="L5" s="2"/>
    </row>
    <row r="6" customFormat="false" ht="21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21" hidden="false" customHeight="true" outlineLevel="0" collapsed="false">
      <c r="A7" s="2" t="s">
        <v>2</v>
      </c>
      <c r="B7" s="4" t="str">
        <f aca="false">IF(NOT(AND(Pricing!B4,Pricing!E4)),"BLOCKED: INVALID / MISSING INPUTS",IF(Inputs!B15=0,"ILLUSTRATIVE VOLATILITY","DEALER VOL INPUTS: VERIFY CONVENTIONS"))</f>
        <v>ILLUSTRATIVE VOLATILITY</v>
      </c>
      <c r="C7" s="4"/>
      <c r="D7" s="4"/>
      <c r="E7" s="4"/>
      <c r="F7" s="4"/>
      <c r="G7" s="4"/>
      <c r="H7" s="4"/>
      <c r="I7" s="2"/>
      <c r="J7" s="2"/>
      <c r="K7" s="2"/>
      <c r="L7" s="2"/>
    </row>
    <row r="8" customFormat="false" ht="21" hidden="false" customHeight="true" outlineLevel="0" collapsed="false">
      <c r="A8" s="2" t="s">
        <v>3</v>
      </c>
      <c r="B8" s="4" t="str">
        <f aca="false">Inputs!B24</f>
        <v>2026-10-27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21" hidden="false" customHeight="true" outlineLevel="0" collapsed="false">
      <c r="A9" s="2" t="s">
        <v>4</v>
      </c>
      <c r="B9" s="5" t="n">
        <f aca="false">Pricing!B24</f>
        <v>0.0495284970354101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21" hidden="false" customHeight="true" outlineLevel="0" collapsed="false">
      <c r="A10" s="2" t="s">
        <v>5</v>
      </c>
      <c r="B10" s="6" t="n">
        <f aca="false">Pricing!B22</f>
        <v>1.84313326752305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21" hidden="false" customHeight="true" outlineLevel="0" collapsed="false">
      <c r="A11" s="2" t="s">
        <v>6</v>
      </c>
      <c r="B11" s="6" t="n">
        <f aca="false">Pricing!B23</f>
        <v>18431.3326752305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21" hidden="false" customHeight="true" outlineLevel="0" collapsed="false">
      <c r="A12" s="2"/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21" hidden="false" customHeight="true" outlineLevel="0" collapsed="false">
      <c r="A13" s="2" t="s">
        <v>7</v>
      </c>
      <c r="B13" s="6" t="n">
        <f aca="false">Pricing!B33*10000</f>
        <v>15.9576912160573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21" hidden="false" customHeight="true" outlineLevel="0" collapsed="false">
      <c r="A14" s="2" t="s">
        <v>8</v>
      </c>
      <c r="B14" s="6" t="n">
        <f aca="false">Pricing!B35*10000</f>
        <v>9.48089070025982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21" hidden="false" customHeight="true" outlineLevel="0" collapsed="false">
      <c r="A15" s="2" t="s">
        <v>9</v>
      </c>
      <c r="B15" s="6" t="n">
        <f aca="false">IF(Pricing!B36,(B14+Inputs!B12)*B11,NA())</f>
        <v>193176.783229218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21" hidden="false" customHeight="true" outlineLevel="0" collapsed="false">
      <c r="A16" s="2" t="s">
        <v>10</v>
      </c>
      <c r="B16" s="6" t="n">
        <f aca="false">IF(Pricing!B36,(Inputs!B9-B14-Inputs!B12)*B11,NA())</f>
        <v>267606.533651544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21" hidden="false" customHeight="true" outlineLevel="0" collapsed="false">
      <c r="A17" s="2" t="s">
        <v>11</v>
      </c>
      <c r="B17" s="6" t="n">
        <f aca="false">IF(Pricing!B36,B14+Inputs!B12,NA())</f>
        <v>10.4808907002598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1" hidden="false" customHeight="true" outlineLevel="0" collapsed="false">
      <c r="A18" s="2" t="s">
        <v>12</v>
      </c>
      <c r="B18" s="6" t="n">
        <f aca="false">IF(Pricing!B36,Inputs!B9+B13-B14,NA())</f>
        <v>31.4768005157975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1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1" hidden="false" customHeight="true" outlineLevel="0" collapsed="false">
      <c r="A20" s="2" t="s">
        <v>13</v>
      </c>
      <c r="B20" s="6" t="n">
        <f aca="false">Inputs!B21</f>
        <v>-25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1" hidden="false" customHeight="true" outlineLevel="0" collapsed="false">
      <c r="A21" s="2" t="s">
        <v>14</v>
      </c>
      <c r="B21" s="6" t="n">
        <f aca="false">(-B20-Inputs!B12)*B11</f>
        <v>442351.984205532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1" hidden="false" customHeight="true" outlineLevel="0" collapsed="false">
      <c r="A22" s="2" t="s">
        <v>15</v>
      </c>
      <c r="B22" s="6" t="n">
        <f aca="false">(MAX(-B20,0)-B13-Inputs!B12)*B11</f>
        <v>148230.468673776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1" hidden="false" customHeight="true" outlineLevel="0" collapsed="false">
      <c r="A23" s="2" t="s">
        <v>16</v>
      </c>
      <c r="B23" s="6" t="n">
        <f aca="false">IF(Pricing!B36,(MIN(MAX(-B20,0),Inputs!B9)-B14-Inputs!B12)*B11,NA())</f>
        <v>267606.533651544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1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21" hidden="false" customHeight="true" outlineLevel="0" collapsed="false">
      <c r="A25" s="2" t="s">
        <v>17</v>
      </c>
      <c r="B25" s="4" t="str">
        <f aca="false">IF(NOT(AND(Pricing!B4,Pricing!E4)),"BLOCKED",IF(NOT(Pricing!B36),"PASS: INCONSISTENT STRIKE VOLS",IF(B16&lt;=0,"PASS: COST EXCEEDS CAPPED PAYOFF","CONDITIONAL COMPARISON; NO TRADE SIGNAL")))</f>
        <v>CONDITIONAL COMPARISON; NO TRADE SIGNAL</v>
      </c>
      <c r="C25" s="4"/>
      <c r="D25" s="4"/>
      <c r="E25" s="4"/>
      <c r="F25" s="4"/>
      <c r="G25" s="4"/>
      <c r="H25" s="4"/>
      <c r="I25" s="2"/>
      <c r="J25" s="2"/>
      <c r="K25" s="2"/>
      <c r="L25" s="2"/>
    </row>
    <row r="26" customFormat="false" ht="21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21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34" hidden="false" customHeight="true" outlineLevel="0" collapsed="false">
      <c r="A28" s="3" t="s">
        <v>18</v>
      </c>
      <c r="B28" s="3"/>
      <c r="C28" s="3"/>
      <c r="D28" s="3"/>
      <c r="E28" s="3"/>
      <c r="F28" s="3"/>
      <c r="G28" s="3"/>
      <c r="H28" s="3"/>
      <c r="I28" s="2"/>
      <c r="J28" s="2"/>
      <c r="K28" s="2"/>
      <c r="L28" s="2"/>
    </row>
    <row r="29" customFormat="false" ht="34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2"/>
      <c r="J29" s="2"/>
      <c r="K29" s="2"/>
      <c r="L29" s="2"/>
    </row>
    <row r="30" customFormat="false" ht="21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34" hidden="false" customHeight="true" outlineLevel="0" collapsed="false">
      <c r="A31" s="3" t="s">
        <v>19</v>
      </c>
      <c r="B31" s="3"/>
      <c r="C31" s="3"/>
      <c r="D31" s="3"/>
      <c r="E31" s="3"/>
      <c r="F31" s="3"/>
      <c r="G31" s="3"/>
      <c r="H31" s="3"/>
      <c r="I31" s="2"/>
      <c r="J31" s="2"/>
      <c r="K31" s="2"/>
      <c r="L31" s="2"/>
    </row>
    <row r="32" customFormat="false" ht="34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2"/>
      <c r="J32" s="2"/>
      <c r="K32" s="2"/>
      <c r="L32" s="2"/>
    </row>
    <row r="33" customFormat="false" ht="21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1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1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1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1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1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21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21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21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21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21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21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21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21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21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21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21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21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21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21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21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21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21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21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21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21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21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21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21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21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21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21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21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</sheetData>
  <mergeCells count="6">
    <mergeCell ref="A1:H2"/>
    <mergeCell ref="A4:H5"/>
    <mergeCell ref="B7:H7"/>
    <mergeCell ref="B25:H25"/>
    <mergeCell ref="A28:H29"/>
    <mergeCell ref="A31:H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8" min="2" style="0" width="19"/>
  </cols>
  <sheetData>
    <row r="1" customFormat="false" ht="21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</row>
    <row r="2" customFormat="false" ht="21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</row>
    <row r="3" customFormat="false" ht="21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1" hidden="false" customHeight="true" outlineLevel="0" collapsed="false">
      <c r="A4" s="1" t="s">
        <v>21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</row>
    <row r="5" customFormat="false" ht="21" hidden="false" customHeight="true" outlineLevel="0" collapsed="false">
      <c r="A5" s="8" t="s">
        <v>22</v>
      </c>
      <c r="B5" s="8" t="s">
        <v>23</v>
      </c>
      <c r="C5" s="8" t="s">
        <v>24</v>
      </c>
      <c r="D5" s="8" t="s">
        <v>25</v>
      </c>
      <c r="E5" s="8"/>
      <c r="F5" s="8"/>
      <c r="G5" s="8"/>
      <c r="H5" s="8"/>
      <c r="I5" s="2"/>
      <c r="J5" s="2"/>
      <c r="K5" s="2"/>
      <c r="L5" s="2"/>
    </row>
    <row r="6" customFormat="false" ht="32" hidden="false" customHeight="true" outlineLevel="0" collapsed="false">
      <c r="A6" s="2" t="s">
        <v>26</v>
      </c>
      <c r="B6" s="9" t="n">
        <v>100000000</v>
      </c>
      <c r="C6" s="2" t="s">
        <v>27</v>
      </c>
      <c r="D6" s="3" t="s">
        <v>28</v>
      </c>
      <c r="E6" s="3"/>
      <c r="F6" s="3"/>
      <c r="G6" s="3"/>
      <c r="H6" s="3"/>
      <c r="I6" s="2"/>
      <c r="J6" s="2"/>
      <c r="K6" s="2"/>
      <c r="L6" s="2"/>
    </row>
    <row r="7" customFormat="false" ht="32" hidden="false" customHeight="true" outlineLevel="0" collapsed="false">
      <c r="A7" s="2" t="s">
        <v>29</v>
      </c>
      <c r="B7" s="10" t="n">
        <v>0.25</v>
      </c>
      <c r="C7" s="2" t="s">
        <v>27</v>
      </c>
      <c r="D7" s="3" t="s">
        <v>30</v>
      </c>
      <c r="E7" s="3"/>
      <c r="F7" s="3"/>
      <c r="G7" s="3"/>
      <c r="H7" s="3"/>
      <c r="I7" s="2"/>
      <c r="J7" s="2"/>
      <c r="K7" s="2"/>
      <c r="L7" s="2"/>
    </row>
    <row r="8" customFormat="false" ht="32" hidden="false" customHeight="true" outlineLevel="0" collapsed="false">
      <c r="A8" s="2" t="s">
        <v>31</v>
      </c>
      <c r="B8" s="10" t="n">
        <v>2</v>
      </c>
      <c r="C8" s="2" t="s">
        <v>27</v>
      </c>
      <c r="D8" s="3" t="s">
        <v>32</v>
      </c>
      <c r="E8" s="3"/>
      <c r="F8" s="3"/>
      <c r="G8" s="3"/>
      <c r="H8" s="3"/>
      <c r="I8" s="2"/>
      <c r="J8" s="2"/>
      <c r="K8" s="2"/>
      <c r="L8" s="2"/>
    </row>
    <row r="9" customFormat="false" ht="32" hidden="false" customHeight="true" outlineLevel="0" collapsed="false">
      <c r="A9" s="2" t="s">
        <v>33</v>
      </c>
      <c r="B9" s="10" t="n">
        <v>25</v>
      </c>
      <c r="C9" s="2" t="s">
        <v>27</v>
      </c>
      <c r="D9" s="3" t="s">
        <v>34</v>
      </c>
      <c r="E9" s="3"/>
      <c r="F9" s="3"/>
      <c r="G9" s="3"/>
      <c r="H9" s="3"/>
      <c r="I9" s="2"/>
      <c r="J9" s="2"/>
      <c r="K9" s="2"/>
      <c r="L9" s="2"/>
    </row>
    <row r="10" customFormat="false" ht="32" hidden="false" customHeight="true" outlineLevel="0" collapsed="false">
      <c r="A10" s="2" t="s">
        <v>35</v>
      </c>
      <c r="B10" s="10" t="n">
        <v>80</v>
      </c>
      <c r="C10" s="2" t="s">
        <v>27</v>
      </c>
      <c r="D10" s="3" t="s">
        <v>36</v>
      </c>
      <c r="E10" s="3"/>
      <c r="F10" s="3"/>
      <c r="G10" s="3"/>
      <c r="H10" s="3"/>
      <c r="I10" s="2"/>
      <c r="J10" s="2"/>
      <c r="K10" s="2"/>
      <c r="L10" s="2"/>
    </row>
    <row r="11" customFormat="false" ht="32" hidden="false" customHeight="true" outlineLevel="0" collapsed="false">
      <c r="A11" s="2" t="s">
        <v>37</v>
      </c>
      <c r="B11" s="10" t="n">
        <v>80</v>
      </c>
      <c r="C11" s="2" t="s">
        <v>27</v>
      </c>
      <c r="D11" s="3" t="s">
        <v>38</v>
      </c>
      <c r="E11" s="3"/>
      <c r="F11" s="3"/>
      <c r="G11" s="3"/>
      <c r="H11" s="3"/>
      <c r="I11" s="2"/>
      <c r="J11" s="2"/>
      <c r="K11" s="2"/>
      <c r="L11" s="2"/>
    </row>
    <row r="12" customFormat="false" ht="32" hidden="false" customHeight="true" outlineLevel="0" collapsed="false">
      <c r="A12" s="2" t="s">
        <v>39</v>
      </c>
      <c r="B12" s="10" t="n">
        <v>1</v>
      </c>
      <c r="C12" s="2" t="s">
        <v>27</v>
      </c>
      <c r="D12" s="3" t="s">
        <v>40</v>
      </c>
      <c r="E12" s="3"/>
      <c r="F12" s="3"/>
      <c r="G12" s="3"/>
      <c r="H12" s="3"/>
      <c r="I12" s="2"/>
      <c r="J12" s="2"/>
      <c r="K12" s="2"/>
      <c r="L12" s="2"/>
    </row>
    <row r="13" customFormat="false" ht="32" hidden="false" customHeight="true" outlineLevel="0" collapsed="false">
      <c r="A13" s="2" t="s">
        <v>41</v>
      </c>
      <c r="B13" s="10" t="n">
        <v>0</v>
      </c>
      <c r="C13" s="2" t="s">
        <v>27</v>
      </c>
      <c r="D13" s="3" t="s">
        <v>42</v>
      </c>
      <c r="E13" s="3"/>
      <c r="F13" s="3"/>
      <c r="G13" s="3"/>
      <c r="H13" s="3"/>
      <c r="I13" s="2"/>
      <c r="J13" s="2"/>
      <c r="K13" s="2"/>
      <c r="L13" s="2"/>
    </row>
    <row r="14" customFormat="false" ht="32" hidden="false" customHeight="true" outlineLevel="0" collapsed="false">
      <c r="A14" s="2" t="s">
        <v>43</v>
      </c>
      <c r="B14" s="11"/>
      <c r="C14" s="2" t="s">
        <v>44</v>
      </c>
      <c r="D14" s="3" t="s">
        <v>45</v>
      </c>
      <c r="E14" s="3"/>
      <c r="F14" s="3"/>
      <c r="G14" s="3"/>
      <c r="H14" s="3"/>
      <c r="I14" s="2"/>
      <c r="J14" s="2"/>
      <c r="K14" s="2"/>
      <c r="L14" s="2"/>
    </row>
    <row r="15" customFormat="false" ht="32" hidden="false" customHeight="true" outlineLevel="0" collapsed="false">
      <c r="A15" s="2" t="s">
        <v>46</v>
      </c>
      <c r="B15" s="12" t="n">
        <v>0</v>
      </c>
      <c r="C15" s="2" t="s">
        <v>27</v>
      </c>
      <c r="D15" s="3" t="s">
        <v>47</v>
      </c>
      <c r="E15" s="3"/>
      <c r="F15" s="3"/>
      <c r="G15" s="3"/>
      <c r="H15" s="3"/>
      <c r="I15" s="2"/>
      <c r="J15" s="2"/>
      <c r="K15" s="2"/>
      <c r="L15" s="2"/>
    </row>
    <row r="16" customFormat="false" ht="32" hidden="false" customHeight="true" outlineLevel="0" collapsed="false">
      <c r="A16" s="2" t="s">
        <v>48</v>
      </c>
      <c r="B16" s="12"/>
      <c r="C16" s="2" t="s">
        <v>44</v>
      </c>
      <c r="D16" s="3" t="s">
        <v>49</v>
      </c>
      <c r="E16" s="3"/>
      <c r="F16" s="3"/>
      <c r="G16" s="3"/>
      <c r="H16" s="3"/>
      <c r="I16" s="2"/>
      <c r="J16" s="2"/>
      <c r="K16" s="2"/>
      <c r="L16" s="2"/>
    </row>
    <row r="17" customFormat="false" ht="32" hidden="false" customHeight="true" outlineLevel="0" collapsed="false">
      <c r="A17" s="2" t="s">
        <v>50</v>
      </c>
      <c r="B17" s="12"/>
      <c r="C17" s="2" t="s">
        <v>44</v>
      </c>
      <c r="D17" s="3" t="s">
        <v>49</v>
      </c>
      <c r="E17" s="3"/>
      <c r="F17" s="3"/>
      <c r="G17" s="3"/>
      <c r="H17" s="3"/>
      <c r="I17" s="2"/>
      <c r="J17" s="2"/>
      <c r="K17" s="2"/>
      <c r="L17" s="2"/>
    </row>
    <row r="18" customFormat="false" ht="32" hidden="false" customHeight="true" outlineLevel="0" collapsed="false">
      <c r="A18" s="2" t="s">
        <v>51</v>
      </c>
      <c r="B18" s="12"/>
      <c r="C18" s="2" t="s">
        <v>44</v>
      </c>
      <c r="D18" s="3" t="s">
        <v>52</v>
      </c>
      <c r="E18" s="3"/>
      <c r="F18" s="3"/>
      <c r="G18" s="3"/>
      <c r="H18" s="3"/>
      <c r="I18" s="2"/>
      <c r="J18" s="2"/>
      <c r="K18" s="2"/>
      <c r="L18" s="2"/>
    </row>
    <row r="19" customFormat="false" ht="32" hidden="false" customHeight="true" outlineLevel="0" collapsed="false">
      <c r="A19" s="2" t="s">
        <v>53</v>
      </c>
      <c r="B19" s="12"/>
      <c r="C19" s="2" t="s">
        <v>44</v>
      </c>
      <c r="D19" s="3" t="s">
        <v>54</v>
      </c>
      <c r="E19" s="3"/>
      <c r="F19" s="3"/>
      <c r="G19" s="3"/>
      <c r="H19" s="3"/>
      <c r="I19" s="2"/>
      <c r="J19" s="2"/>
      <c r="K19" s="2"/>
      <c r="L19" s="2"/>
    </row>
    <row r="20" customFormat="false" ht="32" hidden="false" customHeight="true" outlineLevel="0" collapsed="false">
      <c r="A20" s="2" t="s">
        <v>55</v>
      </c>
      <c r="B20" s="10" t="n">
        <v>0</v>
      </c>
      <c r="C20" s="2" t="s">
        <v>27</v>
      </c>
      <c r="D20" s="3" t="s">
        <v>56</v>
      </c>
      <c r="E20" s="3"/>
      <c r="F20" s="3"/>
      <c r="G20" s="3"/>
      <c r="H20" s="3"/>
      <c r="I20" s="2"/>
      <c r="J20" s="2"/>
      <c r="K20" s="2"/>
      <c r="L20" s="2"/>
    </row>
    <row r="21" customFormat="false" ht="32" hidden="false" customHeight="true" outlineLevel="0" collapsed="false">
      <c r="A21" s="2" t="s">
        <v>57</v>
      </c>
      <c r="B21" s="10" t="n">
        <v>-25</v>
      </c>
      <c r="C21" s="2" t="s">
        <v>27</v>
      </c>
      <c r="D21" s="3" t="s">
        <v>58</v>
      </c>
      <c r="E21" s="3"/>
      <c r="F21" s="3"/>
      <c r="G21" s="3"/>
      <c r="H21" s="3"/>
      <c r="I21" s="2"/>
      <c r="J21" s="2"/>
      <c r="K21" s="2"/>
      <c r="L21" s="2"/>
    </row>
    <row r="22" customFormat="false" ht="21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1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1" hidden="false" customHeight="true" outlineLevel="0" collapsed="false">
      <c r="A24" s="2" t="s">
        <v>3</v>
      </c>
      <c r="B24" s="2" t="s">
        <v>59</v>
      </c>
      <c r="C24" s="2" t="s">
        <v>44</v>
      </c>
      <c r="D24" s="2"/>
      <c r="E24" s="2"/>
      <c r="F24" s="2"/>
      <c r="G24" s="2"/>
      <c r="H24" s="2"/>
      <c r="I24" s="2"/>
      <c r="J24" s="2"/>
      <c r="K24" s="2"/>
      <c r="L24" s="2"/>
    </row>
    <row r="25" customFormat="false" ht="21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34" hidden="false" customHeight="true" outlineLevel="0" collapsed="false">
      <c r="A26" s="3" t="s">
        <v>60</v>
      </c>
      <c r="B26" s="3"/>
      <c r="C26" s="3"/>
      <c r="D26" s="3"/>
      <c r="E26" s="3"/>
      <c r="F26" s="3"/>
      <c r="G26" s="3"/>
      <c r="H26" s="3"/>
      <c r="I26" s="2"/>
      <c r="J26" s="2"/>
      <c r="K26" s="2"/>
      <c r="L26" s="2"/>
    </row>
    <row r="27" customFormat="false" ht="34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2"/>
      <c r="J27" s="2"/>
      <c r="K27" s="2"/>
      <c r="L27" s="2"/>
    </row>
    <row r="28" customFormat="false" ht="21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1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1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1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1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1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1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1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1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1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1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21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21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21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21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21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21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21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21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21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21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21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21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21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21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21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21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21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21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21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21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21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21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21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21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21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21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21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</sheetData>
  <mergeCells count="19">
    <mergeCell ref="A1:H2"/>
    <mergeCell ref="A4:H4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A26:H27"/>
  </mergeCells>
  <dataValidations count="10">
    <dataValidation allowBlank="false" errorStyle="stop" operator="between" showDropDown="false" showErrorMessage="false" showInputMessage="false" sqref="B13" type="list">
      <formula1>"0,1"</formula1>
      <formula2>0</formula2>
    </dataValidation>
    <dataValidation allowBlank="false" errorStyle="stop" operator="between" showDropDown="false" showErrorMessage="false" showInputMessage="false" sqref="B15" type="list">
      <formula1>"0,1"</formula1>
      <formula2>0</formula2>
    </dataValidation>
    <dataValidation allowBlank="false" errorStyle="stop" operator="between" showDropDown="false" showErrorMessage="false" showInputMessage="false" sqref="B8" type="whole">
      <formula1>1</formula1>
      <formula2>10</formula2>
    </dataValidation>
    <dataValidation allowBlank="false" errorStyle="stop" operator="between" showDropDown="false" showErrorMessage="false" showInputMessage="false" sqref="B7" type="decimal">
      <formula1>0.0833333333333333</formula1>
      <formula2>2</formula2>
    </dataValidation>
    <dataValidation allowBlank="false" errorStyle="stop" operator="greaterThan" showDropDown="false" showErrorMessage="false" showInputMessage="false" sqref="B9" type="decimal">
      <formula1>0</formula1>
      <formula2>0</formula2>
    </dataValidation>
    <dataValidation allowBlank="false" errorStyle="stop" operator="greaterThanOrEqual" showDropDown="false" showErrorMessage="false" showInputMessage="false" sqref="B10" type="decimal">
      <formula1>0</formula1>
      <formula2>0</formula2>
    </dataValidation>
    <dataValidation allowBlank="false" errorStyle="stop" operator="greaterThanOrEqual" showDropDown="false" showErrorMessage="false" showInputMessage="false" sqref="B11" type="decimal">
      <formula1>0</formula1>
      <formula2>0</formula2>
    </dataValidation>
    <dataValidation allowBlank="false" errorStyle="stop" operator="greaterThanOrEqual" showDropDown="false" showErrorMessage="false" showInputMessage="false" sqref="B12" type="decimal">
      <formula1>0</formula1>
      <formula2>0</formula2>
    </dataValidation>
    <dataValidation allowBlank="false" errorStyle="stop" operator="greaterThanOrEqual" showDropDown="false" showErrorMessage="false" showInputMessage="false" sqref="B16" type="decimal">
      <formula1>0</formula1>
      <formula2>0</formula2>
    </dataValidation>
    <dataValidation allowBlank="false" errorStyle="stop" operator="greaterThanOrEqual" showDropDown="false" showErrorMessage="false" showInputMessage="false" sqref="B17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8" min="2" style="0" width="19"/>
  </cols>
  <sheetData>
    <row r="1" customFormat="false" ht="21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</row>
    <row r="2" customFormat="false" ht="21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</row>
    <row r="3" customFormat="false" ht="21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1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34" hidden="false" customHeight="true" outlineLevel="0" collapsed="false">
      <c r="A5" s="8" t="s">
        <v>62</v>
      </c>
      <c r="B5" s="8" t="s">
        <v>63</v>
      </c>
      <c r="C5" s="8"/>
      <c r="D5" s="13" t="s">
        <v>64</v>
      </c>
      <c r="E5" s="13"/>
      <c r="F5" s="13"/>
      <c r="G5" s="13"/>
      <c r="H5" s="13"/>
      <c r="I5" s="2"/>
      <c r="J5" s="2"/>
      <c r="K5" s="2"/>
      <c r="L5" s="2"/>
    </row>
    <row r="6" customFormat="false" ht="34" hidden="false" customHeight="true" outlineLevel="0" collapsed="false">
      <c r="A6" s="2" t="n">
        <v>0.08333333</v>
      </c>
      <c r="B6" s="14" t="n">
        <v>3.89939033359676</v>
      </c>
      <c r="C6" s="2"/>
      <c r="D6" s="13"/>
      <c r="E6" s="13"/>
      <c r="F6" s="13"/>
      <c r="G6" s="13"/>
      <c r="H6" s="13"/>
      <c r="I6" s="2"/>
      <c r="J6" s="2"/>
      <c r="K6" s="2"/>
      <c r="L6" s="2"/>
    </row>
    <row r="7" customFormat="false" ht="34" hidden="false" customHeight="true" outlineLevel="0" collapsed="false">
      <c r="A7" s="2" t="n">
        <v>0.16666667</v>
      </c>
      <c r="B7" s="14" t="n">
        <v>3.95568591431698</v>
      </c>
      <c r="C7" s="2"/>
      <c r="D7" s="13"/>
      <c r="E7" s="13"/>
      <c r="F7" s="13"/>
      <c r="G7" s="13"/>
      <c r="H7" s="13"/>
      <c r="I7" s="2"/>
      <c r="J7" s="2"/>
      <c r="K7" s="2"/>
      <c r="L7" s="2"/>
    </row>
    <row r="8" customFormat="false" ht="21" hidden="false" customHeight="true" outlineLevel="0" collapsed="false">
      <c r="A8" s="2" t="n">
        <v>0.25</v>
      </c>
      <c r="B8" s="14" t="n">
        <v>4.0097259800193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21" hidden="false" customHeight="true" outlineLevel="0" collapsed="false">
      <c r="A9" s="2" t="n">
        <v>0.33333333</v>
      </c>
      <c r="B9" s="14" t="n">
        <v>4.06675909810609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21" hidden="false" customHeight="true" outlineLevel="0" collapsed="false">
      <c r="A10" s="2" t="n">
        <v>0.41666667</v>
      </c>
      <c r="B10" s="14" t="n">
        <v>4.12608272334156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21" hidden="false" customHeight="true" outlineLevel="0" collapsed="false">
      <c r="A11" s="2" t="n">
        <v>0.5</v>
      </c>
      <c r="B11" s="14" t="n">
        <v>4.1854464721818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21" hidden="false" customHeight="true" outlineLevel="0" collapsed="false">
      <c r="A12" s="2" t="n">
        <v>0.58333333</v>
      </c>
      <c r="B12" s="14" t="n">
        <v>4.24287031357344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21" hidden="false" customHeight="true" outlineLevel="0" collapsed="false">
      <c r="A13" s="2" t="n">
        <v>0.66666667</v>
      </c>
      <c r="B13" s="14" t="n">
        <v>4.29721690196656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21" hidden="false" customHeight="true" outlineLevel="0" collapsed="false">
      <c r="A14" s="2" t="n">
        <v>0.75</v>
      </c>
      <c r="B14" s="14" t="n">
        <v>4.3478766328815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21" hidden="false" customHeight="true" outlineLevel="0" collapsed="false">
      <c r="A15" s="2" t="n">
        <v>0.83333333</v>
      </c>
      <c r="B15" s="14" t="n">
        <v>4.39479015431907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21" hidden="false" customHeight="true" outlineLevel="0" collapsed="false">
      <c r="A16" s="2" t="n">
        <v>0.91666667</v>
      </c>
      <c r="B16" s="14" t="n">
        <v>4.43807193634978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21" hidden="false" customHeight="true" outlineLevel="0" collapsed="false">
      <c r="A17" s="2" t="n">
        <v>1</v>
      </c>
      <c r="B17" s="14" t="n">
        <v>4.4778207241677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1" hidden="false" customHeight="true" outlineLevel="0" collapsed="false">
      <c r="A18" s="2" t="n">
        <v>1.08333333</v>
      </c>
      <c r="B18" s="14" t="n">
        <v>4.51413015846053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1" hidden="false" customHeight="true" outlineLevel="0" collapsed="false">
      <c r="A19" s="2" t="n">
        <v>1.16666667</v>
      </c>
      <c r="B19" s="14" t="n">
        <v>4.54709831651571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1" hidden="false" customHeight="true" outlineLevel="0" collapsed="false">
      <c r="A20" s="2" t="n">
        <v>1.25</v>
      </c>
      <c r="B20" s="14" t="n">
        <v>4.5768506880003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1" hidden="false" customHeight="true" outlineLevel="0" collapsed="false">
      <c r="A21" s="2" t="n">
        <v>1.33333333</v>
      </c>
      <c r="B21" s="14" t="n">
        <v>4.60353395747631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1" hidden="false" customHeight="true" outlineLevel="0" collapsed="false">
      <c r="A22" s="2" t="n">
        <v>1.41666667</v>
      </c>
      <c r="B22" s="14" t="n">
        <v>4.62730975772779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1" hidden="false" customHeight="true" outlineLevel="0" collapsed="false">
      <c r="A23" s="2" t="n">
        <v>1.5</v>
      </c>
      <c r="B23" s="14" t="n">
        <v>4.64835053168448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1" hidden="false" customHeight="true" outlineLevel="0" collapsed="false">
      <c r="A24" s="2" t="n">
        <v>1.58333333</v>
      </c>
      <c r="B24" s="14" t="n">
        <v>4.66683647097184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21" hidden="false" customHeight="true" outlineLevel="0" collapsed="false">
      <c r="A25" s="2" t="n">
        <v>1.66666667</v>
      </c>
      <c r="B25" s="14" t="n">
        <v>4.68295206877658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21" hidden="false" customHeight="true" outlineLevel="0" collapsed="false">
      <c r="A26" s="2" t="n">
        <v>1.75</v>
      </c>
      <c r="B26" s="14" t="n">
        <v>4.69688335708704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21" hidden="false" customHeight="true" outlineLevel="0" collapsed="false">
      <c r="A27" s="2" t="n">
        <v>1.83333333</v>
      </c>
      <c r="B27" s="14" t="n">
        <v>4.70881746794768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1" hidden="false" customHeight="true" outlineLevel="0" collapsed="false">
      <c r="A28" s="2" t="n">
        <v>1.91666667</v>
      </c>
      <c r="B28" s="14" t="n">
        <v>4.71894238319742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1" hidden="false" customHeight="true" outlineLevel="0" collapsed="false">
      <c r="A29" s="2" t="n">
        <v>2</v>
      </c>
      <c r="B29" s="14" t="n">
        <v>4.72744676487596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1" hidden="false" customHeight="true" outlineLevel="0" collapsed="false">
      <c r="A30" s="2" t="n">
        <v>2.08333333</v>
      </c>
      <c r="B30" s="14" t="n">
        <v>4.734518768083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1" hidden="false" customHeight="true" outlineLevel="0" collapsed="false">
      <c r="A31" s="2" t="n">
        <v>2.16666667</v>
      </c>
      <c r="B31" s="14" t="n">
        <v>4.74033437840563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1" hidden="false" customHeight="true" outlineLevel="0" collapsed="false">
      <c r="A32" s="2" t="n">
        <v>2.25</v>
      </c>
      <c r="B32" s="14" t="n">
        <v>4.74504736157295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1" hidden="false" customHeight="true" outlineLevel="0" collapsed="false">
      <c r="A33" s="2" t="n">
        <v>2.33333333</v>
      </c>
      <c r="B33" s="14" t="n">
        <v>4.74879208378437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1" hidden="false" customHeight="true" outlineLevel="0" collapsed="false">
      <c r="A34" s="2" t="n">
        <v>2.41666667</v>
      </c>
      <c r="B34" s="14" t="n">
        <v>4.7516868502921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1" hidden="false" customHeight="true" outlineLevel="0" collapsed="false">
      <c r="A35" s="2" t="n">
        <v>2.5</v>
      </c>
      <c r="B35" s="14" t="n">
        <v>4.75383658439676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1" hidden="false" customHeight="true" outlineLevel="0" collapsed="false">
      <c r="A36" s="2" t="n">
        <v>2.58333333</v>
      </c>
      <c r="B36" s="14" t="n">
        <v>4.75533497532117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1" hidden="false" customHeight="true" outlineLevel="0" collapsed="false">
      <c r="A37" s="2" t="n">
        <v>2.66666667</v>
      </c>
      <c r="B37" s="14" t="n">
        <v>4.75626625388947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1" hidden="false" customHeight="true" outlineLevel="0" collapsed="false">
      <c r="A38" s="2" t="n">
        <v>2.75</v>
      </c>
      <c r="B38" s="14" t="n">
        <v>4.75670660588018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21" hidden="false" customHeight="true" outlineLevel="0" collapsed="false">
      <c r="A39" s="2" t="n">
        <v>2.83333333</v>
      </c>
      <c r="B39" s="14" t="n">
        <v>4.75672536469968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21" hidden="false" customHeight="true" outlineLevel="0" collapsed="false">
      <c r="A40" s="2" t="n">
        <v>2.91666667</v>
      </c>
      <c r="B40" s="14" t="n">
        <v>4.75638598843157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21" hidden="false" customHeight="true" outlineLevel="0" collapsed="false">
      <c r="A41" s="2" t="n">
        <v>3</v>
      </c>
      <c r="B41" s="14" t="n">
        <v>4.75574687474397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21" hidden="false" customHeight="true" outlineLevel="0" collapsed="false">
      <c r="A42" s="2" t="n">
        <v>3.08333333</v>
      </c>
      <c r="B42" s="14" t="n">
        <v>4.75486196728604</v>
      </c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21" hidden="false" customHeight="true" outlineLevel="0" collapsed="false">
      <c r="A43" s="2" t="n">
        <v>3.16666667</v>
      </c>
      <c r="B43" s="14" t="n">
        <v>4.75378013746664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21" hidden="false" customHeight="true" outlineLevel="0" collapsed="false">
      <c r="A44" s="2" t="n">
        <v>3.25</v>
      </c>
      <c r="B44" s="14" t="n">
        <v>4.75254440261806</v>
      </c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21" hidden="false" customHeight="true" outlineLevel="0" collapsed="false">
      <c r="A45" s="2" t="n">
        <v>3.33333333</v>
      </c>
      <c r="B45" s="14" t="n">
        <v>4.75119248369806</v>
      </c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21" hidden="false" customHeight="true" outlineLevel="0" collapsed="false">
      <c r="A46" s="2" t="n">
        <v>3.41666667</v>
      </c>
      <c r="B46" s="14" t="n">
        <v>4.74975745215288</v>
      </c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21" hidden="false" customHeight="true" outlineLevel="0" collapsed="false">
      <c r="A47" s="2" t="n">
        <v>3.5</v>
      </c>
      <c r="B47" s="14" t="n">
        <v>4.74826828089788</v>
      </c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21" hidden="false" customHeight="true" outlineLevel="0" collapsed="false">
      <c r="A48" s="2" t="n">
        <v>3.58333333</v>
      </c>
      <c r="B48" s="14" t="n">
        <v>4.74675033325948</v>
      </c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21" hidden="false" customHeight="true" outlineLevel="0" collapsed="false">
      <c r="A49" s="2" t="n">
        <v>3.66666667</v>
      </c>
      <c r="B49" s="14" t="n">
        <v>4.74522574898082</v>
      </c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21" hidden="false" customHeight="true" outlineLevel="0" collapsed="false">
      <c r="A50" s="2" t="n">
        <v>3.75</v>
      </c>
      <c r="B50" s="14" t="n">
        <v>4.74371382603533</v>
      </c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21" hidden="false" customHeight="true" outlineLevel="0" collapsed="false">
      <c r="A51" s="2" t="n">
        <v>3.83333333</v>
      </c>
      <c r="B51" s="14" t="n">
        <v>4.74223131795288</v>
      </c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21" hidden="false" customHeight="true" outlineLevel="0" collapsed="false">
      <c r="A52" s="2" t="n">
        <v>3.91666667</v>
      </c>
      <c r="B52" s="14" t="n">
        <v>4.74079270676841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21" hidden="false" customHeight="true" outlineLevel="0" collapsed="false">
      <c r="A53" s="2" t="n">
        <v>4</v>
      </c>
      <c r="B53" s="14" t="n">
        <v>4.73941043704319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21" hidden="false" customHeight="true" outlineLevel="0" collapsed="false">
      <c r="A54" s="2" t="n">
        <v>4.08333333</v>
      </c>
      <c r="B54" s="14" t="n">
        <v>4.73809514315224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21" hidden="false" customHeight="true" outlineLevel="0" collapsed="false">
      <c r="A55" s="2" t="n">
        <v>4.16666667</v>
      </c>
      <c r="B55" s="14" t="n">
        <v>4.73685589299619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21" hidden="false" customHeight="true" outlineLevel="0" collapsed="false">
      <c r="A56" s="2" t="n">
        <v>4.25</v>
      </c>
      <c r="B56" s="14" t="n">
        <v>4.7357004650913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21" hidden="false" customHeight="true" outlineLevel="0" collapsed="false">
      <c r="A57" s="2" t="n">
        <v>4.33333333</v>
      </c>
      <c r="B57" s="14" t="n">
        <v>4.73463547124513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21" hidden="false" customHeight="true" outlineLevel="0" collapsed="false">
      <c r="A58" s="2" t="n">
        <v>4.41666667</v>
      </c>
      <c r="B58" s="14" t="n">
        <v>4.73366646897176</v>
      </c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21" hidden="false" customHeight="true" outlineLevel="0" collapsed="false">
      <c r="A59" s="2" t="n">
        <v>4.5</v>
      </c>
      <c r="B59" s="14" t="n">
        <v>4.73279805734729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21" hidden="false" customHeight="true" outlineLevel="0" collapsed="false">
      <c r="A60" s="2" t="n">
        <v>4.58333333</v>
      </c>
      <c r="B60" s="14" t="n">
        <v>4.73203397280158</v>
      </c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21" hidden="false" customHeight="true" outlineLevel="0" collapsed="false">
      <c r="A61" s="2" t="n">
        <v>4.66666667</v>
      </c>
      <c r="B61" s="14" t="n">
        <v>4.7313771491275</v>
      </c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21" hidden="false" customHeight="true" outlineLevel="0" collapsed="false">
      <c r="A62" s="2" t="n">
        <v>4.75</v>
      </c>
      <c r="B62" s="14" t="n">
        <v>4.73082980460194</v>
      </c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21" hidden="false" customHeight="true" outlineLevel="0" collapsed="false">
      <c r="A63" s="2" t="n">
        <v>4.83333333</v>
      </c>
      <c r="B63" s="14" t="n">
        <v>4.7303934954552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21" hidden="false" customHeight="true" outlineLevel="0" collapsed="false">
      <c r="A64" s="2" t="n">
        <v>4.91666667</v>
      </c>
      <c r="B64" s="14" t="n">
        <v>4.73006917359137</v>
      </c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21" hidden="false" customHeight="true" outlineLevel="0" collapsed="false">
      <c r="A65" s="2" t="n">
        <v>5</v>
      </c>
      <c r="B65" s="14" t="n">
        <v>4.72985723657513</v>
      </c>
      <c r="C65" s="2"/>
      <c r="D65" s="2"/>
      <c r="E65" s="2"/>
      <c r="F65" s="2"/>
      <c r="G65" s="2"/>
      <c r="H65" s="2"/>
      <c r="I65" s="2"/>
      <c r="J65" s="2"/>
      <c r="K65" s="2"/>
      <c r="L65" s="2"/>
    </row>
    <row r="66" customFormat="false" ht="15" hidden="false" customHeight="false" outlineLevel="0" collapsed="false">
      <c r="A66" s="0" t="n">
        <v>5.5</v>
      </c>
      <c r="B66" s="15" t="n">
        <v>4.73091712628563</v>
      </c>
    </row>
    <row r="67" customFormat="false" ht="15" hidden="false" customHeight="false" outlineLevel="0" collapsed="false">
      <c r="A67" s="0" t="n">
        <v>6</v>
      </c>
      <c r="B67" s="15" t="n">
        <v>4.73576070538388</v>
      </c>
    </row>
    <row r="68" customFormat="false" ht="15" hidden="false" customHeight="false" outlineLevel="0" collapsed="false">
      <c r="A68" s="0" t="n">
        <v>6.5</v>
      </c>
      <c r="B68" s="15" t="n">
        <v>4.74392134947184</v>
      </c>
    </row>
    <row r="69" customFormat="false" ht="15" hidden="false" customHeight="false" outlineLevel="0" collapsed="false">
      <c r="A69" s="0" t="n">
        <v>7</v>
      </c>
      <c r="B69" s="15" t="n">
        <v>4.75484749131385</v>
      </c>
    </row>
    <row r="70" customFormat="false" ht="15" hidden="false" customHeight="false" outlineLevel="0" collapsed="false">
      <c r="A70" s="0" t="n">
        <v>7.5</v>
      </c>
      <c r="B70" s="15" t="n">
        <v>4.76799923529789</v>
      </c>
    </row>
    <row r="71" customFormat="false" ht="15" hidden="false" customHeight="false" outlineLevel="0" collapsed="false">
      <c r="A71" s="0" t="n">
        <v>8</v>
      </c>
      <c r="B71" s="15" t="n">
        <v>4.78287892587826</v>
      </c>
    </row>
    <row r="72" customFormat="false" ht="15" hidden="false" customHeight="false" outlineLevel="0" collapsed="false">
      <c r="A72" s="0" t="n">
        <v>8.5</v>
      </c>
      <c r="B72" s="15" t="n">
        <v>4.79904768110946</v>
      </c>
    </row>
    <row r="73" customFormat="false" ht="15" hidden="false" customHeight="false" outlineLevel="0" collapsed="false">
      <c r="A73" s="0" t="n">
        <v>9</v>
      </c>
      <c r="B73" s="15" t="n">
        <v>4.81612802122771</v>
      </c>
    </row>
    <row r="74" customFormat="false" ht="15" hidden="false" customHeight="false" outlineLevel="0" collapsed="false">
      <c r="A74" s="0" t="n">
        <v>9.5</v>
      </c>
      <c r="B74" s="15" t="n">
        <v>4.83380423259383</v>
      </c>
    </row>
    <row r="75" customFormat="false" ht="15" hidden="false" customHeight="false" outlineLevel="0" collapsed="false">
      <c r="A75" s="0" t="n">
        <v>10</v>
      </c>
      <c r="B75" s="15" t="n">
        <v>4.85181380083162</v>
      </c>
    </row>
    <row r="76" customFormat="false" ht="15" hidden="false" customHeight="false" outlineLevel="0" collapsed="false">
      <c r="A76" s="0" t="n">
        <v>10.5</v>
      </c>
      <c r="B76" s="15" t="n">
        <v>4.86994028871143</v>
      </c>
    </row>
    <row r="77" customFormat="false" ht="15" hidden="false" customHeight="false" outlineLevel="0" collapsed="false">
      <c r="A77" s="0" t="n">
        <v>11</v>
      </c>
      <c r="B77" s="15" t="n">
        <v>4.8880045175259</v>
      </c>
    </row>
    <row r="78" customFormat="false" ht="15" hidden="false" customHeight="false" outlineLevel="0" collapsed="false">
      <c r="A78" s="0" t="n">
        <v>11.5</v>
      </c>
      <c r="B78" s="15" t="n">
        <v>4.90585765631858</v>
      </c>
    </row>
    <row r="79" customFormat="false" ht="15" hidden="false" customHeight="false" outlineLevel="0" collapsed="false">
      <c r="A79" s="0" t="n">
        <v>12</v>
      </c>
      <c r="B79" s="15" t="n">
        <v>4.92337553710361</v>
      </c>
    </row>
    <row r="80" customFormat="false" ht="15" hidden="false" customHeight="false" outlineLevel="0" collapsed="false">
      <c r="A80" s="0" t="n">
        <v>12.5</v>
      </c>
      <c r="B80" s="15" t="n">
        <v>4.94045437761583</v>
      </c>
    </row>
    <row r="81" customFormat="false" ht="15" hidden="false" customHeight="false" outlineLevel="0" collapsed="false">
      <c r="A81" s="0" t="n">
        <v>13</v>
      </c>
      <c r="B81" s="15" t="n">
        <v>4.95700829169386</v>
      </c>
    </row>
    <row r="82" customFormat="false" ht="15" hidden="false" customHeight="false" outlineLevel="0" collapsed="false">
      <c r="A82" s="0" t="n">
        <v>13.5</v>
      </c>
      <c r="B82" s="15" t="n">
        <v>4.97296735465016</v>
      </c>
    </row>
    <row r="83" customFormat="false" ht="15" hidden="false" customHeight="false" outlineLevel="0" collapsed="false">
      <c r="A83" s="0" t="n">
        <v>14</v>
      </c>
      <c r="B83" s="15" t="n">
        <v>4.9882748798295</v>
      </c>
    </row>
    <row r="84" customFormat="false" ht="15" hidden="false" customHeight="false" outlineLevel="0" collapsed="false">
      <c r="A84" s="0" t="n">
        <v>14.5</v>
      </c>
      <c r="B84" s="15" t="n">
        <v>5.00288521682595</v>
      </c>
    </row>
    <row r="85" customFormat="false" ht="15" hidden="false" customHeight="false" outlineLevel="0" collapsed="false">
      <c r="A85" s="0" t="n">
        <v>15</v>
      </c>
      <c r="B85" s="15" t="n">
        <v>5.01676285652196</v>
      </c>
    </row>
    <row r="86" customFormat="false" ht="15" hidden="false" customHeight="false" outlineLevel="0" collapsed="false">
      <c r="A86" s="0" t="n">
        <v>15.5</v>
      </c>
      <c r="B86" s="15" t="n">
        <v>5.02988159707058</v>
      </c>
    </row>
    <row r="87" customFormat="false" ht="15" hidden="false" customHeight="false" outlineLevel="0" collapsed="false">
      <c r="A87" s="0" t="n">
        <v>16</v>
      </c>
      <c r="B87" s="15" t="n">
        <v>5.04222110328844</v>
      </c>
    </row>
    <row r="88" customFormat="false" ht="15" hidden="false" customHeight="false" outlineLevel="0" collapsed="false">
      <c r="A88" s="0" t="n">
        <v>16.5</v>
      </c>
      <c r="B88" s="15" t="n">
        <v>5.05376393757869</v>
      </c>
    </row>
    <row r="89" customFormat="false" ht="15" hidden="false" customHeight="false" outlineLevel="0" collapsed="false">
      <c r="A89" s="0" t="n">
        <v>17</v>
      </c>
      <c r="B89" s="15" t="n">
        <v>5.06449564044606</v>
      </c>
    </row>
    <row r="90" customFormat="false" ht="15" hidden="false" customHeight="false" outlineLevel="0" collapsed="false">
      <c r="A90" s="0" t="n">
        <v>17.5</v>
      </c>
      <c r="B90" s="15" t="n">
        <v>5.07440502982245</v>
      </c>
    </row>
    <row r="91" customFormat="false" ht="15" hidden="false" customHeight="false" outlineLevel="0" collapsed="false">
      <c r="A91" s="0" t="n">
        <v>18</v>
      </c>
      <c r="B91" s="15" t="n">
        <v>5.08348381411663</v>
      </c>
    </row>
    <row r="92" customFormat="false" ht="15" hidden="false" customHeight="false" outlineLevel="0" collapsed="false">
      <c r="A92" s="0" t="n">
        <v>18.5</v>
      </c>
      <c r="B92" s="15" t="n">
        <v>5.09172620160931</v>
      </c>
    </row>
    <row r="93" customFormat="false" ht="15" hidden="false" customHeight="false" outlineLevel="0" collapsed="false">
      <c r="A93" s="0" t="n">
        <v>19</v>
      </c>
      <c r="B93" s="15" t="n">
        <v>5.09912857152261</v>
      </c>
    </row>
    <row r="94" customFormat="false" ht="15" hidden="false" customHeight="false" outlineLevel="0" collapsed="false">
      <c r="A94" s="0" t="n">
        <v>19.5</v>
      </c>
      <c r="B94" s="15" t="n">
        <v>5.10568919569422</v>
      </c>
    </row>
    <row r="95" customFormat="false" ht="15" hidden="false" customHeight="false" outlineLevel="0" collapsed="false">
      <c r="A95" s="0" t="n">
        <v>20</v>
      </c>
      <c r="B95" s="15" t="n">
        <v>5.1114080020005</v>
      </c>
    </row>
    <row r="96" customFormat="false" ht="15" hidden="false" customHeight="false" outlineLevel="0" collapsed="false">
      <c r="A96" s="0" t="n">
        <v>20.5</v>
      </c>
      <c r="B96" s="15" t="n">
        <v>5.11628644257491</v>
      </c>
    </row>
    <row r="97" customFormat="false" ht="15" hidden="false" customHeight="false" outlineLevel="0" collapsed="false">
      <c r="A97" s="0" t="n">
        <v>21</v>
      </c>
      <c r="B97" s="15" t="n">
        <v>5.12032815597389</v>
      </c>
    </row>
    <row r="98" customFormat="false" ht="15" hidden="false" customHeight="false" outlineLevel="0" collapsed="false">
      <c r="A98" s="0" t="n">
        <v>21.5</v>
      </c>
      <c r="B98" s="15" t="n">
        <v>5.12353960886823</v>
      </c>
    </row>
    <row r="99" customFormat="false" ht="15" hidden="false" customHeight="false" outlineLevel="0" collapsed="false">
      <c r="A99" s="0" t="n">
        <v>22</v>
      </c>
      <c r="B99" s="15" t="n">
        <v>5.12592986355266</v>
      </c>
    </row>
    <row r="100" customFormat="false" ht="15" hidden="false" customHeight="false" outlineLevel="0" collapsed="false">
      <c r="A100" s="0" t="n">
        <v>22.5</v>
      </c>
      <c r="B100" s="15" t="n">
        <v>5.12751028954331</v>
      </c>
    </row>
    <row r="101" customFormat="false" ht="15" hidden="false" customHeight="false" outlineLevel="0" collapsed="false">
      <c r="A101" s="0" t="n">
        <v>23</v>
      </c>
      <c r="B101" s="15" t="n">
        <v>5.12829431279285</v>
      </c>
    </row>
    <row r="102" customFormat="false" ht="15" hidden="false" customHeight="false" outlineLevel="0" collapsed="false">
      <c r="A102" s="0" t="n">
        <v>23.5</v>
      </c>
      <c r="B102" s="15" t="n">
        <v>5.12829719692058</v>
      </c>
    </row>
    <row r="103" customFormat="false" ht="15" hidden="false" customHeight="false" outlineLevel="0" collapsed="false">
      <c r="A103" s="0" t="n">
        <v>24</v>
      </c>
      <c r="B103" s="15" t="n">
        <v>5.12753585178885</v>
      </c>
    </row>
    <row r="104" customFormat="false" ht="15" hidden="false" customHeight="false" outlineLevel="0" collapsed="false">
      <c r="A104" s="0" t="n">
        <v>24.5</v>
      </c>
      <c r="B104" s="15" t="n">
        <v>5.12602866551908</v>
      </c>
    </row>
    <row r="105" customFormat="false" ht="15" hidden="false" customHeight="false" outlineLevel="0" collapsed="false">
      <c r="A105" s="0" t="n">
        <v>25</v>
      </c>
      <c r="B105" s="15" t="n">
        <v>5.12379535666582</v>
      </c>
    </row>
  </sheetData>
  <mergeCells count="2">
    <mergeCell ref="A1:H2"/>
    <mergeCell ref="D5:H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8" min="2" style="0" width="19"/>
  </cols>
  <sheetData>
    <row r="1" customFormat="false" ht="21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</row>
    <row r="2" customFormat="false" ht="21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</row>
    <row r="3" customFormat="false" ht="21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1" hidden="false" customHeight="true" outlineLevel="0" collapsed="false">
      <c r="A4" s="2" t="s">
        <v>66</v>
      </c>
      <c r="B4" s="4" t="b">
        <f aca="false">AND(ISNUMBER(Inputs!B6),Inputs!B6&gt;0,ISNUMBER(Inputs!B7),Inputs!B7&gt;=1/12,Inputs!B7&lt;=2,ISNUMBER(Inputs!B8),Inputs!B8=INT(Inputs!B8),Inputs!B8&gt;=1,Inputs!B8&lt;=10,ISNUMBER(Inputs!B9),Inputs!B9&gt;0,ISNUMBER(Inputs!B10),Inputs!B10&gt;=0,ISNUMBER(Inputs!B11),Inputs!B11&gt;=0,ISNUMBER(Inputs!B12),Inputs!B12&gt;=0,ISNUMBER(Inputs!B20),ISNUMBER(Inputs!B21),OR(Inputs!B13=0,Inputs!B13=1),OR(Inputs!B15=0,Inputs!B15=1))</f>
        <v>1</v>
      </c>
      <c r="C4" s="2"/>
      <c r="D4" s="2" t="s">
        <v>67</v>
      </c>
      <c r="E4" s="4" t="b">
        <f aca="false">AND(IF(OR(Inputs!B13=1,Inputs!B15=1),AND(Inputs!B18&lt;&gt;"",Inputs!B19&lt;&gt;""),TRUE()),IF(Inputs!B13=1,ISNUMBER(Inputs!B14),TRUE()),IF(Inputs!B15=1,AND(ISNUMBER(Inputs!B16),Inputs!B16&gt;=0,ISNUMBER(Inputs!B17),Inputs!B17&gt;=0),TRUE()))</f>
        <v>1</v>
      </c>
      <c r="F4" s="2"/>
      <c r="G4" s="2"/>
      <c r="H4" s="2"/>
      <c r="I4" s="2"/>
      <c r="J4" s="2"/>
      <c r="K4" s="2"/>
      <c r="L4" s="2"/>
    </row>
    <row r="5" customFormat="false" ht="21" hidden="false" customHeight="true" outlineLevel="0" collapsed="false">
      <c r="A5" s="8" t="s">
        <v>68</v>
      </c>
      <c r="B5" s="8" t="s">
        <v>69</v>
      </c>
      <c r="C5" s="8" t="s">
        <v>70</v>
      </c>
      <c r="D5" s="8" t="s">
        <v>71</v>
      </c>
      <c r="E5" s="8" t="s">
        <v>72</v>
      </c>
      <c r="F5" s="8" t="s">
        <v>73</v>
      </c>
      <c r="G5" s="8" t="s">
        <v>74</v>
      </c>
      <c r="H5" s="8" t="s">
        <v>75</v>
      </c>
      <c r="I5" s="2" t="s">
        <v>76</v>
      </c>
      <c r="J5" s="2" t="s">
        <v>77</v>
      </c>
      <c r="K5" s="2" t="s">
        <v>78</v>
      </c>
      <c r="L5" s="2"/>
    </row>
    <row r="6" customFormat="false" ht="21" hidden="false" customHeight="true" outlineLevel="0" collapsed="false">
      <c r="A6" s="2" t="s">
        <v>79</v>
      </c>
      <c r="B6" s="4" t="n">
        <f aca="false">Inputs!B7</f>
        <v>0.25</v>
      </c>
      <c r="C6" s="4" t="n">
        <f aca="false">IF(AND(B6&gt;=MIN(Curve!$A$6:$A$105),B6&lt;=MAX(Curve!$A$6:$A$105)),MIN(ROWS(Curve!$A$6:$A$105)-1,MATCH(B6,Curve!$A$6:$A$105,1)),NA())</f>
        <v>3</v>
      </c>
      <c r="D6" s="4" t="n">
        <f aca="false">INDEX(Curve!$A$6:$A$105,C6)</f>
        <v>0.25</v>
      </c>
      <c r="E6" s="4" t="n">
        <f aca="false">INDEX(Curve!$A$6:$A$105,C6+1)</f>
        <v>0.33333333</v>
      </c>
      <c r="F6" s="4" t="n">
        <f aca="false">INDEX(Curve!$B$6:$B$105,C6)</f>
        <v>4.0097259800193</v>
      </c>
      <c r="G6" s="4" t="n">
        <f aca="false">INDEX(Curve!$B$6:$B$105,C6+1)</f>
        <v>4.06675909810609</v>
      </c>
      <c r="H6" s="4" t="n">
        <f aca="false">F6+(G6-F6)*(B6-D6)/(E6-D6)+Inputs!B20/100</f>
        <v>4.0097259800193</v>
      </c>
      <c r="I6" s="16" t="n">
        <f aca="false">EXP(-H6/100*B6)</f>
        <v>0.99002576102958</v>
      </c>
      <c r="J6" s="16" t="n">
        <f aca="false">0</f>
        <v>0</v>
      </c>
      <c r="K6" s="16" t="n">
        <f aca="false">I6*J6</f>
        <v>0</v>
      </c>
      <c r="L6" s="2"/>
    </row>
    <row r="7" customFormat="false" ht="21" hidden="false" customHeight="true" outlineLevel="0" collapsed="false">
      <c r="A7" s="2" t="s">
        <v>80</v>
      </c>
      <c r="B7" s="4" t="n">
        <f aca="false">IF(1&lt;=Inputs!B8,Inputs!B7+1,Inputs!B7)</f>
        <v>1.25</v>
      </c>
      <c r="C7" s="4" t="n">
        <f aca="false">IF(AND(B7&gt;=MIN(Curve!$A$6:$A$105),B7&lt;=MAX(Curve!$A$6:$A$105)),MIN(ROWS(Curve!$A$6:$A$105)-1,MATCH(B7,Curve!$A$6:$A$105,1)),NA())</f>
        <v>15</v>
      </c>
      <c r="D7" s="4" t="n">
        <f aca="false">INDEX(Curve!$A$6:$A$105,C7)</f>
        <v>1.25</v>
      </c>
      <c r="E7" s="4" t="n">
        <f aca="false">INDEX(Curve!$A$6:$A$105,C7+1)</f>
        <v>1.33333333</v>
      </c>
      <c r="F7" s="4" t="n">
        <f aca="false">INDEX(Curve!$B$6:$B$105,C7)</f>
        <v>4.5768506880003</v>
      </c>
      <c r="G7" s="4" t="n">
        <f aca="false">INDEX(Curve!$B$6:$B$105,C7+1)</f>
        <v>4.60353395747631</v>
      </c>
      <c r="H7" s="4" t="n">
        <f aca="false">F7+(G7-F7)*(B7-D7)/(E7-D7)+Inputs!B20/100</f>
        <v>4.5768506880003</v>
      </c>
      <c r="I7" s="16" t="n">
        <f aca="false">EXP(-H7/100*B7)</f>
        <v>0.944395127069852</v>
      </c>
      <c r="J7" s="4" t="n">
        <f aca="false">IF(1&lt;=Inputs!B8,1,0)</f>
        <v>1</v>
      </c>
      <c r="K7" s="16" t="n">
        <f aca="false">I7*J7</f>
        <v>0.944395127069852</v>
      </c>
      <c r="L7" s="2"/>
    </row>
    <row r="8" customFormat="false" ht="21" hidden="false" customHeight="true" outlineLevel="0" collapsed="false">
      <c r="A8" s="2" t="s">
        <v>81</v>
      </c>
      <c r="B8" s="4" t="n">
        <f aca="false">IF(2&lt;=Inputs!B8,Inputs!B7+2,Inputs!B7)</f>
        <v>2.25</v>
      </c>
      <c r="C8" s="4" t="n">
        <f aca="false">IF(AND(B8&gt;=MIN(Curve!$A$6:$A$105),B8&lt;=MAX(Curve!$A$6:$A$105)),MIN(ROWS(Curve!$A$6:$A$105)-1,MATCH(B8,Curve!$A$6:$A$105,1)),NA())</f>
        <v>27</v>
      </c>
      <c r="D8" s="4" t="n">
        <f aca="false">INDEX(Curve!$A$6:$A$105,C8)</f>
        <v>2.25</v>
      </c>
      <c r="E8" s="4" t="n">
        <f aca="false">INDEX(Curve!$A$6:$A$105,C8+1)</f>
        <v>2.33333333</v>
      </c>
      <c r="F8" s="4" t="n">
        <f aca="false">INDEX(Curve!$B$6:$B$105,C8)</f>
        <v>4.74504736157295</v>
      </c>
      <c r="G8" s="4" t="n">
        <f aca="false">INDEX(Curve!$B$6:$B$105,C8+1)</f>
        <v>4.74879208378437</v>
      </c>
      <c r="H8" s="4" t="n">
        <f aca="false">F8+(G8-F8)*(B8-D8)/(E8-D8)+Inputs!B20/100</f>
        <v>4.74504736157295</v>
      </c>
      <c r="I8" s="16" t="n">
        <f aca="false">EXP(-H8/100*B8)</f>
        <v>0.898738140453199</v>
      </c>
      <c r="J8" s="4" t="n">
        <f aca="false">IF(2&lt;=Inputs!B8,1,0)</f>
        <v>1</v>
      </c>
      <c r="K8" s="16" t="n">
        <f aca="false">I8*J8</f>
        <v>0.898738140453199</v>
      </c>
      <c r="L8" s="2"/>
    </row>
    <row r="9" customFormat="false" ht="21" hidden="false" customHeight="true" outlineLevel="0" collapsed="false">
      <c r="A9" s="2" t="s">
        <v>82</v>
      </c>
      <c r="B9" s="4" t="n">
        <f aca="false">IF(3&lt;=Inputs!B8,Inputs!B7+3,Inputs!B7)</f>
        <v>0.25</v>
      </c>
      <c r="C9" s="4" t="n">
        <f aca="false">IF(AND(B9&gt;=MIN(Curve!$A$6:$A$105),B9&lt;=MAX(Curve!$A$6:$A$105)),MIN(ROWS(Curve!$A$6:$A$105)-1,MATCH(B9,Curve!$A$6:$A$105,1)),NA())</f>
        <v>3</v>
      </c>
      <c r="D9" s="4" t="n">
        <f aca="false">INDEX(Curve!$A$6:$A$105,C9)</f>
        <v>0.25</v>
      </c>
      <c r="E9" s="4" t="n">
        <f aca="false">INDEX(Curve!$A$6:$A$105,C9+1)</f>
        <v>0.33333333</v>
      </c>
      <c r="F9" s="4" t="n">
        <f aca="false">INDEX(Curve!$B$6:$B$105,C9)</f>
        <v>4.0097259800193</v>
      </c>
      <c r="G9" s="4" t="n">
        <f aca="false">INDEX(Curve!$B$6:$B$105,C9+1)</f>
        <v>4.06675909810609</v>
      </c>
      <c r="H9" s="4" t="n">
        <f aca="false">F9+(G9-F9)*(B9-D9)/(E9-D9)+Inputs!B20/100</f>
        <v>4.0097259800193</v>
      </c>
      <c r="I9" s="16" t="n">
        <f aca="false">EXP(-H9/100*B9)</f>
        <v>0.99002576102958</v>
      </c>
      <c r="J9" s="4" t="n">
        <f aca="false">IF(3&lt;=Inputs!B8,1,0)</f>
        <v>0</v>
      </c>
      <c r="K9" s="16" t="n">
        <f aca="false">I9*J9</f>
        <v>0</v>
      </c>
      <c r="L9" s="2"/>
    </row>
    <row r="10" customFormat="false" ht="21" hidden="false" customHeight="true" outlineLevel="0" collapsed="false">
      <c r="A10" s="2" t="s">
        <v>83</v>
      </c>
      <c r="B10" s="4" t="n">
        <f aca="false">IF(4&lt;=Inputs!B8,Inputs!B7+4,Inputs!B7)</f>
        <v>0.25</v>
      </c>
      <c r="C10" s="4" t="n">
        <f aca="false">IF(AND(B10&gt;=MIN(Curve!$A$6:$A$105),B10&lt;=MAX(Curve!$A$6:$A$105)),MIN(ROWS(Curve!$A$6:$A$105)-1,MATCH(B10,Curve!$A$6:$A$105,1)),NA())</f>
        <v>3</v>
      </c>
      <c r="D10" s="4" t="n">
        <f aca="false">INDEX(Curve!$A$6:$A$105,C10)</f>
        <v>0.25</v>
      </c>
      <c r="E10" s="4" t="n">
        <f aca="false">INDEX(Curve!$A$6:$A$105,C10+1)</f>
        <v>0.33333333</v>
      </c>
      <c r="F10" s="4" t="n">
        <f aca="false">INDEX(Curve!$B$6:$B$105,C10)</f>
        <v>4.0097259800193</v>
      </c>
      <c r="G10" s="4" t="n">
        <f aca="false">INDEX(Curve!$B$6:$B$105,C10+1)</f>
        <v>4.06675909810609</v>
      </c>
      <c r="H10" s="4" t="n">
        <f aca="false">F10+(G10-F10)*(B10-D10)/(E10-D10)+Inputs!B20/100</f>
        <v>4.0097259800193</v>
      </c>
      <c r="I10" s="16" t="n">
        <f aca="false">EXP(-H10/100*B10)</f>
        <v>0.99002576102958</v>
      </c>
      <c r="J10" s="4" t="n">
        <f aca="false">IF(4&lt;=Inputs!B8,1,0)</f>
        <v>0</v>
      </c>
      <c r="K10" s="16" t="n">
        <f aca="false">I10*J10</f>
        <v>0</v>
      </c>
      <c r="L10" s="2"/>
    </row>
    <row r="11" customFormat="false" ht="21" hidden="false" customHeight="true" outlineLevel="0" collapsed="false">
      <c r="A11" s="2" t="s">
        <v>84</v>
      </c>
      <c r="B11" s="4" t="n">
        <f aca="false">IF(5&lt;=Inputs!B8,Inputs!B7+5,Inputs!B7)</f>
        <v>0.25</v>
      </c>
      <c r="C11" s="4" t="n">
        <f aca="false">IF(AND(B11&gt;=MIN(Curve!$A$6:$A$105),B11&lt;=MAX(Curve!$A$6:$A$105)),MIN(ROWS(Curve!$A$6:$A$105)-1,MATCH(B11,Curve!$A$6:$A$105,1)),NA())</f>
        <v>3</v>
      </c>
      <c r="D11" s="4" t="n">
        <f aca="false">INDEX(Curve!$A$6:$A$105,C11)</f>
        <v>0.25</v>
      </c>
      <c r="E11" s="4" t="n">
        <f aca="false">INDEX(Curve!$A$6:$A$105,C11+1)</f>
        <v>0.33333333</v>
      </c>
      <c r="F11" s="4" t="n">
        <f aca="false">INDEX(Curve!$B$6:$B$105,C11)</f>
        <v>4.0097259800193</v>
      </c>
      <c r="G11" s="4" t="n">
        <f aca="false">INDEX(Curve!$B$6:$B$105,C11+1)</f>
        <v>4.06675909810609</v>
      </c>
      <c r="H11" s="4" t="n">
        <f aca="false">F11+(G11-F11)*(B11-D11)/(E11-D11)+Inputs!B20/100</f>
        <v>4.0097259800193</v>
      </c>
      <c r="I11" s="16" t="n">
        <f aca="false">EXP(-H11/100*B11)</f>
        <v>0.99002576102958</v>
      </c>
      <c r="J11" s="4" t="n">
        <f aca="false">IF(5&lt;=Inputs!B8,1,0)</f>
        <v>0</v>
      </c>
      <c r="K11" s="16" t="n">
        <f aca="false">I11*J11</f>
        <v>0</v>
      </c>
      <c r="L11" s="2"/>
    </row>
    <row r="12" customFormat="false" ht="21" hidden="false" customHeight="true" outlineLevel="0" collapsed="false">
      <c r="A12" s="2" t="s">
        <v>85</v>
      </c>
      <c r="B12" s="4" t="n">
        <f aca="false">IF(6&lt;=Inputs!B8,Inputs!B7+6,Inputs!B7)</f>
        <v>0.25</v>
      </c>
      <c r="C12" s="4" t="n">
        <f aca="false">IF(AND(B12&gt;=MIN(Curve!$A$6:$A$105),B12&lt;=MAX(Curve!$A$6:$A$105)),MIN(ROWS(Curve!$A$6:$A$105)-1,MATCH(B12,Curve!$A$6:$A$105,1)),NA())</f>
        <v>3</v>
      </c>
      <c r="D12" s="4" t="n">
        <f aca="false">INDEX(Curve!$A$6:$A$105,C12)</f>
        <v>0.25</v>
      </c>
      <c r="E12" s="4" t="n">
        <f aca="false">INDEX(Curve!$A$6:$A$105,C12+1)</f>
        <v>0.33333333</v>
      </c>
      <c r="F12" s="4" t="n">
        <f aca="false">INDEX(Curve!$B$6:$B$105,C12)</f>
        <v>4.0097259800193</v>
      </c>
      <c r="G12" s="4" t="n">
        <f aca="false">INDEX(Curve!$B$6:$B$105,C12+1)</f>
        <v>4.06675909810609</v>
      </c>
      <c r="H12" s="4" t="n">
        <f aca="false">F12+(G12-F12)*(B12-D12)/(E12-D12)+Inputs!B20/100</f>
        <v>4.0097259800193</v>
      </c>
      <c r="I12" s="16" t="n">
        <f aca="false">EXP(-H12/100*B12)</f>
        <v>0.99002576102958</v>
      </c>
      <c r="J12" s="4" t="n">
        <f aca="false">IF(6&lt;=Inputs!B8,1,0)</f>
        <v>0</v>
      </c>
      <c r="K12" s="16" t="n">
        <f aca="false">I12*J12</f>
        <v>0</v>
      </c>
      <c r="L12" s="2"/>
    </row>
    <row r="13" customFormat="false" ht="21" hidden="false" customHeight="true" outlineLevel="0" collapsed="false">
      <c r="A13" s="2" t="s">
        <v>86</v>
      </c>
      <c r="B13" s="4" t="n">
        <f aca="false">IF(7&lt;=Inputs!B8,Inputs!B7+7,Inputs!B7)</f>
        <v>0.25</v>
      </c>
      <c r="C13" s="4" t="n">
        <f aca="false">IF(AND(B13&gt;=MIN(Curve!$A$6:$A$105),B13&lt;=MAX(Curve!$A$6:$A$105)),MIN(ROWS(Curve!$A$6:$A$105)-1,MATCH(B13,Curve!$A$6:$A$105,1)),NA())</f>
        <v>3</v>
      </c>
      <c r="D13" s="4" t="n">
        <f aca="false">INDEX(Curve!$A$6:$A$105,C13)</f>
        <v>0.25</v>
      </c>
      <c r="E13" s="4" t="n">
        <f aca="false">INDEX(Curve!$A$6:$A$105,C13+1)</f>
        <v>0.33333333</v>
      </c>
      <c r="F13" s="4" t="n">
        <f aca="false">INDEX(Curve!$B$6:$B$105,C13)</f>
        <v>4.0097259800193</v>
      </c>
      <c r="G13" s="4" t="n">
        <f aca="false">INDEX(Curve!$B$6:$B$105,C13+1)</f>
        <v>4.06675909810609</v>
      </c>
      <c r="H13" s="4" t="n">
        <f aca="false">F13+(G13-F13)*(B13-D13)/(E13-D13)+Inputs!B20/100</f>
        <v>4.0097259800193</v>
      </c>
      <c r="I13" s="16" t="n">
        <f aca="false">EXP(-H13/100*B13)</f>
        <v>0.99002576102958</v>
      </c>
      <c r="J13" s="4" t="n">
        <f aca="false">IF(7&lt;=Inputs!B8,1,0)</f>
        <v>0</v>
      </c>
      <c r="K13" s="16" t="n">
        <f aca="false">I13*J13</f>
        <v>0</v>
      </c>
      <c r="L13" s="2"/>
    </row>
    <row r="14" customFormat="false" ht="21" hidden="false" customHeight="true" outlineLevel="0" collapsed="false">
      <c r="A14" s="2" t="s">
        <v>87</v>
      </c>
      <c r="B14" s="4" t="n">
        <f aca="false">IF(8&lt;=Inputs!B8,Inputs!B7+8,Inputs!B7)</f>
        <v>0.25</v>
      </c>
      <c r="C14" s="4" t="n">
        <f aca="false">IF(AND(B14&gt;=MIN(Curve!$A$6:$A$105),B14&lt;=MAX(Curve!$A$6:$A$105)),MIN(ROWS(Curve!$A$6:$A$105)-1,MATCH(B14,Curve!$A$6:$A$105,1)),NA())</f>
        <v>3</v>
      </c>
      <c r="D14" s="4" t="n">
        <f aca="false">INDEX(Curve!$A$6:$A$105,C14)</f>
        <v>0.25</v>
      </c>
      <c r="E14" s="4" t="n">
        <f aca="false">INDEX(Curve!$A$6:$A$105,C14+1)</f>
        <v>0.33333333</v>
      </c>
      <c r="F14" s="4" t="n">
        <f aca="false">INDEX(Curve!$B$6:$B$105,C14)</f>
        <v>4.0097259800193</v>
      </c>
      <c r="G14" s="4" t="n">
        <f aca="false">INDEX(Curve!$B$6:$B$105,C14+1)</f>
        <v>4.06675909810609</v>
      </c>
      <c r="H14" s="4" t="n">
        <f aca="false">F14+(G14-F14)*(B14-D14)/(E14-D14)+Inputs!B20/100</f>
        <v>4.0097259800193</v>
      </c>
      <c r="I14" s="16" t="n">
        <f aca="false">EXP(-H14/100*B14)</f>
        <v>0.99002576102958</v>
      </c>
      <c r="J14" s="4" t="n">
        <f aca="false">IF(8&lt;=Inputs!B8,1,0)</f>
        <v>0</v>
      </c>
      <c r="K14" s="16" t="n">
        <f aca="false">I14*J14</f>
        <v>0</v>
      </c>
      <c r="L14" s="2"/>
    </row>
    <row r="15" customFormat="false" ht="21" hidden="false" customHeight="true" outlineLevel="0" collapsed="false">
      <c r="A15" s="2" t="s">
        <v>88</v>
      </c>
      <c r="B15" s="4" t="n">
        <f aca="false">IF(9&lt;=Inputs!B8,Inputs!B7+9,Inputs!B7)</f>
        <v>0.25</v>
      </c>
      <c r="C15" s="4" t="n">
        <f aca="false">IF(AND(B15&gt;=MIN(Curve!$A$6:$A$105),B15&lt;=MAX(Curve!$A$6:$A$105)),MIN(ROWS(Curve!$A$6:$A$105)-1,MATCH(B15,Curve!$A$6:$A$105,1)),NA())</f>
        <v>3</v>
      </c>
      <c r="D15" s="4" t="n">
        <f aca="false">INDEX(Curve!$A$6:$A$105,C15)</f>
        <v>0.25</v>
      </c>
      <c r="E15" s="4" t="n">
        <f aca="false">INDEX(Curve!$A$6:$A$105,C15+1)</f>
        <v>0.33333333</v>
      </c>
      <c r="F15" s="4" t="n">
        <f aca="false">INDEX(Curve!$B$6:$B$105,C15)</f>
        <v>4.0097259800193</v>
      </c>
      <c r="G15" s="4" t="n">
        <f aca="false">INDEX(Curve!$B$6:$B$105,C15+1)</f>
        <v>4.06675909810609</v>
      </c>
      <c r="H15" s="4" t="n">
        <f aca="false">F15+(G15-F15)*(B15-D15)/(E15-D15)+Inputs!B20/100</f>
        <v>4.0097259800193</v>
      </c>
      <c r="I15" s="16" t="n">
        <f aca="false">EXP(-H15/100*B15)</f>
        <v>0.99002576102958</v>
      </c>
      <c r="J15" s="4" t="n">
        <f aca="false">IF(9&lt;=Inputs!B8,1,0)</f>
        <v>0</v>
      </c>
      <c r="K15" s="16" t="n">
        <f aca="false">I15*J15</f>
        <v>0</v>
      </c>
      <c r="L15" s="2"/>
    </row>
    <row r="16" customFormat="false" ht="21" hidden="false" customHeight="true" outlineLevel="0" collapsed="false">
      <c r="A16" s="2" t="s">
        <v>89</v>
      </c>
      <c r="B16" s="4" t="n">
        <f aca="false">IF(10&lt;=Inputs!B8,Inputs!B7+10,Inputs!B7)</f>
        <v>0.25</v>
      </c>
      <c r="C16" s="4" t="n">
        <f aca="false">IF(AND(B16&gt;=MIN(Curve!$A$6:$A$105),B16&lt;=MAX(Curve!$A$6:$A$105)),MIN(ROWS(Curve!$A$6:$A$105)-1,MATCH(B16,Curve!$A$6:$A$105,1)),NA())</f>
        <v>3</v>
      </c>
      <c r="D16" s="4" t="n">
        <f aca="false">INDEX(Curve!$A$6:$A$105,C16)</f>
        <v>0.25</v>
      </c>
      <c r="E16" s="4" t="n">
        <f aca="false">INDEX(Curve!$A$6:$A$105,C16+1)</f>
        <v>0.33333333</v>
      </c>
      <c r="F16" s="4" t="n">
        <f aca="false">INDEX(Curve!$B$6:$B$105,C16)</f>
        <v>4.0097259800193</v>
      </c>
      <c r="G16" s="4" t="n">
        <f aca="false">INDEX(Curve!$B$6:$B$105,C16+1)</f>
        <v>4.06675909810609</v>
      </c>
      <c r="H16" s="4" t="n">
        <f aca="false">F16+(G16-F16)*(B16-D16)/(E16-D16)+Inputs!B20/100</f>
        <v>4.0097259800193</v>
      </c>
      <c r="I16" s="16" t="n">
        <f aca="false">EXP(-H16/100*B16)</f>
        <v>0.99002576102958</v>
      </c>
      <c r="J16" s="4" t="n">
        <f aca="false">IF(10&lt;=Inputs!B8,1,0)</f>
        <v>0</v>
      </c>
      <c r="K16" s="16" t="n">
        <f aca="false">I16*J16</f>
        <v>0</v>
      </c>
      <c r="L16" s="2"/>
    </row>
    <row r="17" customFormat="false" ht="21" hidden="false" customHeight="true" outlineLevel="0" collapsed="false">
      <c r="A17" s="2" t="s">
        <v>90</v>
      </c>
      <c r="B17" s="4" t="n">
        <f aca="false">Inputs!B7+Inputs!B8</f>
        <v>2.25</v>
      </c>
      <c r="C17" s="4" t="n">
        <f aca="false">IF(AND(B17&gt;=MIN(Curve!$A$6:$A$105),B17&lt;=MAX(Curve!$A$6:$A$105)),MIN(ROWS(Curve!$A$6:$A$105)-1,MATCH(B17,Curve!$A$6:$A$105,1)),NA())</f>
        <v>27</v>
      </c>
      <c r="D17" s="4" t="n">
        <f aca="false">INDEX(Curve!$A$6:$A$105,C17)</f>
        <v>2.25</v>
      </c>
      <c r="E17" s="4" t="n">
        <f aca="false">INDEX(Curve!$A$6:$A$105,C17+1)</f>
        <v>2.33333333</v>
      </c>
      <c r="F17" s="4" t="n">
        <f aca="false">INDEX(Curve!$B$6:$B$105,C17)</f>
        <v>4.74504736157295</v>
      </c>
      <c r="G17" s="4" t="n">
        <f aca="false">INDEX(Curve!$B$6:$B$105,C17+1)</f>
        <v>4.74879208378437</v>
      </c>
      <c r="H17" s="4" t="n">
        <f aca="false">F17+(G17-F17)*(B17-D17)/(E17-D17)+Inputs!B20/100</f>
        <v>4.74504736157295</v>
      </c>
      <c r="I17" s="16" t="n">
        <f aca="false">EXP(-H17/100*B17)</f>
        <v>0.898738140453199</v>
      </c>
      <c r="J17" s="16" t="n">
        <f aca="false">0</f>
        <v>0</v>
      </c>
      <c r="K17" s="16" t="n">
        <f aca="false">I17*J17</f>
        <v>0</v>
      </c>
      <c r="L17" s="2"/>
    </row>
    <row r="18" customFormat="false" ht="21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1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1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34" hidden="false" customHeight="true" outlineLevel="0" collapsed="false">
      <c r="A21" s="2" t="s">
        <v>91</v>
      </c>
      <c r="B21" s="17" t="n">
        <f aca="false">(I6-I17)/B22</f>
        <v>0.0495284970354101</v>
      </c>
      <c r="C21" s="2"/>
      <c r="D21" s="3" t="s">
        <v>92</v>
      </c>
      <c r="E21" s="3"/>
      <c r="F21" s="3"/>
      <c r="G21" s="3"/>
      <c r="H21" s="3"/>
      <c r="I21" s="3"/>
      <c r="J21" s="3"/>
      <c r="K21" s="3"/>
      <c r="L21" s="2"/>
    </row>
    <row r="22" customFormat="false" ht="34" hidden="false" customHeight="true" outlineLevel="0" collapsed="false">
      <c r="A22" s="2" t="s">
        <v>5</v>
      </c>
      <c r="B22" s="17" t="n">
        <f aca="false">SUM(K7:K16)</f>
        <v>1.84313326752305</v>
      </c>
      <c r="C22" s="2"/>
      <c r="D22" s="3"/>
      <c r="E22" s="3"/>
      <c r="F22" s="3"/>
      <c r="G22" s="3"/>
      <c r="H22" s="3"/>
      <c r="I22" s="3"/>
      <c r="J22" s="3"/>
      <c r="K22" s="3"/>
      <c r="L22" s="2"/>
    </row>
    <row r="23" customFormat="false" ht="34" hidden="false" customHeight="true" outlineLevel="0" collapsed="false">
      <c r="A23" s="2" t="s">
        <v>93</v>
      </c>
      <c r="B23" s="18" t="n">
        <f aca="false">Inputs!B6*B22/10000</f>
        <v>18431.3326752305</v>
      </c>
      <c r="C23" s="2"/>
      <c r="D23" s="3"/>
      <c r="E23" s="3"/>
      <c r="F23" s="3"/>
      <c r="G23" s="3"/>
      <c r="H23" s="3"/>
      <c r="I23" s="3"/>
      <c r="J23" s="3"/>
      <c r="K23" s="3"/>
      <c r="L23" s="2"/>
    </row>
    <row r="24" customFormat="false" ht="21" hidden="false" customHeight="true" outlineLevel="0" collapsed="false">
      <c r="A24" s="2" t="s">
        <v>94</v>
      </c>
      <c r="B24" s="5" t="n">
        <f aca="false">IF(AND(B4,E4),IF(Inputs!B13=1,Inputs!B14,B21),NA())</f>
        <v>0.0495284970354101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21" hidden="false" customHeight="true" outlineLevel="0" collapsed="false">
      <c r="A25" s="2" t="s">
        <v>95</v>
      </c>
      <c r="B25" s="18" t="n">
        <f aca="false">IF(AND(B4,E4),IF(Inputs!B15=1,Inputs!B16,Inputs!B10),NA())</f>
        <v>80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21" hidden="false" customHeight="true" outlineLevel="0" collapsed="false">
      <c r="A26" s="2" t="s">
        <v>96</v>
      </c>
      <c r="B26" s="18" t="n">
        <f aca="false">IF(AND(B4,E4),IF(Inputs!B15=1,Inputs!B17,Inputs!B11),NA())</f>
        <v>80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21" hidden="false" customHeight="true" outlineLevel="0" collapsed="false">
      <c r="A27" s="2" t="s">
        <v>97</v>
      </c>
      <c r="B27" s="19" t="n">
        <f aca="false">B24</f>
        <v>0.0495284970354101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1" hidden="false" customHeight="true" outlineLevel="0" collapsed="false">
      <c r="A28" s="2" t="s">
        <v>98</v>
      </c>
      <c r="B28" s="5" t="n">
        <f aca="false">B27-Inputs!B9/10000</f>
        <v>0.0470284970354101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1" hidden="false" customHeight="true" outlineLevel="0" collapsed="false">
      <c r="A29" s="2" t="s">
        <v>99</v>
      </c>
      <c r="B29" s="4" t="n">
        <f aca="false">B25/10000*SQRT(Inputs!B7)</f>
        <v>0.004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1" hidden="false" customHeight="true" outlineLevel="0" collapsed="false">
      <c r="A30" s="2" t="s">
        <v>100</v>
      </c>
      <c r="B30" s="4" t="n">
        <f aca="false">B26/10000*SQRT(Inputs!B7)</f>
        <v>0.004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1" hidden="false" customHeight="true" outlineLevel="0" collapsed="false">
      <c r="A31" s="2" t="s">
        <v>101</v>
      </c>
      <c r="B31" s="16" t="n">
        <f aca="false">IF(B29=0,0,(B27-B24)/B29)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1" hidden="false" customHeight="true" outlineLevel="0" collapsed="false">
      <c r="A32" s="2" t="s">
        <v>102</v>
      </c>
      <c r="B32" s="16" t="n">
        <f aca="false">IF(B30=0,0,(B28-B24)/B30)</f>
        <v>-0.625000000000001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1" hidden="false" customHeight="true" outlineLevel="0" collapsed="false">
      <c r="A33" s="2" t="s">
        <v>103</v>
      </c>
      <c r="B33" s="20" t="n">
        <f aca="false">IF(B29=0,MAX(B27-B24,0),(B27-B24)*NORMSDIST(B31)+B29*EXP(-(B31^2)/2)/SQRT(2*PI()))</f>
        <v>0.00159576912160573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1" hidden="false" customHeight="true" outlineLevel="0" collapsed="false">
      <c r="A34" s="2" t="s">
        <v>104</v>
      </c>
      <c r="B34" s="20" t="n">
        <f aca="false">IF(B30=0,MAX(B28-B24,0),(B28-B24)*NORMSDIST(B32)+B30*EXP(-(B32^2)/2)/SQRT(2*PI()))</f>
        <v>0.000647680051579748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1" hidden="false" customHeight="true" outlineLevel="0" collapsed="false">
      <c r="A35" s="2" t="s">
        <v>105</v>
      </c>
      <c r="B35" s="20" t="n">
        <f aca="false">B33-B34</f>
        <v>0.000948089070025983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1" hidden="false" customHeight="true" outlineLevel="0" collapsed="false">
      <c r="A36" s="2" t="s">
        <v>106</v>
      </c>
      <c r="B36" s="4" t="b">
        <f aca="false">AND(B35&gt;=0,B35&lt;=Inputs!B9/10000)</f>
        <v>1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1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1" hidden="false" customHeight="true" outlineLevel="0" collapsed="false">
      <c r="A38" s="2" t="s">
        <v>107</v>
      </c>
      <c r="B38" s="21" t="n">
        <f aca="false">IF(B29=0,-0.5,-NORMSDIST(B31))*B23</f>
        <v>-9215.66633761525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21" hidden="false" customHeight="true" outlineLevel="0" collapsed="false">
      <c r="A39" s="2" t="s">
        <v>108</v>
      </c>
      <c r="B39" s="21" t="n">
        <f aca="false">B38-IF(B30=0,0,-NORMSDIST(B32)*B23)</f>
        <v>-4313.19856492147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21" hidden="false" customHeight="true" outlineLevel="0" collapsed="false">
      <c r="A40" s="2" t="s">
        <v>109</v>
      </c>
      <c r="B40" s="6" t="n">
        <f aca="false">IF(B29=0,0,Inputs!B6*B22*SQRT(Inputs!B7)*EXP(-(B31^2)/2)/SQRT(2*PI())/10000)</f>
        <v>3676.51894414695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21" hidden="false" customHeight="true" outlineLevel="0" collapsed="false">
      <c r="A41" s="2" t="s">
        <v>110</v>
      </c>
      <c r="B41" s="6" t="n">
        <f aca="false">B40-IF(B30=0,0,Inputs!B6*B22*SQRT(Inputs!B7)*EXP(-(B32^2)/2)/SQRT(2*PI())/10000)</f>
        <v>652.296952958041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21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21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21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21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21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21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21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21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21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21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21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21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21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21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21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21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21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21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21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21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21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21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21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21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</sheetData>
  <mergeCells count="2">
    <mergeCell ref="A1:H2"/>
    <mergeCell ref="D21:K23"/>
  </mergeCells>
  <conditionalFormatting sqref="B4">
    <cfRule type="expression" priority="2" aboveAverage="0" equalAverage="0" bottom="0" percent="0" rank="0" text="" dxfId="0">
      <formula>B4=0</formula>
    </cfRule>
  </conditionalFormatting>
  <conditionalFormatting sqref="E4">
    <cfRule type="expression" priority="3" aboveAverage="0" equalAverage="0" bottom="0" percent="0" rank="0" text="" dxfId="1">
      <formula>E4=0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8" min="2" style="0" width="19"/>
  </cols>
  <sheetData>
    <row r="1" customFormat="false" ht="21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</row>
    <row r="2" customFormat="false" ht="21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</row>
    <row r="3" customFormat="false" ht="21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1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21" hidden="false" customHeight="true" outlineLevel="0" collapsed="false">
      <c r="A5" s="8" t="s">
        <v>112</v>
      </c>
      <c r="B5" s="8" t="s">
        <v>113</v>
      </c>
      <c r="C5" s="8" t="s">
        <v>114</v>
      </c>
      <c r="D5" s="8" t="s">
        <v>115</v>
      </c>
      <c r="E5" s="8" t="s">
        <v>116</v>
      </c>
      <c r="F5" s="8"/>
      <c r="G5" s="8"/>
      <c r="H5" s="8"/>
      <c r="I5" s="2"/>
      <c r="J5" s="2"/>
      <c r="K5" s="2"/>
      <c r="L5" s="2"/>
    </row>
    <row r="6" customFormat="false" ht="21" hidden="false" customHeight="true" outlineLevel="0" collapsed="false">
      <c r="A6" s="2" t="n">
        <v>-100</v>
      </c>
      <c r="B6" s="22" t="n">
        <f aca="false">(-A6-Inputs!$B$12)*Pricing!$B$23</f>
        <v>1824701.93484782</v>
      </c>
      <c r="C6" s="22" t="n">
        <f aca="false">(MAX(-A6,0)-Summary!$B$13-Inputs!$B$12)*Pricing!$B$23</f>
        <v>1530580.41931606</v>
      </c>
      <c r="D6" s="22" t="n">
        <f aca="false">IF(Pricing!$B$36,(MIN(MAX(-A6,0),Inputs!$B$9)-Summary!$B$14-Inputs!$B$12)*Pricing!$B$23,NA())</f>
        <v>267606.533651544</v>
      </c>
      <c r="E6" s="23" t="n">
        <f aca="false">D6-C6</f>
        <v>-1262973.88566452</v>
      </c>
      <c r="F6" s="2"/>
      <c r="G6" s="2"/>
      <c r="H6" s="2"/>
      <c r="I6" s="2"/>
      <c r="J6" s="2"/>
      <c r="K6" s="2"/>
      <c r="L6" s="2"/>
    </row>
    <row r="7" customFormat="false" ht="21" hidden="false" customHeight="true" outlineLevel="0" collapsed="false">
      <c r="A7" s="2" t="n">
        <v>-75</v>
      </c>
      <c r="B7" s="22" t="n">
        <f aca="false">(-A7-Inputs!$B$12)*Pricing!$B$23</f>
        <v>1363918.61796706</v>
      </c>
      <c r="C7" s="22" t="n">
        <f aca="false">(MAX(-A7,0)-Summary!$B$13-Inputs!$B$12)*Pricing!$B$23</f>
        <v>1069797.1024353</v>
      </c>
      <c r="D7" s="22" t="n">
        <f aca="false">IF(Pricing!$B$36,(MIN(MAX(-A7,0),Inputs!$B$9)-Summary!$B$14-Inputs!$B$12)*Pricing!$B$23,NA())</f>
        <v>267606.533651544</v>
      </c>
      <c r="E7" s="23" t="n">
        <f aca="false">D7-C7</f>
        <v>-802190.568783758</v>
      </c>
      <c r="F7" s="2"/>
      <c r="G7" s="2"/>
      <c r="H7" s="2"/>
      <c r="I7" s="2"/>
      <c r="J7" s="2"/>
      <c r="K7" s="2"/>
      <c r="L7" s="2"/>
    </row>
    <row r="8" customFormat="false" ht="21" hidden="false" customHeight="true" outlineLevel="0" collapsed="false">
      <c r="A8" s="2" t="n">
        <v>-50</v>
      </c>
      <c r="B8" s="22" t="n">
        <f aca="false">(-A8-Inputs!$B$12)*Pricing!$B$23</f>
        <v>903135.301086295</v>
      </c>
      <c r="C8" s="22" t="n">
        <f aca="false">(MAX(-A8,0)-Summary!$B$13-Inputs!$B$12)*Pricing!$B$23</f>
        <v>609013.785554539</v>
      </c>
      <c r="D8" s="22" t="n">
        <f aca="false">IF(Pricing!$B$36,(MIN(MAX(-A8,0),Inputs!$B$9)-Summary!$B$14-Inputs!$B$12)*Pricing!$B$23,NA())</f>
        <v>267606.533651544</v>
      </c>
      <c r="E8" s="23" t="n">
        <f aca="false">D8-C8</f>
        <v>-341407.251902995</v>
      </c>
      <c r="F8" s="2"/>
      <c r="G8" s="2"/>
      <c r="H8" s="2"/>
      <c r="I8" s="2"/>
      <c r="J8" s="2"/>
      <c r="K8" s="2"/>
      <c r="L8" s="2"/>
    </row>
    <row r="9" customFormat="false" ht="21" hidden="false" customHeight="true" outlineLevel="0" collapsed="false">
      <c r="A9" s="2" t="n">
        <v>-25</v>
      </c>
      <c r="B9" s="22" t="n">
        <f aca="false">(-A9-Inputs!$B$12)*Pricing!$B$23</f>
        <v>442351.984205532</v>
      </c>
      <c r="C9" s="22" t="n">
        <f aca="false">(MAX(-A9,0)-Summary!$B$13-Inputs!$B$12)*Pricing!$B$23</f>
        <v>148230.468673776</v>
      </c>
      <c r="D9" s="22" t="n">
        <f aca="false">IF(Pricing!$B$36,(MIN(MAX(-A9,0),Inputs!$B$9)-Summary!$B$14-Inputs!$B$12)*Pricing!$B$23,NA())</f>
        <v>267606.533651544</v>
      </c>
      <c r="E9" s="23" t="n">
        <f aca="false">D9-C9</f>
        <v>119376.064977768</v>
      </c>
      <c r="F9" s="2"/>
      <c r="G9" s="2"/>
      <c r="H9" s="2"/>
      <c r="I9" s="2"/>
      <c r="J9" s="2"/>
      <c r="K9" s="2"/>
      <c r="L9" s="2"/>
    </row>
    <row r="10" customFormat="false" ht="21" hidden="false" customHeight="true" outlineLevel="0" collapsed="false">
      <c r="A10" s="2" t="n">
        <v>-10</v>
      </c>
      <c r="B10" s="22" t="n">
        <f aca="false">(-A10-Inputs!$B$12)*Pricing!$B$23</f>
        <v>165881.994077075</v>
      </c>
      <c r="C10" s="22" t="n">
        <f aca="false">(MAX(-A10,0)-Summary!$B$13-Inputs!$B$12)*Pricing!$B$23</f>
        <v>-128239.521454681</v>
      </c>
      <c r="D10" s="22" t="n">
        <f aca="false">IF(Pricing!$B$36,(MIN(MAX(-A10,0),Inputs!$B$9)-Summary!$B$14-Inputs!$B$12)*Pricing!$B$23,NA())</f>
        <v>-8863.45647691337</v>
      </c>
      <c r="E10" s="23" t="n">
        <f aca="false">D10-C10</f>
        <v>119376.064977768</v>
      </c>
      <c r="F10" s="2"/>
      <c r="G10" s="2"/>
      <c r="H10" s="2"/>
      <c r="I10" s="2"/>
      <c r="J10" s="2"/>
      <c r="K10" s="2"/>
      <c r="L10" s="2"/>
    </row>
    <row r="11" customFormat="false" ht="21" hidden="false" customHeight="true" outlineLevel="0" collapsed="false">
      <c r="A11" s="2" t="n">
        <v>0</v>
      </c>
      <c r="B11" s="22" t="n">
        <f aca="false">(-A11-Inputs!$B$12)*Pricing!$B$23</f>
        <v>-18431.3326752305</v>
      </c>
      <c r="C11" s="22" t="n">
        <f aca="false">(MAX(-A11,0)-Summary!$B$13-Inputs!$B$12)*Pricing!$B$23</f>
        <v>-312552.848206986</v>
      </c>
      <c r="D11" s="22" t="n">
        <f aca="false">IF(Pricing!$B$36,(MIN(MAX(-A11,0),Inputs!$B$9)-Summary!$B$14-Inputs!$B$12)*Pricing!$B$23,NA())</f>
        <v>-193176.783229218</v>
      </c>
      <c r="E11" s="23" t="n">
        <f aca="false">D11-C11</f>
        <v>119376.064977768</v>
      </c>
      <c r="F11" s="2"/>
      <c r="G11" s="2"/>
      <c r="H11" s="2"/>
      <c r="I11" s="2"/>
      <c r="J11" s="2"/>
      <c r="K11" s="2"/>
      <c r="L11" s="2"/>
    </row>
    <row r="12" customFormat="false" ht="21" hidden="false" customHeight="true" outlineLevel="0" collapsed="false">
      <c r="A12" s="2" t="n">
        <v>10</v>
      </c>
      <c r="B12" s="22" t="n">
        <f aca="false">(-A12-Inputs!$B$12)*Pricing!$B$23</f>
        <v>-202744.659427536</v>
      </c>
      <c r="C12" s="22" t="n">
        <f aca="false">(MAX(-A12,0)-Summary!$B$13-Inputs!$B$12)*Pricing!$B$23</f>
        <v>-312552.848206986</v>
      </c>
      <c r="D12" s="22" t="n">
        <f aca="false">IF(Pricing!$B$36,(MIN(MAX(-A12,0),Inputs!$B$9)-Summary!$B$14-Inputs!$B$12)*Pricing!$B$23,NA())</f>
        <v>-193176.783229218</v>
      </c>
      <c r="E12" s="23" t="n">
        <f aca="false">D12-C12</f>
        <v>119376.064977768</v>
      </c>
      <c r="F12" s="2"/>
      <c r="G12" s="2"/>
      <c r="H12" s="2"/>
      <c r="I12" s="2"/>
      <c r="J12" s="2"/>
      <c r="K12" s="2"/>
      <c r="L12" s="2"/>
    </row>
    <row r="13" customFormat="false" ht="21" hidden="false" customHeight="true" outlineLevel="0" collapsed="false">
      <c r="A13" s="2" t="n">
        <v>25</v>
      </c>
      <c r="B13" s="22" t="n">
        <f aca="false">(-A13-Inputs!$B$12)*Pricing!$B$23</f>
        <v>-479214.649555993</v>
      </c>
      <c r="C13" s="22" t="n">
        <f aca="false">(MAX(-A13,0)-Summary!$B$13-Inputs!$B$12)*Pricing!$B$23</f>
        <v>-312552.848206986</v>
      </c>
      <c r="D13" s="22" t="n">
        <f aca="false">IF(Pricing!$B$36,(MIN(MAX(-A13,0),Inputs!$B$9)-Summary!$B$14-Inputs!$B$12)*Pricing!$B$23,NA())</f>
        <v>-193176.783229218</v>
      </c>
      <c r="E13" s="23" t="n">
        <f aca="false">D13-C13</f>
        <v>119376.064977768</v>
      </c>
      <c r="F13" s="2"/>
      <c r="G13" s="2"/>
      <c r="H13" s="2"/>
      <c r="I13" s="2"/>
      <c r="J13" s="2"/>
      <c r="K13" s="2"/>
      <c r="L13" s="2"/>
    </row>
    <row r="14" customFormat="false" ht="21" hidden="false" customHeight="true" outlineLevel="0" collapsed="false">
      <c r="A14" s="2" t="n">
        <v>50</v>
      </c>
      <c r="B14" s="22" t="n">
        <f aca="false">(-A14-Inputs!$B$12)*Pricing!$B$23</f>
        <v>-939997.966436756</v>
      </c>
      <c r="C14" s="22" t="n">
        <f aca="false">(MAX(-A14,0)-Summary!$B$13-Inputs!$B$12)*Pricing!$B$23</f>
        <v>-312552.848206986</v>
      </c>
      <c r="D14" s="22" t="n">
        <f aca="false">IF(Pricing!$B$36,(MIN(MAX(-A14,0),Inputs!$B$9)-Summary!$B$14-Inputs!$B$12)*Pricing!$B$23,NA())</f>
        <v>-193176.783229218</v>
      </c>
      <c r="E14" s="23" t="n">
        <f aca="false">D14-C14</f>
        <v>119376.064977768</v>
      </c>
      <c r="F14" s="2"/>
      <c r="G14" s="2"/>
      <c r="H14" s="2"/>
      <c r="I14" s="2"/>
      <c r="J14" s="2"/>
      <c r="K14" s="2"/>
      <c r="L14" s="2"/>
    </row>
    <row r="15" customFormat="false" ht="21" hidden="false" customHeight="true" outlineLevel="0" collapsed="false">
      <c r="A15" s="2" t="n">
        <v>75</v>
      </c>
      <c r="B15" s="22" t="n">
        <f aca="false">(-A15-Inputs!$B$12)*Pricing!$B$23</f>
        <v>-1400781.28331752</v>
      </c>
      <c r="C15" s="22" t="n">
        <f aca="false">(MAX(-A15,0)-Summary!$B$13-Inputs!$B$12)*Pricing!$B$23</f>
        <v>-312552.848206986</v>
      </c>
      <c r="D15" s="22" t="n">
        <f aca="false">IF(Pricing!$B$36,(MIN(MAX(-A15,0),Inputs!$B$9)-Summary!$B$14-Inputs!$B$12)*Pricing!$B$23,NA())</f>
        <v>-193176.783229218</v>
      </c>
      <c r="E15" s="23" t="n">
        <f aca="false">D15-C15</f>
        <v>119376.064977768</v>
      </c>
      <c r="F15" s="2"/>
      <c r="G15" s="2"/>
      <c r="H15" s="2"/>
      <c r="I15" s="2"/>
      <c r="J15" s="2"/>
      <c r="K15" s="2"/>
      <c r="L15" s="2"/>
    </row>
    <row r="16" customFormat="false" ht="21" hidden="false" customHeight="true" outlineLevel="0" collapsed="false">
      <c r="A16" s="2" t="n">
        <v>100</v>
      </c>
      <c r="B16" s="22" t="n">
        <f aca="false">(-A16-Inputs!$B$12)*Pricing!$B$23</f>
        <v>-1861564.60019828</v>
      </c>
      <c r="C16" s="22" t="n">
        <f aca="false">(MAX(-A16,0)-Summary!$B$13-Inputs!$B$12)*Pricing!$B$23</f>
        <v>-312552.848206986</v>
      </c>
      <c r="D16" s="22" t="n">
        <f aca="false">IF(Pricing!$B$36,(MIN(MAX(-A16,0),Inputs!$B$9)-Summary!$B$14-Inputs!$B$12)*Pricing!$B$23,NA())</f>
        <v>-193176.783229218</v>
      </c>
      <c r="E16" s="23" t="n">
        <f aca="false">D16-C16</f>
        <v>119376.064977768</v>
      </c>
      <c r="F16" s="2"/>
      <c r="G16" s="2"/>
      <c r="H16" s="2"/>
      <c r="I16" s="2"/>
      <c r="J16" s="2"/>
      <c r="K16" s="2"/>
      <c r="L16" s="2"/>
    </row>
    <row r="17" customFormat="false" ht="21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1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1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1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1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1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1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1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21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21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21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1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1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1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1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1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1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1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1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1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1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1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34" hidden="false" customHeight="true" outlineLevel="0" collapsed="false">
      <c r="A39" s="3" t="s">
        <v>117</v>
      </c>
      <c r="B39" s="3"/>
      <c r="C39" s="3"/>
      <c r="D39" s="3"/>
      <c r="E39" s="3"/>
      <c r="F39" s="3"/>
      <c r="G39" s="3"/>
      <c r="H39" s="3"/>
      <c r="I39" s="2"/>
      <c r="J39" s="2"/>
      <c r="K39" s="2"/>
      <c r="L39" s="2"/>
    </row>
    <row r="40" customFormat="false" ht="34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2"/>
      <c r="J40" s="2"/>
      <c r="K40" s="2"/>
      <c r="L40" s="2"/>
    </row>
    <row r="41" customFormat="false" ht="21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21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21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21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21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21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21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21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21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21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21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21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21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21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21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21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21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21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21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21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21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21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21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21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21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</sheetData>
  <mergeCells count="2">
    <mergeCell ref="A1:H2"/>
    <mergeCell ref="A39:H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8" min="2" style="0" width="19"/>
  </cols>
  <sheetData>
    <row r="1" customFormat="false" ht="21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</row>
    <row r="2" customFormat="false" ht="21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</row>
    <row r="3" customFormat="false" ht="21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1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21" hidden="false" customHeight="true" outlineLevel="0" collapsed="false">
      <c r="A5" s="8" t="s">
        <v>119</v>
      </c>
      <c r="B5" s="8" t="s">
        <v>120</v>
      </c>
      <c r="C5" s="8" t="s">
        <v>121</v>
      </c>
      <c r="D5" s="8" t="s">
        <v>122</v>
      </c>
      <c r="E5" s="8" t="s">
        <v>123</v>
      </c>
      <c r="F5" s="8" t="s">
        <v>124</v>
      </c>
      <c r="G5" s="8"/>
      <c r="H5" s="8"/>
      <c r="I5" s="2"/>
      <c r="J5" s="2"/>
      <c r="K5" s="2"/>
      <c r="L5" s="2"/>
    </row>
    <row r="6" customFormat="false" ht="21" hidden="false" customHeight="true" outlineLevel="0" collapsed="false">
      <c r="A6" s="2" t="n">
        <v>0</v>
      </c>
      <c r="B6" s="24" t="n">
        <f aca="false">A6*SQRT(Inputs!$B$7)/SQRT(2*PI())</f>
        <v>0</v>
      </c>
      <c r="C6" s="24" t="n">
        <f aca="false">IF(A6=0,0,-Inputs!$B$9*NORMSDIST(-Inputs!$B$9/(A6*SQRT(Inputs!$B$7)))+A6*SQRT(Inputs!$B$7)*EXP(-0.5*(Inputs!$B$9/(A6*SQRT(Inputs!$B$7)))^2)/SQRT(2*PI()))</f>
        <v>0</v>
      </c>
      <c r="D6" s="25" t="n">
        <f aca="false">B6-C6</f>
        <v>0</v>
      </c>
      <c r="E6" s="24" t="n">
        <f aca="false">Inputs!$B$9-D6-Inputs!$B$12</f>
        <v>24</v>
      </c>
      <c r="F6" s="24" t="n">
        <f aca="false">Inputs!$B$9+B6-D6</f>
        <v>25</v>
      </c>
      <c r="G6" s="2"/>
      <c r="H6" s="2"/>
      <c r="I6" s="2"/>
      <c r="J6" s="2"/>
      <c r="K6" s="2"/>
      <c r="L6" s="2"/>
    </row>
    <row r="7" customFormat="false" ht="21" hidden="false" customHeight="true" outlineLevel="0" collapsed="false">
      <c r="A7" s="2" t="n">
        <v>40</v>
      </c>
      <c r="B7" s="24" t="n">
        <f aca="false">A7*SQRT(Inputs!$B$7)/SQRT(2*PI())</f>
        <v>7.97884560802866</v>
      </c>
      <c r="C7" s="24" t="n">
        <f aca="false">IF(A7=0,0,-Inputs!$B$9*NORMSDIST(-Inputs!$B$9/(A7*SQRT(Inputs!$B$7)))+A7*SQRT(Inputs!$B$7)*EXP(-0.5*(Inputs!$B$9/(A7*SQRT(Inputs!$B$7)))^2)/SQRT(2*PI()))</f>
        <v>1.01173736610906</v>
      </c>
      <c r="D7" s="25" t="n">
        <f aca="false">B7-C7</f>
        <v>6.9671082419196</v>
      </c>
      <c r="E7" s="24" t="n">
        <f aca="false">Inputs!$B$9-D7-Inputs!$B$12</f>
        <v>17.0328917580804</v>
      </c>
      <c r="F7" s="24" t="n">
        <f aca="false">Inputs!$B$9+B7-D7</f>
        <v>26.0117373661091</v>
      </c>
      <c r="G7" s="2"/>
      <c r="H7" s="2"/>
      <c r="I7" s="2"/>
      <c r="J7" s="2"/>
      <c r="K7" s="2"/>
      <c r="L7" s="2"/>
    </row>
    <row r="8" customFormat="false" ht="21" hidden="false" customHeight="true" outlineLevel="0" collapsed="false">
      <c r="A8" s="2" t="n">
        <v>60</v>
      </c>
      <c r="B8" s="24" t="n">
        <f aca="false">A8*SQRT(Inputs!$B$7)/SQRT(2*PI())</f>
        <v>11.968268412043</v>
      </c>
      <c r="C8" s="24" t="n">
        <f aca="false">IF(A8=0,0,-Inputs!$B$9*NORMSDIST(-Inputs!$B$9/(A8*SQRT(Inputs!$B$7)))+A8*SQRT(Inputs!$B$7)*EXP(-0.5*(Inputs!$B$9/(A8*SQRT(Inputs!$B$7)))^2)/SQRT(2*PI()))</f>
        <v>3.399146738218</v>
      </c>
      <c r="D8" s="25" t="n">
        <f aca="false">B8-C8</f>
        <v>8.56912167382498</v>
      </c>
      <c r="E8" s="24" t="n">
        <f aca="false">Inputs!$B$9-D8-Inputs!$B$12</f>
        <v>15.430878326175</v>
      </c>
      <c r="F8" s="24" t="n">
        <f aca="false">Inputs!$B$9+B8-D8</f>
        <v>28.399146738218</v>
      </c>
      <c r="G8" s="2"/>
      <c r="H8" s="2"/>
      <c r="I8" s="2"/>
      <c r="J8" s="2"/>
      <c r="K8" s="2"/>
      <c r="L8" s="2"/>
    </row>
    <row r="9" customFormat="false" ht="21" hidden="false" customHeight="true" outlineLevel="0" collapsed="false">
      <c r="A9" s="2" t="n">
        <v>80</v>
      </c>
      <c r="B9" s="24" t="n">
        <f aca="false">A9*SQRT(Inputs!$B$7)/SQRT(2*PI())</f>
        <v>15.9576912160573</v>
      </c>
      <c r="C9" s="24" t="n">
        <f aca="false">IF(A9=0,0,-Inputs!$B$9*NORMSDIST(-Inputs!$B$9/(A9*SQRT(Inputs!$B$7)))+A9*SQRT(Inputs!$B$7)*EXP(-0.5*(Inputs!$B$9/(A9*SQRT(Inputs!$B$7)))^2)/SQRT(2*PI()))</f>
        <v>6.47680051579749</v>
      </c>
      <c r="D9" s="25" t="n">
        <f aca="false">B9-C9</f>
        <v>9.48089070025982</v>
      </c>
      <c r="E9" s="24" t="n">
        <f aca="false">Inputs!$B$9-D9-Inputs!$B$12</f>
        <v>14.5191092997402</v>
      </c>
      <c r="F9" s="24" t="n">
        <f aca="false">Inputs!$B$9+B9-D9</f>
        <v>31.4768005157975</v>
      </c>
      <c r="G9" s="2"/>
      <c r="H9" s="2"/>
      <c r="I9" s="2"/>
      <c r="J9" s="2"/>
      <c r="K9" s="2"/>
      <c r="L9" s="2"/>
    </row>
    <row r="10" customFormat="false" ht="21" hidden="false" customHeight="true" outlineLevel="0" collapsed="false">
      <c r="A10" s="2" t="n">
        <v>100</v>
      </c>
      <c r="B10" s="24" t="n">
        <f aca="false">A10*SQRT(Inputs!$B$7)/SQRT(2*PI())</f>
        <v>19.9471140200716</v>
      </c>
      <c r="C10" s="24" t="n">
        <f aca="false">IF(A10=0,0,-Inputs!$B$9*NORMSDIST(-Inputs!$B$9/(A10*SQRT(Inputs!$B$7)))+A10*SQRT(Inputs!$B$7)*EXP(-0.5*(Inputs!$B$9/(A10*SQRT(Inputs!$B$7)))^2)/SQRT(2*PI()))</f>
        <v>9.88982787006531</v>
      </c>
      <c r="D10" s="25" t="n">
        <f aca="false">B10-C10</f>
        <v>10.0572861500063</v>
      </c>
      <c r="E10" s="24" t="n">
        <f aca="false">Inputs!$B$9-D10-Inputs!$B$12</f>
        <v>13.9427138499937</v>
      </c>
      <c r="F10" s="24" t="n">
        <f aca="false">Inputs!$B$9+B10-D10</f>
        <v>34.8898278700653</v>
      </c>
      <c r="G10" s="2"/>
      <c r="H10" s="2"/>
      <c r="I10" s="2"/>
      <c r="J10" s="2"/>
      <c r="K10" s="2"/>
      <c r="L10" s="2"/>
    </row>
    <row r="11" customFormat="false" ht="21" hidden="false" customHeight="true" outlineLevel="0" collapsed="false">
      <c r="A11" s="2" t="n">
        <v>120</v>
      </c>
      <c r="B11" s="24" t="n">
        <f aca="false">A11*SQRT(Inputs!$B$7)/SQRT(2*PI())</f>
        <v>23.936536824086</v>
      </c>
      <c r="C11" s="24" t="n">
        <f aca="false">IF(A11=0,0,-Inputs!$B$9*NORMSDIST(-Inputs!$B$9/(A11*SQRT(Inputs!$B$7)))+A11*SQRT(Inputs!$B$7)*EXP(-0.5*(Inputs!$B$9/(A11*SQRT(Inputs!$B$7)))^2)/SQRT(2*PI()))</f>
        <v>13.4848139970729</v>
      </c>
      <c r="D11" s="25" t="n">
        <f aca="false">B11-C11</f>
        <v>10.4517228270131</v>
      </c>
      <c r="E11" s="24" t="n">
        <f aca="false">Inputs!$B$9-D11-Inputs!$B$12</f>
        <v>13.5482771729869</v>
      </c>
      <c r="F11" s="24" t="n">
        <f aca="false">Inputs!$B$9+B11-D11</f>
        <v>38.4848139970729</v>
      </c>
      <c r="G11" s="2"/>
      <c r="H11" s="2"/>
      <c r="I11" s="2"/>
      <c r="J11" s="2"/>
      <c r="K11" s="2"/>
      <c r="L11" s="2"/>
    </row>
    <row r="12" customFormat="false" ht="21" hidden="false" customHeight="true" outlineLevel="0" collapsed="false">
      <c r="A12" s="2" t="n">
        <v>160</v>
      </c>
      <c r="B12" s="24" t="n">
        <f aca="false">A12*SQRT(Inputs!$B$7)/SQRT(2*PI())</f>
        <v>31.9153824321146</v>
      </c>
      <c r="C12" s="24" t="n">
        <f aca="false">IF(A12=0,0,-Inputs!$B$9*NORMSDIST(-Inputs!$B$9/(A12*SQRT(Inputs!$B$7)))+A12*SQRT(Inputs!$B$7)*EXP(-0.5*(Inputs!$B$9/(A12*SQRT(Inputs!$B$7)))^2)/SQRT(2*PI()))</f>
        <v>20.9611914576441</v>
      </c>
      <c r="D12" s="25" t="n">
        <f aca="false">B12-C12</f>
        <v>10.9541909744705</v>
      </c>
      <c r="E12" s="24" t="n">
        <f aca="false">Inputs!$B$9-D12-Inputs!$B$12</f>
        <v>13.0458090255295</v>
      </c>
      <c r="F12" s="24" t="n">
        <f aca="false">Inputs!$B$9+B12-D12</f>
        <v>45.9611914576442</v>
      </c>
      <c r="G12" s="2"/>
      <c r="H12" s="2"/>
      <c r="I12" s="2"/>
      <c r="J12" s="2"/>
      <c r="K12" s="2"/>
      <c r="L12" s="2"/>
    </row>
    <row r="13" customFormat="false" ht="21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21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34" hidden="false" customHeight="true" outlineLevel="0" collapsed="false">
      <c r="A15" s="3" t="s">
        <v>125</v>
      </c>
      <c r="B15" s="3"/>
      <c r="C15" s="3"/>
      <c r="D15" s="3"/>
      <c r="E15" s="3"/>
      <c r="F15" s="3"/>
      <c r="G15" s="3"/>
      <c r="H15" s="3"/>
      <c r="I15" s="2"/>
      <c r="J15" s="2"/>
      <c r="K15" s="2"/>
      <c r="L15" s="2"/>
    </row>
    <row r="16" customFormat="false" ht="34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2"/>
      <c r="J16" s="2"/>
      <c r="K16" s="2"/>
      <c r="L16" s="2"/>
    </row>
    <row r="17" customFormat="false" ht="21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1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1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1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1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1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1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1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21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21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21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1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1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1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1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1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1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1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1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1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1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1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21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21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21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21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21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21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21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21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21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21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21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21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21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21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21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21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21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21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21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21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21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21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21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21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21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21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21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</sheetData>
  <mergeCells count="2">
    <mergeCell ref="A1:H2"/>
    <mergeCell ref="A15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30"/>
    <col collapsed="false" customWidth="true" hidden="false" outlineLevel="0" max="3" min="3" style="0" width="19"/>
    <col collapsed="false" customWidth="true" hidden="false" outlineLevel="0" max="4" min="4" style="0" width="65"/>
    <col collapsed="false" customWidth="true" hidden="false" outlineLevel="0" max="5" min="5" style="0" width="75"/>
    <col collapsed="false" customWidth="true" hidden="false" outlineLevel="0" max="8" min="6" style="0" width="19"/>
  </cols>
  <sheetData>
    <row r="1" customFormat="false" ht="21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</row>
    <row r="2" customFormat="false" ht="21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</row>
    <row r="3" customFormat="false" ht="21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1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21" hidden="false" customHeight="true" outlineLevel="0" collapsed="false">
      <c r="A5" s="8" t="s">
        <v>24</v>
      </c>
      <c r="B5" s="8" t="s">
        <v>127</v>
      </c>
      <c r="C5" s="8" t="s">
        <v>128</v>
      </c>
      <c r="D5" s="8" t="s">
        <v>129</v>
      </c>
      <c r="E5" s="8" t="s">
        <v>130</v>
      </c>
      <c r="F5" s="8"/>
      <c r="G5" s="8"/>
      <c r="H5" s="8"/>
      <c r="I5" s="2"/>
      <c r="J5" s="2"/>
      <c r="K5" s="2"/>
      <c r="L5" s="2"/>
    </row>
    <row r="6" customFormat="false" ht="60" hidden="false" customHeight="true" outlineLevel="0" collapsed="false">
      <c r="A6" s="3" t="s">
        <v>44</v>
      </c>
      <c r="B6" s="3" t="s">
        <v>131</v>
      </c>
      <c r="C6" s="3" t="s">
        <v>59</v>
      </c>
      <c r="D6" s="3" t="s">
        <v>132</v>
      </c>
      <c r="E6" s="3" t="s">
        <v>133</v>
      </c>
      <c r="F6" s="2"/>
      <c r="G6" s="2"/>
      <c r="H6" s="2"/>
      <c r="I6" s="2"/>
      <c r="J6" s="2"/>
      <c r="K6" s="2"/>
      <c r="L6" s="2"/>
    </row>
    <row r="7" customFormat="false" ht="60" hidden="false" customHeight="true" outlineLevel="0" collapsed="false">
      <c r="A7" s="3" t="s">
        <v>44</v>
      </c>
      <c r="B7" s="3" t="s">
        <v>134</v>
      </c>
      <c r="C7" s="3" t="s">
        <v>135</v>
      </c>
      <c r="D7" s="3" t="s">
        <v>136</v>
      </c>
      <c r="E7" s="3" t="s">
        <v>137</v>
      </c>
      <c r="F7" s="2"/>
      <c r="G7" s="2"/>
      <c r="H7" s="2"/>
      <c r="I7" s="2"/>
      <c r="J7" s="2"/>
      <c r="K7" s="2"/>
      <c r="L7" s="2"/>
    </row>
    <row r="8" customFormat="false" ht="60" hidden="false" customHeight="true" outlineLevel="0" collapsed="false">
      <c r="A8" s="3" t="s">
        <v>44</v>
      </c>
      <c r="B8" s="3" t="s">
        <v>138</v>
      </c>
      <c r="C8" s="3" t="s">
        <v>135</v>
      </c>
      <c r="D8" s="3" t="s">
        <v>139</v>
      </c>
      <c r="E8" s="3" t="s">
        <v>140</v>
      </c>
      <c r="F8" s="2"/>
      <c r="G8" s="2"/>
      <c r="H8" s="2"/>
      <c r="I8" s="2"/>
      <c r="J8" s="2"/>
      <c r="K8" s="2"/>
      <c r="L8" s="2"/>
    </row>
    <row r="9" customFormat="false" ht="60" hidden="false" customHeight="true" outlineLevel="0" collapsed="false">
      <c r="A9" s="3" t="s">
        <v>44</v>
      </c>
      <c r="B9" s="3" t="s">
        <v>141</v>
      </c>
      <c r="C9" s="3" t="s">
        <v>142</v>
      </c>
      <c r="D9" s="3" t="s">
        <v>143</v>
      </c>
      <c r="E9" s="3" t="s">
        <v>144</v>
      </c>
      <c r="F9" s="2"/>
      <c r="G9" s="2"/>
      <c r="H9" s="2"/>
      <c r="I9" s="2"/>
      <c r="J9" s="2"/>
      <c r="K9" s="2"/>
      <c r="L9" s="2"/>
    </row>
    <row r="10" customFormat="false" ht="60" hidden="false" customHeight="true" outlineLevel="0" collapsed="false">
      <c r="A10" s="3" t="s">
        <v>44</v>
      </c>
      <c r="B10" s="3" t="s">
        <v>145</v>
      </c>
      <c r="C10" s="3" t="s">
        <v>146</v>
      </c>
      <c r="D10" s="3" t="s">
        <v>147</v>
      </c>
      <c r="E10" s="3" t="s">
        <v>148</v>
      </c>
      <c r="F10" s="2"/>
      <c r="G10" s="2"/>
      <c r="H10" s="2"/>
      <c r="I10" s="2"/>
      <c r="J10" s="2"/>
      <c r="K10" s="2"/>
      <c r="L10" s="2"/>
    </row>
    <row r="11" customFormat="false" ht="60" hidden="false" customHeight="true" outlineLevel="0" collapsed="false">
      <c r="A11" s="3" t="s">
        <v>44</v>
      </c>
      <c r="B11" s="3" t="s">
        <v>149</v>
      </c>
      <c r="C11" s="3" t="s">
        <v>150</v>
      </c>
      <c r="D11" s="3"/>
      <c r="E11" s="3" t="s">
        <v>151</v>
      </c>
      <c r="F11" s="2"/>
      <c r="G11" s="2"/>
      <c r="H11" s="2"/>
      <c r="I11" s="2"/>
      <c r="J11" s="2"/>
      <c r="K11" s="2"/>
      <c r="L11" s="2"/>
    </row>
    <row r="12" customFormat="false" ht="21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21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21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21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21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21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1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1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1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1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1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1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1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21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21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21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1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1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1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1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1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1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1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1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1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1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1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21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21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21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21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21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21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21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21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21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21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21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21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21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21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21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21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21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21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21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21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21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21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21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21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21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21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21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</sheetData>
  <mergeCells count="1">
    <mergeCell ref="A1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