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ver" sheetId="1" state="visible" r:id="rId3"/>
    <sheet name="Inputs" sheetId="2" state="visible" r:id="rId4"/>
    <sheet name="Policy path" sheetId="3" state="visible" r:id="rId5"/>
    <sheet name="Cash flows" sheetId="4" state="visible" r:id="rId6"/>
    <sheet name="Trade" sheetId="5" state="visible" r:id="rId7"/>
    <sheet name="Sensitivity" sheetId="6" state="visible" r:id="rId8"/>
    <sheet name="GBP research" sheetId="7" state="visible" r:id="rId9"/>
    <sheet name="Sources" sheetId="8" state="visible" r:id="rId10"/>
  </sheets>
  <definedNames>
    <definedName function="false" hidden="true" localSheetId="3" name="_xlnm._FilterDatabase" vbProcedure="false">'Cash flows'!$A$1:$K$25</definedName>
    <definedName function="false" hidden="true" localSheetId="0" name="_xlnm._FilterDatabase" vbProcedure="false">Cover!$A$1:$B$9</definedName>
    <definedName function="false" hidden="true" localSheetId="6" name="_xlnm._FilterDatabase" vbProcedure="false">'GBP research'!$A$1:$E$17</definedName>
    <definedName function="false" hidden="true" localSheetId="1" name="_xlnm._FilterDatabase" vbProcedure="false">Inputs!$A$1:$D$15</definedName>
    <definedName function="false" hidden="true" localSheetId="2" name="_xlnm._FilterDatabase" vbProcedure="false">'Policy path'!$A$1:$I$10</definedName>
    <definedName function="false" hidden="true" localSheetId="5" name="_xlnm._FilterDatabase" vbProcedure="false">Sensitivity!$A$1:$D$10</definedName>
    <definedName function="false" hidden="true" localSheetId="7" name="_xlnm._FilterDatabase" vbProcedure="false">Sources!$A$1:$B$14</definedName>
    <definedName function="false" hidden="true" localSheetId="4" name="_xlnm._FilterDatabase" vbProcedure="false">Trade!$A$1:$F$16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<sst xmlns="http://schemas.openxmlformats.org/spreadsheetml/2006/main" count="185" uniqueCount="169">
  <si>
    <t xml:space="preserve">UK gilts / GBP</t>
  </si>
  <si>
    <t xml:space="preserve">27 October 2026</t>
  </si>
  <si>
    <t xml:space="preserve">Trade</t>
  </si>
  <si>
    <t xml:space="preserve">2s10s steepener</t>
  </si>
  <si>
    <t xml:space="preserve">12m priced cuts bp</t>
  </si>
  <si>
    <t xml:space="preserve">3m carry + roll bp</t>
  </si>
  <si>
    <t xml:space="preserve">Stop fitted spread bp</t>
  </si>
  <si>
    <t xml:space="preserve">Target fitted spread bp</t>
  </si>
  <si>
    <t xml:space="preserve">Gross DV01 GBP/bp</t>
  </si>
  <si>
    <t xml:space="preserve">Call</t>
  </si>
  <si>
    <t xml:space="preserve">Conditional steepener; reject passive GBP carry</t>
  </si>
  <si>
    <t xml:space="preserve">Limit</t>
  </si>
  <si>
    <t xml:space="preserve">Funding, term premia and global FX shocks can overwhelm the view</t>
  </si>
  <si>
    <t xml:space="preserve">Driver</t>
  </si>
  <si>
    <t xml:space="preserve">Value</t>
  </si>
  <si>
    <t xml:space="preserve">Tag / reason</t>
  </si>
  <si>
    <t xml:space="preserve">Bank Rate %</t>
  </si>
  <si>
    <t xml:space="preserve">S: BoE</t>
  </si>
  <si>
    <t xml:space="preserve">Bank Rate less SONIA bp</t>
  </si>
  <si>
    <t xml:space="preserve">A: constant basis</t>
  </si>
  <si>
    <t xml:space="preserve">A: sum of absolute legs</t>
  </si>
  <si>
    <t xml:space="preserve">Horizon years</t>
  </si>
  <si>
    <t xml:space="preserve">A: 3 months</t>
  </si>
  <si>
    <t xml:space="preserve">Scenario terminal Bank Rate %</t>
  </si>
  <si>
    <t xml:space="preserve">A: hold, inflation above target</t>
  </si>
  <si>
    <t xml:space="preserve">Stop adverse bp</t>
  </si>
  <si>
    <t xml:space="preserve">A: risk limit</t>
  </si>
  <si>
    <t xml:space="preserve">Target favourable bp</t>
  </si>
  <si>
    <t xml:space="preserve">A: risk/reward</t>
  </si>
  <si>
    <t xml:space="preserve">OIS 1y forward %</t>
  </si>
  <si>
    <t xml:space="preserve">S: BoE continuous forward</t>
  </si>
  <si>
    <t xml:space="preserve">Gilt 2y spot %</t>
  </si>
  <si>
    <t xml:space="preserve">S: BoE fitted zero</t>
  </si>
  <si>
    <t xml:space="preserve">Gilt 10y spot %</t>
  </si>
  <si>
    <t xml:space="preserve">Snapshot date</t>
  </si>
  <si>
    <t xml:space="preserve">2026-10-27</t>
  </si>
  <si>
    <t xml:space="preserve">S: BoE; FX latest 23 Oct 2026</t>
  </si>
  <si>
    <t xml:space="preserve">Curve-priced proxies, not quoted bond yields</t>
  </si>
  <si>
    <t xml:space="preserve">ISIN</t>
  </si>
  <si>
    <t xml:space="preserve">Coupon %</t>
  </si>
  <si>
    <t xml:space="preserve">Maturity</t>
  </si>
  <si>
    <t xml:space="preserve">S: DMO Annex A p7</t>
  </si>
  <si>
    <t xml:space="preserve">GB00BFX0ZL78</t>
  </si>
  <si>
    <t xml:space="preserve">2028-10-22</t>
  </si>
  <si>
    <t xml:space="preserve">GB00BWBR1N39</t>
  </si>
  <si>
    <t xml:space="preserve">2036-07-31</t>
  </si>
  <si>
    <t xml:space="preserve">MPC start</t>
  </si>
  <si>
    <t xml:space="preserve">End</t>
  </si>
  <si>
    <t xml:space="preserve">t1 years</t>
  </si>
  <si>
    <t xml:space="preserve">t2 years</t>
  </si>
  <si>
    <t xml:space="preserve">Zero at t1 % D</t>
  </si>
  <si>
    <t xml:space="preserve">Zero at t2 % D</t>
  </si>
  <si>
    <t xml:space="preserve">Continuous interval %</t>
  </si>
  <si>
    <t xml:space="preserve">Implied Bank Rate %</t>
  </si>
  <si>
    <t xml:space="preserve">Scenario %</t>
  </si>
  <si>
    <t xml:space="preserve">2026-11-05</t>
  </si>
  <si>
    <t xml:space="preserve">2026-12-17</t>
  </si>
  <si>
    <t xml:space="preserve">2027-02-04</t>
  </si>
  <si>
    <t xml:space="preserve">2027-03-18</t>
  </si>
  <si>
    <t xml:space="preserve">2027-04-29</t>
  </si>
  <si>
    <t xml:space="preserve">2027-06-17</t>
  </si>
  <si>
    <t xml:space="preserve">2027-07-29</t>
  </si>
  <si>
    <t xml:space="preserve">2027-09-16</t>
  </si>
  <si>
    <t xml:space="preserve">2027-10-27</t>
  </si>
  <si>
    <t xml:space="preserve">D: linear zero interpolation. Piecewise meeting approximation; risk-neutral plus premia, not a forecast.</t>
  </si>
  <si>
    <t xml:space="preserve">Leg</t>
  </si>
  <si>
    <t xml:space="preserve">Time years D</t>
  </si>
  <si>
    <t xml:space="preserve">Cash per100 S/D</t>
  </si>
  <si>
    <t xml:space="preserve">Zero % D</t>
  </si>
  <si>
    <t xml:space="preserve">Aged zero % D</t>
  </si>
  <si>
    <t xml:space="preserve">PV</t>
  </si>
  <si>
    <t xml:space="preserve">PV -1bp</t>
  </si>
  <si>
    <t xml:space="preserve">PV +1bp</t>
  </si>
  <si>
    <t xml:space="preserve">Carry PV</t>
  </si>
  <si>
    <t xml:space="preserve">Roll PV</t>
  </si>
  <si>
    <t xml:space="preserve">Received by horizon</t>
  </si>
  <si>
    <t xml:space="preserve">Metric</t>
  </si>
  <si>
    <t xml:space="preserve">Unit / convention</t>
  </si>
  <si>
    <t xml:space="preserve">12m implied Bank Rate</t>
  </si>
  <si>
    <t xml:space="preserve">%</t>
  </si>
  <si>
    <t xml:space="preserve">Implied cuts</t>
  </si>
  <si>
    <t xml:space="preserve">bp; negative = hikes</t>
  </si>
  <si>
    <t xml:space="preserve">Scenario cuts</t>
  </si>
  <si>
    <t xml:space="preserve">bp</t>
  </si>
  <si>
    <t xml:space="preserve">2s10s entry</t>
  </si>
  <si>
    <t xml:space="preserve">bp fitted zero spread</t>
  </si>
  <si>
    <t xml:space="preserve">Direction</t>
  </si>
  <si>
    <t xml:space="preserve">1 steepener; -1 flattener</t>
  </si>
  <si>
    <t xml:space="preserve">Stop</t>
  </si>
  <si>
    <t xml:space="preserve">Target</t>
  </si>
  <si>
    <t xml:space="preserve">Price /100</t>
  </si>
  <si>
    <t xml:space="preserve">DV01 /100</t>
  </si>
  <si>
    <t xml:space="preserve">Signed nominal GBP</t>
  </si>
  <si>
    <t xml:space="preserve">Carry /100 net funding</t>
  </si>
  <si>
    <t xml:space="preserve">Roll /100</t>
  </si>
  <si>
    <t xml:space="preserve">Carry GBP</t>
  </si>
  <si>
    <t xml:space="preserve">net financing at Bank Rate both legs</t>
  </si>
  <si>
    <t xml:space="preserve">Roll GBP</t>
  </si>
  <si>
    <t xml:space="preserve">unchanged spot curve</t>
  </si>
  <si>
    <t xml:space="preserve">Carry + roll bp</t>
  </si>
  <si>
    <t xml:space="preserve">spread-equivalent bp, one leg DV01</t>
  </si>
  <si>
    <t xml:space="preserve">Net parallel DV01</t>
  </si>
  <si>
    <t xml:space="preserve">GBP/bp</t>
  </si>
  <si>
    <t xml:space="preserve">Net cash invested</t>
  </si>
  <si>
    <t xml:space="preserve">GBP, financed; short proceeds usable assumed</t>
  </si>
  <si>
    <t xml:space="preserve">Spread move bp</t>
  </si>
  <si>
    <t xml:space="preserve">Linear P&amp;L GBP</t>
  </si>
  <si>
    <t xml:space="preserve">Carry + roll GBP</t>
  </si>
  <si>
    <t xml:space="preserve">Total GBP</t>
  </si>
  <si>
    <t xml:space="preserve">LDI replay</t>
  </si>
  <si>
    <t xml:space="preserve">2y shock bp</t>
  </si>
  <si>
    <t xml:space="preserve">10y shock bp</t>
  </si>
  <si>
    <t xml:space="preserve">Full reprice GBP; no carry</t>
  </si>
  <si>
    <t xml:space="preserve">peak</t>
  </si>
  <si>
    <t xml:space="preserve">end</t>
  </si>
  <si>
    <t xml:space="preserve">Replay prices current bonds under historical tenor shocks; not a 2022 investable return.</t>
  </si>
  <si>
    <t xml:space="preserve">Pair / sample</t>
  </si>
  <si>
    <t xml:space="preserve">Slope % per10bp D</t>
  </si>
  <si>
    <t xml:space="preserve">HAC t D</t>
  </si>
  <si>
    <t xml:space="preserve">R-squared D</t>
  </si>
  <si>
    <t xml:space="preserve">N</t>
  </si>
  <si>
    <t xml:space="preserve">GBP_USD full</t>
  </si>
  <si>
    <t xml:space="preserve">GBP_USD ex2022</t>
  </si>
  <si>
    <t xml:space="preserve">GBP_USD LDI</t>
  </si>
  <si>
    <t xml:space="preserve">GBP_USD MPC</t>
  </si>
  <si>
    <t xml:space="preserve">GBP_USD CPI</t>
  </si>
  <si>
    <t xml:space="preserve">GBP_EUR full</t>
  </si>
  <si>
    <t xml:space="preserve">GBP_EUR ex2022</t>
  </si>
  <si>
    <t xml:space="preserve">GBP_EUR LDI</t>
  </si>
  <si>
    <t xml:space="preserve">GBP_EUR MPC</t>
  </si>
  <si>
    <t xml:space="preserve">GBP_EUR CPI</t>
  </si>
  <si>
    <t xml:space="preserve">Carry snapshot</t>
  </si>
  <si>
    <t xml:space="preserve">Foreign overnight % S</t>
  </si>
  <si>
    <t xml:space="preserve">Annual vol % D</t>
  </si>
  <si>
    <t xml:space="preserve">GBP carry %</t>
  </si>
  <si>
    <t xml:space="preserve">Carry / vol</t>
  </si>
  <si>
    <t xml:space="preserve">GBP_USD</t>
  </si>
  <si>
    <t xml:space="preserve">GBP_EUR</t>
  </si>
  <si>
    <t xml:space="preserve">Historical regressions fixed Python research outputs; rerun engine after data refresh.</t>
  </si>
  <si>
    <t xml:space="preserve">MPC event calendar: 2025-26; CPI: Feb-Oct 2026, n=9; descriptive only.</t>
  </si>
  <si>
    <t xml:space="preserve">GBP_EUR is GBP appreciation, inverse EUR/GBP. No causal or executable forward-return claim.</t>
  </si>
  <si>
    <t xml:space="preserve">Source</t>
  </si>
  <si>
    <t xml:space="preserve">URL / method</t>
  </si>
  <si>
    <t xml:space="preserve">curves</t>
  </si>
  <si>
    <t xml:space="preserve">https://www.bankofengland.co.uk/statistics/yield-curves</t>
  </si>
  <si>
    <t xml:space="preserve">bank_rate</t>
  </si>
  <si>
    <t xml:space="preserve">https://www.bankofengland.co.uk/boeapps/database/Bank-Rate.asp</t>
  </si>
  <si>
    <t xml:space="preserve">mpc</t>
  </si>
  <si>
    <t xml:space="preserve">https://www.bankofengland.co.uk/monetary-policy/upcoming-mpc-dates</t>
  </si>
  <si>
    <t xml:space="preserve">dmo</t>
  </si>
  <si>
    <t xml:space="preserve">https://www.dmo.gov.uk/media/r2ejghpr/apr-jun-2026a.pdf</t>
  </si>
  <si>
    <t xml:space="preserve">cpi</t>
  </si>
  <si>
    <t xml:space="preserve">https://www.ons.gov.uk/economy/inflationandpriceindices/bulletins/consumerpriceinflation/september2026</t>
  </si>
  <si>
    <t xml:space="preserve">fx</t>
  </si>
  <si>
    <t xml:space="preserve">https://fred.stlouisfed.org/series/DEXUSUK</t>
  </si>
  <si>
    <t xml:space="preserve">eurusd</t>
  </si>
  <si>
    <t xml:space="preserve">https://fred.stlouisfed.org/series/DEXUSEU</t>
  </si>
  <si>
    <t xml:space="preserve">sofr</t>
  </si>
  <si>
    <t xml:space="preserve">https://fred.stlouisfed.org/series/SOFR</t>
  </si>
  <si>
    <t xml:space="preserve">estr</t>
  </si>
  <si>
    <t xml:space="preserve">https://fred.stlouisfed.org/series/ECBESTRVOLWGTTRMDMNRT</t>
  </si>
  <si>
    <t xml:space="preserve">Data audit</t>
  </si>
  <si>
    <t xml:space="preserve">policy/data/manifest.json: archive hashes, extraction and retrieval date</t>
  </si>
  <si>
    <t xml:space="preserve">Curve interpolation D</t>
  </si>
  <si>
    <t xml:space="preserve">Linear zero rates; flat below shortest maturity; ACT/365 proxy for gilts</t>
  </si>
  <si>
    <t xml:space="preserve">Carry A</t>
  </si>
  <si>
    <t xml:space="preserve">Symmetric funding at Bank Rate; no bid/ask, repo specialness, margin or haircuts</t>
  </si>
  <si>
    <t xml:space="preserve">Scenario A</t>
  </si>
  <si>
    <t xml:space="preserve">2y -50bp / 10y -10bp gives +40bp spread; inflation / fiscal shock breaks this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</si>
</sst>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0;[RED]\(#,##0.000\);\—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EFF3F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7365D"/>
          <bgColor rgb="FF000000"/>
        </patternFill>
      </fill>
    </dxf>
    <dxf>
      <fill>
        <patternFill patternType="solid">
          <fgColor rgb="FFEFF3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F3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4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30.75" hidden="false" customHeight="true" outlineLevel="0" collapsed="false">
      <c r="A2" s="2" t="s">
        <v>2</v>
      </c>
      <c r="B2" s="2" t="s">
        <v>3</v>
      </c>
    </row>
    <row r="3" customFormat="false" ht="30.75" hidden="false" customHeight="true" outlineLevel="0" collapsed="false">
      <c r="A3" s="3" t="s">
        <v>4</v>
      </c>
      <c r="B3" s="4" t="n">
        <f aca="false">Trade!B3</f>
        <v>-123.433272762356</v>
      </c>
    </row>
    <row r="4" customFormat="false" ht="30.75" hidden="false" customHeight="true" outlineLevel="0" collapsed="false">
      <c r="A4" s="2" t="s">
        <v>5</v>
      </c>
      <c r="B4" s="5" t="n">
        <f aca="false">Trade!B14</f>
        <v>10.8299438514544</v>
      </c>
    </row>
    <row r="5" customFormat="false" ht="30.75" hidden="false" customHeight="true" outlineLevel="0" collapsed="false">
      <c r="A5" s="3" t="s">
        <v>6</v>
      </c>
      <c r="B5" s="4" t="n">
        <f aca="false">Trade!B7</f>
        <v>43.4025090363629</v>
      </c>
    </row>
    <row r="6" customFormat="false" ht="30.75" hidden="false" customHeight="true" outlineLevel="0" collapsed="false">
      <c r="A6" s="2" t="s">
        <v>7</v>
      </c>
      <c r="B6" s="5" t="n">
        <f aca="false">Trade!B8</f>
        <v>83.4025090363629</v>
      </c>
    </row>
    <row r="7" customFormat="false" ht="30.75" hidden="false" customHeight="true" outlineLevel="0" collapsed="false">
      <c r="A7" s="3" t="s">
        <v>8</v>
      </c>
      <c r="B7" s="4" t="n">
        <f aca="false">Inputs!B4</f>
        <v>1000000</v>
      </c>
    </row>
    <row r="8" customFormat="false" ht="30.75" hidden="false" customHeight="true" outlineLevel="0" collapsed="false">
      <c r="A8" s="2" t="s">
        <v>9</v>
      </c>
      <c r="B8" s="2" t="s">
        <v>10</v>
      </c>
    </row>
    <row r="9" customFormat="false" ht="30.75" hidden="false" customHeight="true" outlineLevel="0" collapsed="false">
      <c r="A9" s="3" t="s">
        <v>11</v>
      </c>
      <c r="B9" s="3" t="s">
        <v>12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4"/>
  </cols>
  <sheetData>
    <row r="1" customFormat="false" ht="15" hidden="false" customHeight="false" outlineLevel="0" collapsed="false">
      <c r="A1" s="1" t="s">
        <v>13</v>
      </c>
      <c r="B1" s="1" t="s">
        <v>14</v>
      </c>
      <c r="C1" s="1" t="s">
        <v>15</v>
      </c>
      <c r="D1" s="1"/>
    </row>
    <row r="2" customFormat="false" ht="30.75" hidden="false" customHeight="true" outlineLevel="0" collapsed="false">
      <c r="A2" s="2" t="s">
        <v>16</v>
      </c>
      <c r="B2" s="6" t="n">
        <v>3.75</v>
      </c>
      <c r="C2" s="2" t="s">
        <v>17</v>
      </c>
      <c r="D2" s="2"/>
    </row>
    <row r="3" customFormat="false" ht="30.75" hidden="false" customHeight="true" outlineLevel="0" collapsed="false">
      <c r="A3" s="3" t="s">
        <v>18</v>
      </c>
      <c r="B3" s="7" t="n">
        <v>5</v>
      </c>
      <c r="C3" s="3" t="s">
        <v>19</v>
      </c>
      <c r="D3" s="3"/>
    </row>
    <row r="4" customFormat="false" ht="30.75" hidden="false" customHeight="true" outlineLevel="0" collapsed="false">
      <c r="A4" s="2" t="s">
        <v>8</v>
      </c>
      <c r="B4" s="6" t="n">
        <v>1000000</v>
      </c>
      <c r="C4" s="2" t="s">
        <v>20</v>
      </c>
      <c r="D4" s="2"/>
    </row>
    <row r="5" customFormat="false" ht="30.75" hidden="false" customHeight="true" outlineLevel="0" collapsed="false">
      <c r="A5" s="3" t="s">
        <v>21</v>
      </c>
      <c r="B5" s="7" t="n">
        <v>0.25</v>
      </c>
      <c r="C5" s="3" t="s">
        <v>22</v>
      </c>
      <c r="D5" s="3"/>
    </row>
    <row r="6" customFormat="false" ht="30.75" hidden="false" customHeight="true" outlineLevel="0" collapsed="false">
      <c r="A6" s="2" t="s">
        <v>23</v>
      </c>
      <c r="B6" s="6" t="n">
        <v>3.75</v>
      </c>
      <c r="C6" s="2" t="s">
        <v>24</v>
      </c>
      <c r="D6" s="2"/>
    </row>
    <row r="7" customFormat="false" ht="30.75" hidden="false" customHeight="true" outlineLevel="0" collapsed="false">
      <c r="A7" s="3" t="s">
        <v>25</v>
      </c>
      <c r="B7" s="7" t="n">
        <v>15</v>
      </c>
      <c r="C7" s="3" t="s">
        <v>26</v>
      </c>
      <c r="D7" s="3"/>
    </row>
    <row r="8" customFormat="false" ht="30.75" hidden="false" customHeight="true" outlineLevel="0" collapsed="false">
      <c r="A8" s="2" t="s">
        <v>27</v>
      </c>
      <c r="B8" s="6" t="n">
        <v>25</v>
      </c>
      <c r="C8" s="2" t="s">
        <v>28</v>
      </c>
      <c r="D8" s="2"/>
    </row>
    <row r="9" customFormat="false" ht="30.75" hidden="false" customHeight="true" outlineLevel="0" collapsed="false">
      <c r="A9" s="3" t="s">
        <v>29</v>
      </c>
      <c r="B9" s="7" t="n">
        <v>4.93399922837439</v>
      </c>
      <c r="C9" s="3" t="s">
        <v>30</v>
      </c>
      <c r="D9" s="3"/>
    </row>
    <row r="10" customFormat="false" ht="30.75" hidden="false" customHeight="true" outlineLevel="0" collapsed="false">
      <c r="A10" s="2" t="s">
        <v>31</v>
      </c>
      <c r="B10" s="6" t="n">
        <v>4.73822964472537</v>
      </c>
      <c r="C10" s="2" t="s">
        <v>32</v>
      </c>
      <c r="D10" s="2"/>
    </row>
    <row r="11" customFormat="false" ht="30.75" hidden="false" customHeight="true" outlineLevel="0" collapsed="false">
      <c r="A11" s="3" t="s">
        <v>33</v>
      </c>
      <c r="B11" s="7" t="n">
        <v>5.322254735089</v>
      </c>
      <c r="C11" s="3" t="s">
        <v>32</v>
      </c>
      <c r="D11" s="3"/>
    </row>
    <row r="12" customFormat="false" ht="30.75" hidden="false" customHeight="true" outlineLevel="0" collapsed="false">
      <c r="A12" s="2" t="s">
        <v>34</v>
      </c>
      <c r="B12" s="2" t="s">
        <v>35</v>
      </c>
      <c r="C12" s="2" t="s">
        <v>36</v>
      </c>
      <c r="D12" s="2"/>
    </row>
    <row r="13" customFormat="false" ht="30.75" hidden="false" customHeight="true" outlineLevel="0" collapsed="false">
      <c r="A13" s="3" t="s">
        <v>37</v>
      </c>
      <c r="B13" s="3" t="s">
        <v>38</v>
      </c>
      <c r="C13" s="3" t="s">
        <v>39</v>
      </c>
      <c r="D13" s="3" t="s">
        <v>40</v>
      </c>
    </row>
    <row r="14" customFormat="false" ht="30.75" hidden="false" customHeight="true" outlineLevel="0" collapsed="false">
      <c r="A14" s="2" t="s">
        <v>41</v>
      </c>
      <c r="B14" s="2" t="s">
        <v>42</v>
      </c>
      <c r="C14" s="6" t="n">
        <v>1.625</v>
      </c>
      <c r="D14" s="2" t="s">
        <v>43</v>
      </c>
    </row>
    <row r="15" customFormat="false" ht="30.75" hidden="false" customHeight="true" outlineLevel="0" collapsed="false">
      <c r="A15" s="3" t="s">
        <v>41</v>
      </c>
      <c r="B15" s="3" t="s">
        <v>44</v>
      </c>
      <c r="C15" s="7" t="n">
        <v>4.875</v>
      </c>
      <c r="D15" s="3" t="s">
        <v>45</v>
      </c>
    </row>
  </sheetData>
  <autoFilter ref="A1:D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2" style="0" width="24"/>
  </cols>
  <sheetData>
    <row r="1" customFormat="false" ht="15" hidden="false" customHeight="false" outlineLevel="0" collapsed="false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</row>
    <row r="2" customFormat="false" ht="30.75" hidden="false" customHeight="true" outlineLevel="0" collapsed="false">
      <c r="A2" s="2" t="s">
        <v>55</v>
      </c>
      <c r="B2" s="2" t="s">
        <v>56</v>
      </c>
      <c r="C2" s="6" t="n">
        <v>0.0246575342465753</v>
      </c>
      <c r="D2" s="6" t="n">
        <v>0.13972602739726</v>
      </c>
      <c r="E2" s="6" t="n">
        <v>3.89939033359676</v>
      </c>
      <c r="F2" s="6" t="n">
        <v>3.93748624632939</v>
      </c>
      <c r="G2" s="5" t="n">
        <f aca="false">(D2*F2-C2*E2)/(D2-C2)</f>
        <v>3.94564965620066</v>
      </c>
      <c r="H2" s="5" t="n">
        <f aca="false">365*(EXP(G2/100/365)-1)*100+Inputs!B3/100</f>
        <v>3.99586292623356</v>
      </c>
      <c r="I2" s="5" t="n">
        <f aca="false">Inputs!B6</f>
        <v>3.75</v>
      </c>
    </row>
    <row r="3" customFormat="false" ht="30.75" hidden="false" customHeight="true" outlineLevel="0" collapsed="false">
      <c r="A3" s="3" t="s">
        <v>56</v>
      </c>
      <c r="B3" s="3" t="s">
        <v>57</v>
      </c>
      <c r="C3" s="7" t="n">
        <v>0.13972602739726</v>
      </c>
      <c r="D3" s="7" t="n">
        <v>0.273972602739726</v>
      </c>
      <c r="E3" s="7" t="n">
        <v>3.93748624632939</v>
      </c>
      <c r="F3" s="7" t="n">
        <v>4.02613276807041</v>
      </c>
      <c r="G3" s="4" t="n">
        <f aca="false">(D3*F3-C3*E3)/(D3-C3)</f>
        <v>4.11839751518861</v>
      </c>
      <c r="H3" s="4" t="n">
        <f aca="false">365*(EXP(G3/100/365)-1)*100+Inputs!B3/100</f>
        <v>4.16862986910416</v>
      </c>
      <c r="I3" s="4" t="n">
        <f aca="false">Inputs!B6</f>
        <v>3.75</v>
      </c>
    </row>
    <row r="4" customFormat="false" ht="30.75" hidden="false" customHeight="true" outlineLevel="0" collapsed="false">
      <c r="A4" s="2" t="s">
        <v>57</v>
      </c>
      <c r="B4" s="2" t="s">
        <v>58</v>
      </c>
      <c r="C4" s="6" t="n">
        <v>0.273972602739726</v>
      </c>
      <c r="D4" s="6" t="n">
        <v>0.389041095890411</v>
      </c>
      <c r="E4" s="6" t="n">
        <v>4.02613276807041</v>
      </c>
      <c r="F4" s="6" t="n">
        <v>4.10641653445015</v>
      </c>
      <c r="G4" s="5" t="n">
        <f aca="false">(D4*F4-C4*E4)/(D4-C4)</f>
        <v>4.29756835916384</v>
      </c>
      <c r="H4" s="5" t="n">
        <f aca="false">365*(EXP(G4/100/365)-1)*100+Inputs!B3/100</f>
        <v>4.34782137038026</v>
      </c>
      <c r="I4" s="5" t="n">
        <f aca="false">Inputs!B6</f>
        <v>3.75</v>
      </c>
    </row>
    <row r="5" customFormat="false" ht="30.75" hidden="false" customHeight="true" outlineLevel="0" collapsed="false">
      <c r="A5" s="3" t="s">
        <v>58</v>
      </c>
      <c r="B5" s="3" t="s">
        <v>59</v>
      </c>
      <c r="C5" s="7" t="n">
        <v>0.389041095890411</v>
      </c>
      <c r="D5" s="7" t="n">
        <v>0.504109589041096</v>
      </c>
      <c r="E5" s="7" t="n">
        <v>4.10641653445015</v>
      </c>
      <c r="F5" s="7" t="n">
        <v>4.18827831959159</v>
      </c>
      <c r="G5" s="4" t="n">
        <f aca="false">(D5*F5-C5*E5)/(D5-C5)</f>
        <v>4.46504911697454</v>
      </c>
      <c r="H5" s="4" t="n">
        <f aca="false">365*(EXP(G5/100/365)-1)*100+Inputs!B3/100</f>
        <v>4.51532223309004</v>
      </c>
      <c r="I5" s="4" t="n">
        <f aca="false">Inputs!B6</f>
        <v>3.75</v>
      </c>
    </row>
    <row r="6" customFormat="false" ht="30.75" hidden="false" customHeight="true" outlineLevel="0" collapsed="false">
      <c r="A6" s="2" t="s">
        <v>59</v>
      </c>
      <c r="B6" s="2" t="s">
        <v>60</v>
      </c>
      <c r="C6" s="6" t="n">
        <v>0.504109589041096</v>
      </c>
      <c r="D6" s="6" t="n">
        <v>0.638356164383562</v>
      </c>
      <c r="E6" s="6" t="n">
        <v>4.18827831959159</v>
      </c>
      <c r="F6" s="6" t="n">
        <v>4.27875395069234</v>
      </c>
      <c r="G6" s="5" t="n">
        <f aca="false">(D6*F6-C6*E6)/(D6-C6)</f>
        <v>4.61849917768293</v>
      </c>
      <c r="H6" s="5" t="n">
        <f aca="false">365*(EXP(G6/100/365)-1)*100+Inputs!B3/100</f>
        <v>4.66879138911092</v>
      </c>
      <c r="I6" s="5" t="n">
        <f aca="false">Inputs!B6</f>
        <v>3.75</v>
      </c>
    </row>
    <row r="7" customFormat="false" ht="30.75" hidden="false" customHeight="true" outlineLevel="0" collapsed="false">
      <c r="A7" s="3" t="s">
        <v>60</v>
      </c>
      <c r="B7" s="3" t="s">
        <v>61</v>
      </c>
      <c r="C7" s="7" t="n">
        <v>0.638356164383562</v>
      </c>
      <c r="D7" s="7" t="n">
        <v>0.753424657534247</v>
      </c>
      <c r="E7" s="7" t="n">
        <v>4.27875395069234</v>
      </c>
      <c r="F7" s="7" t="n">
        <v>4.34980458589441</v>
      </c>
      <c r="G7" s="4" t="n">
        <f aca="false">(D7*F7-C7*E7)/(D7-C7)</f>
        <v>4.7439664430868</v>
      </c>
      <c r="H7" s="4" t="n">
        <f aca="false">365*(EXP(G7/100/365)-1)*100+Inputs!B3/100</f>
        <v>4.79427474709449</v>
      </c>
      <c r="I7" s="4" t="n">
        <f aca="false">Inputs!B6</f>
        <v>3.75</v>
      </c>
    </row>
    <row r="8" customFormat="false" ht="30.75" hidden="false" customHeight="true" outlineLevel="0" collapsed="false">
      <c r="A8" s="2" t="s">
        <v>61</v>
      </c>
      <c r="B8" s="2" t="s">
        <v>62</v>
      </c>
      <c r="C8" s="6" t="n">
        <v>0.753424657534247</v>
      </c>
      <c r="D8" s="6" t="n">
        <v>0.887671232876712</v>
      </c>
      <c r="E8" s="6" t="n">
        <v>4.34980458589441</v>
      </c>
      <c r="F8" s="6" t="n">
        <v>4.42301224728109</v>
      </c>
      <c r="G8" s="5" t="n">
        <f aca="false">(D8*F8-C8*E8)/(D8-C8)</f>
        <v>4.83387157139004</v>
      </c>
      <c r="H8" s="5" t="n">
        <f aca="false">365*(EXP(G8/100/365)-1)*100+Inputs!B3/100</f>
        <v>4.88419167201882</v>
      </c>
      <c r="I8" s="5" t="n">
        <f aca="false">Inputs!B6</f>
        <v>3.75</v>
      </c>
    </row>
    <row r="9" customFormat="false" ht="30.75" hidden="false" customHeight="true" outlineLevel="0" collapsed="false">
      <c r="A9" s="3" t="s">
        <v>62</v>
      </c>
      <c r="B9" s="3" t="s">
        <v>63</v>
      </c>
      <c r="C9" s="7" t="n">
        <v>0.887671232876712</v>
      </c>
      <c r="D9" s="7" t="n">
        <v>1</v>
      </c>
      <c r="E9" s="7" t="n">
        <v>4.42301224728109</v>
      </c>
      <c r="F9" s="7" t="n">
        <v>4.47782070592056</v>
      </c>
      <c r="G9" s="4" t="n">
        <f aca="false">(D9*F9-C9*E9)/(D9-C9)</f>
        <v>4.91094120833978</v>
      </c>
      <c r="H9" s="4" t="n">
        <f aca="false">365*(EXP(G9/100/365)-1)*100+Inputs!B3/100</f>
        <v>4.96127159772631</v>
      </c>
      <c r="I9" s="4" t="n">
        <f aca="false">Inputs!B6</f>
        <v>3.75</v>
      </c>
    </row>
    <row r="10" customFormat="false" ht="30.75" hidden="false" customHeight="true" outlineLevel="0" collapsed="false">
      <c r="A10" s="2" t="s">
        <v>64</v>
      </c>
      <c r="B10" s="2"/>
      <c r="C10" s="2"/>
      <c r="D10" s="2"/>
      <c r="E10" s="2"/>
      <c r="F10" s="2"/>
      <c r="G10" s="2"/>
      <c r="H10" s="2"/>
      <c r="I10" s="2"/>
    </row>
  </sheetData>
  <autoFilter ref="A1:I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11" min="2" style="0" width="24"/>
  </cols>
  <sheetData>
    <row r="1" customFormat="false" ht="15" hidden="false" customHeight="false" outlineLevel="0" collapsed="false">
      <c r="A1" s="1" t="s">
        <v>65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</row>
    <row r="2" customFormat="false" ht="30.75" hidden="false" customHeight="true" outlineLevel="0" collapsed="false">
      <c r="A2" s="6" t="n">
        <v>1</v>
      </c>
      <c r="B2" s="6" t="n">
        <v>0.484931506849315</v>
      </c>
      <c r="C2" s="6" t="n">
        <v>0.8125</v>
      </c>
      <c r="D2" s="6" t="n">
        <v>4.23496757440019</v>
      </c>
      <c r="E2" s="6" t="n">
        <v>4.23496757440019</v>
      </c>
      <c r="F2" s="5" t="n">
        <f aca="false">C2*EXP(-D2/100*B2)</f>
        <v>0.795984109042589</v>
      </c>
      <c r="G2" s="5" t="n">
        <f aca="false">C2*EXP(-(D2/100-0.0001)*B2)</f>
        <v>0.796022709755859</v>
      </c>
      <c r="H2" s="5" t="n">
        <f aca="false">C2*EXP(-(D2/100+0.0001)*B2)</f>
        <v>0.795945510201144</v>
      </c>
      <c r="I2" s="5" t="n">
        <f aca="false">IF(B2&gt;Inputs!B5,C2*EXP(-D2/100*(B2-Inputs!B5)),0)</f>
        <v>0.804456296430441</v>
      </c>
      <c r="J2" s="5" t="n">
        <f aca="false">IF(B2&gt;Inputs!B5,C2*EXP(-E2/100*(B2-Inputs!B5)),0)</f>
        <v>0.804456296430441</v>
      </c>
      <c r="K2" s="5" t="n">
        <f aca="false">IF(B2&lt;=Inputs!B5,C2,0)</f>
        <v>0</v>
      </c>
    </row>
    <row r="3" customFormat="false" ht="30.75" hidden="false" customHeight="true" outlineLevel="0" collapsed="false">
      <c r="A3" s="7" t="n">
        <v>1</v>
      </c>
      <c r="B3" s="7" t="n">
        <v>0.986301369863014</v>
      </c>
      <c r="C3" s="7" t="n">
        <v>0.8125</v>
      </c>
      <c r="D3" s="7" t="n">
        <v>4.46134078411914</v>
      </c>
      <c r="E3" s="7" t="n">
        <v>4.3449658241932</v>
      </c>
      <c r="F3" s="4" t="n">
        <f aca="false">C3*EXP(-D3/100*B3)</f>
        <v>0.77752332914612</v>
      </c>
      <c r="G3" s="4" t="n">
        <f aca="false">C3*EXP(-(D3/100-0.0001)*B3)</f>
        <v>0.777600020160544</v>
      </c>
      <c r="H3" s="4" t="n">
        <f aca="false">C3*EXP(-(D3/100+0.0001)*B3)</f>
        <v>0.777446645695368</v>
      </c>
      <c r="I3" s="4" t="n">
        <f aca="false">IF(B3&gt;Inputs!B5,C3*EXP(-D3/100*(B3-Inputs!B5)),0)</f>
        <v>0.786243861677053</v>
      </c>
      <c r="J3" s="4" t="n">
        <f aca="false">IF(B3&gt;Inputs!B5,C3*EXP(-E3/100*(B3-Inputs!B5)),0)</f>
        <v>0.78691785951143</v>
      </c>
      <c r="K3" s="4" t="n">
        <f aca="false">IF(B3&lt;=Inputs!B5,C3,0)</f>
        <v>0</v>
      </c>
    </row>
    <row r="4" customFormat="false" ht="30.75" hidden="false" customHeight="true" outlineLevel="0" collapsed="false">
      <c r="A4" s="6" t="n">
        <v>1</v>
      </c>
      <c r="B4" s="6" t="n">
        <v>1.48767123287671</v>
      </c>
      <c r="C4" s="6" t="n">
        <v>0.8125</v>
      </c>
      <c r="D4" s="6" t="n">
        <v>4.63357271451048</v>
      </c>
      <c r="E4" s="6" t="n">
        <v>4.54854861985554</v>
      </c>
      <c r="F4" s="5" t="n">
        <f aca="false">C4*EXP(-D4/100*B4)</f>
        <v>0.758379246618576</v>
      </c>
      <c r="G4" s="5" t="n">
        <f aca="false">C4*EXP(-(D4/100-0.0001)*B4)</f>
        <v>0.758492076909967</v>
      </c>
      <c r="H4" s="5" t="n">
        <f aca="false">C4*EXP(-(D4/100+0.0001)*B4)</f>
        <v>0.758266433111374</v>
      </c>
      <c r="I4" s="5" t="n">
        <f aca="false">IF(B4&gt;Inputs!B5,C4*EXP(-D4/100*(B4-Inputs!B5)),0)</f>
        <v>0.767215339621303</v>
      </c>
      <c r="J4" s="5" t="n">
        <f aca="false">IF(B4&gt;Inputs!B5,C4*EXP(-E4/100*(B4-Inputs!B5)),0)</f>
        <v>0.768023119663078</v>
      </c>
      <c r="K4" s="5" t="n">
        <f aca="false">IF(B4&lt;=Inputs!B5,C4,0)</f>
        <v>0</v>
      </c>
    </row>
    <row r="5" customFormat="false" ht="30.75" hidden="false" customHeight="true" outlineLevel="0" collapsed="false">
      <c r="A5" s="7" t="n">
        <v>1</v>
      </c>
      <c r="B5" s="7" t="n">
        <v>1.98904109589041</v>
      </c>
      <c r="C5" s="7" t="n">
        <v>100.8125</v>
      </c>
      <c r="D5" s="7" t="n">
        <v>4.73602769489165</v>
      </c>
      <c r="E5" s="7" t="n">
        <v>4.68579571430995</v>
      </c>
      <c r="F5" s="4" t="n">
        <f aca="false">C5*EXP(-D5/100*B5)</f>
        <v>91.7493881934605</v>
      </c>
      <c r="G5" s="4" t="n">
        <f aca="false">C5*EXP(-(D5/100-0.0001)*B5)</f>
        <v>91.7676393388782</v>
      </c>
      <c r="H5" s="4" t="n">
        <f aca="false">C5*EXP(-(D5/100+0.0001)*B5)</f>
        <v>91.7311406779097</v>
      </c>
      <c r="I5" s="4" t="n">
        <f aca="false">IF(B5&gt;Inputs!B5,C5*EXP(-D5/100*(B5-Inputs!B5)),0)</f>
        <v>92.8421638055285</v>
      </c>
      <c r="J5" s="4" t="n">
        <f aca="false">IF(B5&gt;Inputs!B5,C5*EXP(-E5/100*(B5-Inputs!B5)),0)</f>
        <v>92.923301956176</v>
      </c>
      <c r="K5" s="4" t="n">
        <f aca="false">IF(B5&lt;=Inputs!B5,C5,0)</f>
        <v>0</v>
      </c>
    </row>
    <row r="6" customFormat="false" ht="30.75" hidden="false" customHeight="true" outlineLevel="0" collapsed="false">
      <c r="A6" s="6" t="n">
        <v>2</v>
      </c>
      <c r="B6" s="6" t="n">
        <v>0.263013698630137</v>
      </c>
      <c r="C6" s="6" t="n">
        <v>2.4375</v>
      </c>
      <c r="D6" s="6" t="n">
        <v>4.23496757440019</v>
      </c>
      <c r="E6" s="6" t="n">
        <v>4.23496757440019</v>
      </c>
      <c r="F6" s="5" t="n">
        <f aca="false">C6*EXP(-D6/100*B6)</f>
        <v>2.41050044394932</v>
      </c>
      <c r="G6" s="5" t="n">
        <f aca="false">C6*EXP(-(D6/100-0.0001)*B6)</f>
        <v>2.4105638442468</v>
      </c>
      <c r="H6" s="5" t="n">
        <f aca="false">C6*EXP(-(D6/100+0.0001)*B6)</f>
        <v>2.41043704531933</v>
      </c>
      <c r="I6" s="5" t="n">
        <f aca="false">IF(B6&gt;Inputs!B5,C6*EXP(-D6/100*(B6-Inputs!B5)),0)</f>
        <v>2.43615700069164</v>
      </c>
      <c r="J6" s="5" t="n">
        <f aca="false">IF(B6&gt;Inputs!B5,C6*EXP(-E6/100*(B6-Inputs!B5)),0)</f>
        <v>2.43615700069164</v>
      </c>
      <c r="K6" s="5" t="n">
        <f aca="false">IF(B6&lt;=Inputs!B5,C6,0)</f>
        <v>0</v>
      </c>
    </row>
    <row r="7" customFormat="false" ht="30.75" hidden="false" customHeight="true" outlineLevel="0" collapsed="false">
      <c r="A7" s="7" t="n">
        <v>2</v>
      </c>
      <c r="B7" s="7" t="n">
        <v>0.758904109589041</v>
      </c>
      <c r="C7" s="7" t="n">
        <v>2.4375</v>
      </c>
      <c r="D7" s="7" t="n">
        <v>4.35548739591253</v>
      </c>
      <c r="E7" s="7" t="n">
        <v>4.23911243598659</v>
      </c>
      <c r="F7" s="4" t="n">
        <f aca="false">C7*EXP(-D7/100*B7)</f>
        <v>2.35824795422332</v>
      </c>
      <c r="G7" s="4" t="n">
        <f aca="false">C7*EXP(-(D7/100-0.0001)*B7)</f>
        <v>2.35842692942087</v>
      </c>
      <c r="H7" s="4" t="n">
        <f aca="false">C7*EXP(-(D7/100+0.0001)*B7)</f>
        <v>2.35806899260775</v>
      </c>
      <c r="I7" s="4" t="n">
        <f aca="false">IF(B7&gt;Inputs!B5,C7*EXP(-D7/100*(B7-Inputs!B5)),0)</f>
        <v>2.38406656301104</v>
      </c>
      <c r="J7" s="4" t="n">
        <f aca="false">IF(B7&gt;Inputs!B5,C7*EXP(-E7/100*(B7-Inputs!B5)),0)</f>
        <v>2.38547891351128</v>
      </c>
      <c r="K7" s="4" t="n">
        <f aca="false">IF(B7&lt;=Inputs!B5,C7,0)</f>
        <v>0</v>
      </c>
    </row>
    <row r="8" customFormat="false" ht="30.75" hidden="false" customHeight="true" outlineLevel="0" collapsed="false">
      <c r="A8" s="6" t="n">
        <v>2</v>
      </c>
      <c r="B8" s="6" t="n">
        <v>1.26301369863014</v>
      </c>
      <c r="C8" s="6" t="n">
        <v>2.4375</v>
      </c>
      <c r="D8" s="6" t="n">
        <v>4.55716750068357</v>
      </c>
      <c r="E8" s="6" t="n">
        <v>4.47214340602863</v>
      </c>
      <c r="F8" s="5" t="n">
        <f aca="false">C8*EXP(-D8/100*B8)</f>
        <v>2.30116444231575</v>
      </c>
      <c r="G8" s="5" t="n">
        <f aca="false">C8*EXP(-(D8/100-0.0001)*B8)</f>
        <v>2.30145510089199</v>
      </c>
      <c r="H8" s="5" t="n">
        <f aca="false">C8*EXP(-(D8/100+0.0001)*B8)</f>
        <v>2.30087382044776</v>
      </c>
      <c r="I8" s="5" t="n">
        <f aca="false">IF(B8&gt;Inputs!B5,C8*EXP(-D8/100*(B8-Inputs!B5)),0)</f>
        <v>2.3275313345738</v>
      </c>
      <c r="J8" s="5" t="n">
        <f aca="false">IF(B8&gt;Inputs!B5,C8*EXP(-E8/100*(B8-Inputs!B5)),0)</f>
        <v>2.32953691422432</v>
      </c>
      <c r="K8" s="5" t="n">
        <f aca="false">IF(B8&lt;=Inputs!B5,C8,0)</f>
        <v>0</v>
      </c>
    </row>
    <row r="9" customFormat="false" ht="30.75" hidden="false" customHeight="true" outlineLevel="0" collapsed="false">
      <c r="A9" s="7" t="n">
        <v>2</v>
      </c>
      <c r="B9" s="7" t="n">
        <v>1.76164383561644</v>
      </c>
      <c r="C9" s="7" t="n">
        <v>2.4375</v>
      </c>
      <c r="D9" s="7" t="n">
        <v>4.69033723584199</v>
      </c>
      <c r="E9" s="7" t="n">
        <v>4.64010525526029</v>
      </c>
      <c r="F9" s="4" t="n">
        <f aca="false">C9*EXP(-D9/100*B9)</f>
        <v>2.2441927666328</v>
      </c>
      <c r="G9" s="4" t="n">
        <f aca="false">C9*EXP(-(D9/100-0.0001)*B9)</f>
        <v>2.24458814829319</v>
      </c>
      <c r="H9" s="4" t="n">
        <f aca="false">C9*EXP(-(D9/100+0.0001)*B9)</f>
        <v>2.24379745461844</v>
      </c>
      <c r="I9" s="4" t="n">
        <f aca="false">IF(B9&gt;Inputs!B5,C9*EXP(-D9/100*(B9-Inputs!B5)),0)</f>
        <v>2.27066270676893</v>
      </c>
      <c r="J9" s="4" t="n">
        <f aca="false">IF(B9&gt;Inputs!B5,C9*EXP(-E9/100*(B9-Inputs!B5)),0)</f>
        <v>2.2723875407644</v>
      </c>
      <c r="K9" s="4" t="n">
        <f aca="false">IF(B9&lt;=Inputs!B5,C9,0)</f>
        <v>0</v>
      </c>
    </row>
    <row r="10" customFormat="false" ht="30.75" hidden="false" customHeight="true" outlineLevel="0" collapsed="false">
      <c r="A10" s="6" t="n">
        <v>2</v>
      </c>
      <c r="B10" s="6" t="n">
        <v>2.26575342465753</v>
      </c>
      <c r="C10" s="6" t="n">
        <v>2.4375</v>
      </c>
      <c r="D10" s="6" t="n">
        <v>4.77112609583726</v>
      </c>
      <c r="E10" s="6" t="n">
        <v>4.7401796920851</v>
      </c>
      <c r="F10" s="5" t="n">
        <f aca="false">C10*EXP(-D10/100*B10)</f>
        <v>2.18774420803777</v>
      </c>
      <c r="G10" s="5" t="n">
        <f aca="false">C10*EXP(-(D10/100-0.0001)*B10)</f>
        <v>2.18823995309062</v>
      </c>
      <c r="H10" s="5" t="n">
        <f aca="false">C10*EXP(-(D10/100+0.0001)*B10)</f>
        <v>2.18724857529581</v>
      </c>
      <c r="I10" s="5" t="n">
        <f aca="false">IF(B10&gt;Inputs!B5,C10*EXP(-D10/100*(B10-Inputs!B5)),0)</f>
        <v>2.21399546558176</v>
      </c>
      <c r="J10" s="5" t="n">
        <f aca="false">IF(B10&gt;Inputs!B5,C10*EXP(-E10/100*(B10-Inputs!B5)),0)</f>
        <v>2.21537699387954</v>
      </c>
      <c r="K10" s="5" t="n">
        <f aca="false">IF(B10&lt;=Inputs!B5,C10,0)</f>
        <v>0</v>
      </c>
    </row>
    <row r="11" customFormat="false" ht="30.75" hidden="false" customHeight="true" outlineLevel="0" collapsed="false">
      <c r="A11" s="7" t="n">
        <v>2</v>
      </c>
      <c r="B11" s="7" t="n">
        <v>2.76164383561644</v>
      </c>
      <c r="C11" s="7" t="n">
        <v>2.4375</v>
      </c>
      <c r="D11" s="7" t="n">
        <v>4.82234609815659</v>
      </c>
      <c r="E11" s="7" t="n">
        <v>4.80111146265054</v>
      </c>
      <c r="F11" s="4" t="n">
        <f aca="false">C11*EXP(-D11/100*B11)</f>
        <v>2.13357056986303</v>
      </c>
      <c r="G11" s="4" t="n">
        <f aca="false">C11*EXP(-(D11/100-0.0001)*B11)</f>
        <v>2.13415986743199</v>
      </c>
      <c r="H11" s="4" t="n">
        <f aca="false">C11*EXP(-(D11/100+0.0001)*B11)</f>
        <v>2.13298143501459</v>
      </c>
      <c r="I11" s="4" t="n">
        <f aca="false">IF(B11&gt;Inputs!B5,C11*EXP(-D11/100*(B11-Inputs!B5)),0)</f>
        <v>2.15944828483724</v>
      </c>
      <c r="J11" s="4" t="n">
        <f aca="false">IF(B11&gt;Inputs!B5,C11*EXP(-E11/100*(B11-Inputs!B5)),0)</f>
        <v>2.16060030874194</v>
      </c>
      <c r="K11" s="4" t="n">
        <f aca="false">IF(B11&lt;=Inputs!B5,C11,0)</f>
        <v>0</v>
      </c>
    </row>
    <row r="12" customFormat="false" ht="30.75" hidden="false" customHeight="true" outlineLevel="0" collapsed="false">
      <c r="A12" s="6" t="n">
        <v>2</v>
      </c>
      <c r="B12" s="6" t="n">
        <v>3.26575342465753</v>
      </c>
      <c r="C12" s="6" t="n">
        <v>2.4375</v>
      </c>
      <c r="D12" s="6" t="n">
        <v>4.86021028980961</v>
      </c>
      <c r="E12" s="6" t="n">
        <v>4.84363612280639</v>
      </c>
      <c r="F12" s="5" t="n">
        <f aca="false">C12*EXP(-D12/100*B12)</f>
        <v>2.07975571042523</v>
      </c>
      <c r="G12" s="5" t="n">
        <f aca="false">C12*EXP(-(D12/100-0.0001)*B12)</f>
        <v>2.08043501827516</v>
      </c>
      <c r="H12" s="5" t="n">
        <f aca="false">C12*EXP(-(D12/100+0.0001)*B12)</f>
        <v>2.07907662438426</v>
      </c>
      <c r="I12" s="5" t="n">
        <f aca="false">IF(B12&gt;Inputs!B5,C12*EXP(-D12/100*(B12-Inputs!B5)),0)</f>
        <v>2.10517998202602</v>
      </c>
      <c r="J12" s="5" t="n">
        <f aca="false">IF(B12&gt;Inputs!B5,C12*EXP(-E12/100*(B12-Inputs!B5)),0)</f>
        <v>2.10623248980521</v>
      </c>
      <c r="K12" s="5" t="n">
        <f aca="false">IF(B12&lt;=Inputs!B5,C12,0)</f>
        <v>0</v>
      </c>
    </row>
    <row r="13" customFormat="false" ht="30.75" hidden="false" customHeight="true" outlineLevel="0" collapsed="false">
      <c r="A13" s="7" t="n">
        <v>2</v>
      </c>
      <c r="B13" s="7" t="n">
        <v>3.76164383561644</v>
      </c>
      <c r="C13" s="7" t="n">
        <v>2.4375</v>
      </c>
      <c r="D13" s="7" t="n">
        <v>4.89114402455491</v>
      </c>
      <c r="E13" s="7" t="n">
        <v>4.87642557411791</v>
      </c>
      <c r="F13" s="4" t="n">
        <f aca="false">C13*EXP(-D13/100*B13)</f>
        <v>2.02786903694225</v>
      </c>
      <c r="G13" s="4" t="n">
        <f aca="false">C13*EXP(-(D13/100-0.0001)*B13)</f>
        <v>2.02863199253784</v>
      </c>
      <c r="H13" s="4" t="n">
        <f aca="false">C13*EXP(-(D13/100+0.0001)*B13)</f>
        <v>2.02710636828941</v>
      </c>
      <c r="I13" s="4" t="n">
        <f aca="false">IF(B13&gt;Inputs!B5,C13*EXP(-D13/100*(B13-Inputs!B5)),0)</f>
        <v>2.0528177596322</v>
      </c>
      <c r="J13" s="4" t="n">
        <f aca="false">IF(B13&gt;Inputs!B5,C13*EXP(-E13/100*(B13-Inputs!B5)),0)</f>
        <v>2.05387905235703</v>
      </c>
      <c r="K13" s="4" t="n">
        <f aca="false">IF(B13&lt;=Inputs!B5,C13,0)</f>
        <v>0</v>
      </c>
    </row>
    <row r="14" customFormat="false" ht="30.75" hidden="false" customHeight="true" outlineLevel="0" collapsed="false">
      <c r="A14" s="6" t="n">
        <v>2</v>
      </c>
      <c r="B14" s="6" t="n">
        <v>4.26575342465753</v>
      </c>
      <c r="C14" s="6" t="n">
        <v>2.4375</v>
      </c>
      <c r="D14" s="6" t="n">
        <v>4.92048442776137</v>
      </c>
      <c r="E14" s="6" t="n">
        <v>4.90608435967302</v>
      </c>
      <c r="F14" s="5" t="n">
        <f aca="false">C14*EXP(-D14/100*B14)</f>
        <v>1.97600512096322</v>
      </c>
      <c r="G14" s="5" t="n">
        <f aca="false">C14*EXP(-(D14/100-0.0001)*B14)</f>
        <v>1.97684821583336</v>
      </c>
      <c r="H14" s="5" t="n">
        <f aca="false">C14*EXP(-(D14/100+0.0001)*B14)</f>
        <v>1.97516238565986</v>
      </c>
      <c r="I14" s="5" t="n">
        <f aca="false">IF(B14&gt;Inputs!B5,C14*EXP(-D14/100*(B14-Inputs!B5)),0)</f>
        <v>2.00046249629217</v>
      </c>
      <c r="J14" s="5" t="n">
        <f aca="false">IF(B14&gt;Inputs!B5,C14*EXP(-E14/100*(B14-Inputs!B5)),0)</f>
        <v>2.00161964073471</v>
      </c>
      <c r="K14" s="5" t="n">
        <f aca="false">IF(B14&lt;=Inputs!B5,C14,0)</f>
        <v>0</v>
      </c>
    </row>
    <row r="15" customFormat="false" ht="30.75" hidden="false" customHeight="true" outlineLevel="0" collapsed="false">
      <c r="A15" s="7" t="n">
        <v>2</v>
      </c>
      <c r="B15" s="7" t="n">
        <v>4.76164383561644</v>
      </c>
      <c r="C15" s="7" t="n">
        <v>2.4375</v>
      </c>
      <c r="D15" s="7" t="n">
        <v>4.94951559445712</v>
      </c>
      <c r="E15" s="7" t="n">
        <v>4.93466859823269</v>
      </c>
      <c r="F15" s="4" t="n">
        <f aca="false">C15*EXP(-D15/100*B15)</f>
        <v>1.92570978583495</v>
      </c>
      <c r="G15" s="4" t="n">
        <f aca="false">C15*EXP(-(D15/100-0.0001)*B15)</f>
        <v>1.92662695859321</v>
      </c>
      <c r="H15" s="4" t="n">
        <f aca="false">C15*EXP(-(D15/100+0.0001)*B15)</f>
        <v>1.92479304969773</v>
      </c>
      <c r="I15" s="4" t="n">
        <f aca="false">IF(B15&gt;Inputs!B5,C15*EXP(-D15/100*(B15-Inputs!B5)),0)</f>
        <v>1.94968614566311</v>
      </c>
      <c r="J15" s="4" t="n">
        <f aca="false">IF(B15&gt;Inputs!B5,C15*EXP(-E15/100*(B15-Inputs!B5)),0)</f>
        <v>1.9509925679306</v>
      </c>
      <c r="K15" s="4" t="n">
        <f aca="false">IF(B15&lt;=Inputs!B5,C15,0)</f>
        <v>0</v>
      </c>
    </row>
    <row r="16" customFormat="false" ht="30.75" hidden="false" customHeight="true" outlineLevel="0" collapsed="false">
      <c r="A16" s="6" t="n">
        <v>2</v>
      </c>
      <c r="B16" s="6" t="n">
        <v>5.26575342465753</v>
      </c>
      <c r="C16" s="6" t="n">
        <v>2.4375</v>
      </c>
      <c r="D16" s="6" t="n">
        <v>4.98026044263397</v>
      </c>
      <c r="E16" s="6" t="n">
        <v>4.96465447640084</v>
      </c>
      <c r="F16" s="5" t="n">
        <f aca="false">C16*EXP(-D16/100*B16)</f>
        <v>1.87521756822062</v>
      </c>
      <c r="G16" s="5" t="n">
        <f aca="false">C16*EXP(-(D16/100-0.0001)*B16)</f>
        <v>1.8762052715811</v>
      </c>
      <c r="H16" s="5" t="n">
        <f aca="false">C16*EXP(-(D16/100+0.0001)*B16)</f>
        <v>1.87423038482346</v>
      </c>
      <c r="I16" s="5" t="n">
        <f aca="false">IF(B16&gt;Inputs!B5,C16*EXP(-D16/100*(B16-Inputs!B5)),0)</f>
        <v>1.89871119992198</v>
      </c>
      <c r="J16" s="5" t="n">
        <f aca="false">IF(B16&gt;Inputs!B5,C16*EXP(-E16/100*(B16-Inputs!B5)),0)</f>
        <v>1.90019801082772</v>
      </c>
      <c r="K16" s="5" t="n">
        <f aca="false">IF(B16&lt;=Inputs!B5,C16,0)</f>
        <v>0</v>
      </c>
    </row>
    <row r="17" customFormat="false" ht="30.75" hidden="false" customHeight="true" outlineLevel="0" collapsed="false">
      <c r="A17" s="7" t="n">
        <v>2</v>
      </c>
      <c r="B17" s="7" t="n">
        <v>5.76438356164384</v>
      </c>
      <c r="C17" s="7" t="n">
        <v>2.4375</v>
      </c>
      <c r="D17" s="7" t="n">
        <v>5.01225855428479</v>
      </c>
      <c r="E17" s="7" t="n">
        <v>4.99582832034484</v>
      </c>
      <c r="F17" s="4" t="n">
        <f aca="false">C17*EXP(-D17/100*B17)</f>
        <v>1.82585270899727</v>
      </c>
      <c r="G17" s="4" t="n">
        <f aca="false">C17*EXP(-(D17/100-0.0001)*B17)</f>
        <v>1.82690550393799</v>
      </c>
      <c r="H17" s="4" t="n">
        <f aca="false">C17*EXP(-(D17/100+0.0001)*B17)</f>
        <v>1.82480052075307</v>
      </c>
      <c r="I17" s="4" t="n">
        <f aca="false">IF(B17&gt;Inputs!B5,C17*EXP(-D17/100*(B17-Inputs!B5)),0)</f>
        <v>1.84887576930947</v>
      </c>
      <c r="J17" s="4" t="n">
        <f aca="false">IF(B17&gt;Inputs!B5,C17*EXP(-E17/100*(B17-Inputs!B5)),0)</f>
        <v>1.8505516581331</v>
      </c>
      <c r="K17" s="4" t="n">
        <f aca="false">IF(B17&lt;=Inputs!B5,C17,0)</f>
        <v>0</v>
      </c>
    </row>
    <row r="18" customFormat="false" ht="30.75" hidden="false" customHeight="true" outlineLevel="0" collapsed="false">
      <c r="A18" s="6" t="n">
        <v>2</v>
      </c>
      <c r="B18" s="6" t="n">
        <v>6.26849315068493</v>
      </c>
      <c r="C18" s="6" t="n">
        <v>2.4375</v>
      </c>
      <c r="D18" s="6" t="n">
        <v>5.04621019614228</v>
      </c>
      <c r="E18" s="6" t="n">
        <v>5.0290154287886</v>
      </c>
      <c r="F18" s="5" t="n">
        <f aca="false">C18*EXP(-D18/100*B18)</f>
        <v>1.77651145294869</v>
      </c>
      <c r="G18" s="5" t="n">
        <f aca="false">C18*EXP(-(D18/100-0.0001)*B18)</f>
        <v>1.77762540704038</v>
      </c>
      <c r="H18" s="5" t="n">
        <f aca="false">C18*EXP(-(D18/100+0.0001)*B18)</f>
        <v>1.77539819691954</v>
      </c>
      <c r="I18" s="5" t="n">
        <f aca="false">IF(B18&gt;Inputs!B5,C18*EXP(-D18/100*(B18-Inputs!B5)),0)</f>
        <v>1.79906504203732</v>
      </c>
      <c r="J18" s="5" t="n">
        <f aca="false">IF(B18&gt;Inputs!B5,C18*EXP(-E18/100*(B18-Inputs!B5)),0)</f>
        <v>1.80092779677747</v>
      </c>
      <c r="K18" s="5" t="n">
        <f aca="false">IF(B18&lt;=Inputs!B5,C18,0)</f>
        <v>0</v>
      </c>
    </row>
    <row r="19" customFormat="false" ht="30.75" hidden="false" customHeight="true" outlineLevel="0" collapsed="false">
      <c r="A19" s="7" t="n">
        <v>2</v>
      </c>
      <c r="B19" s="7" t="n">
        <v>6.76438356164384</v>
      </c>
      <c r="C19" s="7" t="n">
        <v>2.4375</v>
      </c>
      <c r="D19" s="7" t="n">
        <v>5.08099834884571</v>
      </c>
      <c r="E19" s="7" t="n">
        <v>5.06315937379076</v>
      </c>
      <c r="F19" s="4" t="n">
        <f aca="false">C19*EXP(-D19/100*B19)</f>
        <v>1.72853582601176</v>
      </c>
      <c r="G19" s="4" t="n">
        <f aca="false">C19*EXP(-(D19/100-0.0001)*B19)</f>
        <v>1.72970546949574</v>
      </c>
      <c r="H19" s="4" t="n">
        <f aca="false">C19*EXP(-(D19/100+0.0001)*B19)</f>
        <v>1.72736697345197</v>
      </c>
      <c r="I19" s="4" t="n">
        <f aca="false">IF(B19&gt;Inputs!B5,C19*EXP(-D19/100*(B19-Inputs!B5)),0)</f>
        <v>1.75063259011904</v>
      </c>
      <c r="J19" s="4" t="n">
        <f aca="false">IF(B19&gt;Inputs!B5,C19*EXP(-E19/100*(B19-Inputs!B5)),0)</f>
        <v>1.75266818150454</v>
      </c>
      <c r="K19" s="4" t="n">
        <f aca="false">IF(B19&lt;=Inputs!B5,C19,0)</f>
        <v>0</v>
      </c>
    </row>
    <row r="20" customFormat="false" ht="30.75" hidden="false" customHeight="true" outlineLevel="0" collapsed="false">
      <c r="A20" s="6" t="n">
        <v>2</v>
      </c>
      <c r="B20" s="6" t="n">
        <v>7.26849315068493</v>
      </c>
      <c r="C20" s="6" t="n">
        <v>2.4375</v>
      </c>
      <c r="D20" s="6" t="n">
        <v>5.11750649021893</v>
      </c>
      <c r="E20" s="6" t="n">
        <v>5.09916755097832</v>
      </c>
      <c r="F20" s="5" t="n">
        <f aca="false">C20*EXP(-D20/100*B20)</f>
        <v>1.68035875483504</v>
      </c>
      <c r="G20" s="5" t="n">
        <f aca="false">C20*EXP(-(D20/100-0.0001)*B20)</f>
        <v>1.68158056642773</v>
      </c>
      <c r="H20" s="5" t="n">
        <f aca="false">C20*EXP(-(D20/100+0.0001)*B20)</f>
        <v>1.6791378309926</v>
      </c>
      <c r="I20" s="5" t="n">
        <f aca="false">IF(B20&gt;Inputs!B5,C20*EXP(-D20/100*(B20-Inputs!B5)),0)</f>
        <v>1.70199498121245</v>
      </c>
      <c r="J20" s="5" t="n">
        <f aca="false">IF(B20&gt;Inputs!B5,C20*EXP(-E20/100*(B20-Inputs!B5)),0)</f>
        <v>1.70418705864539</v>
      </c>
      <c r="K20" s="5" t="n">
        <f aca="false">IF(B20&lt;=Inputs!B5,C20,0)</f>
        <v>0</v>
      </c>
    </row>
    <row r="21" customFormat="false" ht="30.75" hidden="false" customHeight="true" outlineLevel="0" collapsed="false">
      <c r="A21" s="7" t="n">
        <v>2</v>
      </c>
      <c r="B21" s="7" t="n">
        <v>7.76438356164384</v>
      </c>
      <c r="C21" s="7" t="n">
        <v>2.4375</v>
      </c>
      <c r="D21" s="7" t="n">
        <v>5.15424911777544</v>
      </c>
      <c r="E21" s="7" t="n">
        <v>5.1355638908459</v>
      </c>
      <c r="F21" s="4" t="n">
        <f aca="false">C21*EXP(-D21/100*B21)</f>
        <v>1.63358543527102</v>
      </c>
      <c r="G21" s="4" t="n">
        <f aca="false">C21*EXP(-(D21/100-0.0001)*B21)</f>
        <v>1.63485430619731</v>
      </c>
      <c r="H21" s="4" t="n">
        <f aca="false">C21*EXP(-(D21/100+0.0001)*B21)</f>
        <v>1.6323175491624</v>
      </c>
      <c r="I21" s="4" t="n">
        <f aca="false">IF(B21&gt;Inputs!B5,C21*EXP(-D21/100*(B21-Inputs!B5)),0)</f>
        <v>1.65477140505891</v>
      </c>
      <c r="J21" s="4" t="n">
        <f aca="false">IF(B21&gt;Inputs!B5,C21*EXP(-E21/100*(B21-Inputs!B5)),0)</f>
        <v>1.65709646777052</v>
      </c>
      <c r="K21" s="4" t="n">
        <f aca="false">IF(B21&lt;=Inputs!B5,C21,0)</f>
        <v>0</v>
      </c>
    </row>
    <row r="22" customFormat="false" ht="30.75" hidden="false" customHeight="true" outlineLevel="0" collapsed="false">
      <c r="A22" s="6" t="n">
        <v>2</v>
      </c>
      <c r="B22" s="6" t="n">
        <v>8.26849315068493</v>
      </c>
      <c r="C22" s="6" t="n">
        <v>2.4375</v>
      </c>
      <c r="D22" s="6" t="n">
        <v>5.19213250324779</v>
      </c>
      <c r="E22" s="6" t="n">
        <v>5.17325567254972</v>
      </c>
      <c r="F22" s="5" t="n">
        <f aca="false">C22*EXP(-D22/100*B22)</f>
        <v>1.58670859315639</v>
      </c>
      <c r="G22" s="5" t="n">
        <f aca="false">C22*EXP(-(D22/100-0.0001)*B22)</f>
        <v>1.58802110461968</v>
      </c>
      <c r="H22" s="5" t="n">
        <f aca="false">C22*EXP(-(D22/100+0.0001)*B22)</f>
        <v>1.58539716649376</v>
      </c>
      <c r="I22" s="5" t="n">
        <f aca="false">IF(B22&gt;Inputs!B5,C22*EXP(-D22/100*(B22-Inputs!B5)),0)</f>
        <v>1.6074388480258</v>
      </c>
      <c r="J22" s="5" t="n">
        <f aca="false">IF(B22&gt;Inputs!B5,C22*EXP(-E22/100*(B22-Inputs!B5)),0)</f>
        <v>1.60987376987623</v>
      </c>
      <c r="K22" s="5" t="n">
        <f aca="false">IF(B22&lt;=Inputs!B5,C22,0)</f>
        <v>0</v>
      </c>
    </row>
    <row r="23" customFormat="false" ht="30.75" hidden="false" customHeight="true" outlineLevel="0" collapsed="false">
      <c r="A23" s="7" t="n">
        <v>2</v>
      </c>
      <c r="B23" s="7" t="n">
        <v>8.76438356164384</v>
      </c>
      <c r="C23" s="7" t="n">
        <v>2.4375</v>
      </c>
      <c r="D23" s="7" t="n">
        <v>5.22961951906736</v>
      </c>
      <c r="E23" s="7" t="n">
        <v>5.2107014050824</v>
      </c>
      <c r="F23" s="4" t="n">
        <f aca="false">C23*EXP(-D23/100*B23)</f>
        <v>1.5413043067892</v>
      </c>
      <c r="G23" s="4" t="n">
        <f aca="false">C23*EXP(-(D23/100-0.0001)*B23)</f>
        <v>1.54265575714715</v>
      </c>
      <c r="H23" s="4" t="n">
        <f aca="false">C23*EXP(-(D23/100+0.0001)*B23)</f>
        <v>1.53995404037528</v>
      </c>
      <c r="I23" s="4" t="n">
        <f aca="false">IF(B23&gt;Inputs!B5,C23*EXP(-D23/100*(B23-Inputs!B5)),0)</f>
        <v>1.56158769861501</v>
      </c>
      <c r="J23" s="4" t="n">
        <f aca="false">IF(B23&gt;Inputs!B5,C23*EXP(-E23/100*(B23-Inputs!B5)),0)</f>
        <v>1.56410506974295</v>
      </c>
      <c r="K23" s="4" t="n">
        <f aca="false">IF(B23&lt;=Inputs!B5,C23,0)</f>
        <v>0</v>
      </c>
    </row>
    <row r="24" customFormat="false" ht="30.75" hidden="false" customHeight="true" outlineLevel="0" collapsed="false">
      <c r="A24" s="6" t="n">
        <v>2</v>
      </c>
      <c r="B24" s="6" t="n">
        <v>9.26849315068493</v>
      </c>
      <c r="C24" s="6" t="n">
        <v>2.4375</v>
      </c>
      <c r="D24" s="6" t="n">
        <v>5.26765836113394</v>
      </c>
      <c r="E24" s="6" t="n">
        <v>5.24884115158425</v>
      </c>
      <c r="F24" s="5" t="n">
        <f aca="false">C24*EXP(-D24/100*B24)</f>
        <v>1.49591845516439</v>
      </c>
      <c r="G24" s="5" t="n">
        <f aca="false">C24*EXP(-(D24/100-0.0001)*B24)</f>
        <v>1.49730558889263</v>
      </c>
      <c r="H24" s="5" t="n">
        <f aca="false">C24*EXP(-(D24/100+0.0001)*B24)</f>
        <v>1.49453260650447</v>
      </c>
      <c r="I24" s="5" t="n">
        <f aca="false">IF(B24&gt;Inputs!B5,C24*EXP(-D24/100*(B24-Inputs!B5)),0)</f>
        <v>1.51574871073363</v>
      </c>
      <c r="J24" s="5" t="n">
        <f aca="false">IF(B24&gt;Inputs!B5,C24*EXP(-E24/100*(B24-Inputs!B5)),0)</f>
        <v>1.5183231637227</v>
      </c>
      <c r="K24" s="5" t="n">
        <f aca="false">IF(B24&lt;=Inputs!B5,C24,0)</f>
        <v>0</v>
      </c>
    </row>
    <row r="25" customFormat="false" ht="30.75" hidden="false" customHeight="true" outlineLevel="0" collapsed="false">
      <c r="A25" s="7" t="n">
        <v>2</v>
      </c>
      <c r="B25" s="7" t="n">
        <v>9.76712328767123</v>
      </c>
      <c r="C25" s="7" t="n">
        <v>102.4375</v>
      </c>
      <c r="D25" s="7" t="n">
        <v>5.30494215754584</v>
      </c>
      <c r="E25" s="7" t="n">
        <v>5.28635659635981</v>
      </c>
      <c r="F25" s="4" t="n">
        <f aca="false">C25*EXP(-D25/100*B25)</f>
        <v>61.0145655779862</v>
      </c>
      <c r="G25" s="4" t="n">
        <f aca="false">C25*EXP(-(D25/100-0.0001)*B25)</f>
        <v>61.0741883688382</v>
      </c>
      <c r="H25" s="4" t="n">
        <f aca="false">C25*EXP(-(D25/100+0.0001)*B25)</f>
        <v>60.9550009930193</v>
      </c>
      <c r="I25" s="4" t="n">
        <f aca="false">IF(B25&gt;Inputs!B5,C25*EXP(-D25/100*(B25-Inputs!B5)),0)</f>
        <v>61.8291521594826</v>
      </c>
      <c r="J25" s="4" t="n">
        <f aca="false">IF(B25&gt;Inputs!B5,C25*EXP(-E25/100*(B25-Inputs!B5)),0)</f>
        <v>61.9386130090581</v>
      </c>
      <c r="K25" s="4" t="n">
        <f aca="false">IF(B25&lt;=Inputs!B5,C25,0)</f>
        <v>0</v>
      </c>
    </row>
  </sheetData>
  <autoFilter ref="A1:K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24"/>
  </cols>
  <sheetData>
    <row r="1" customFormat="false" ht="15" hidden="false" customHeight="false" outlineLevel="0" collapsed="false">
      <c r="A1" s="1" t="s">
        <v>76</v>
      </c>
      <c r="B1" s="1" t="s">
        <v>14</v>
      </c>
      <c r="C1" s="1" t="s">
        <v>77</v>
      </c>
      <c r="D1" s="1"/>
      <c r="E1" s="1"/>
      <c r="F1" s="1"/>
    </row>
    <row r="2" customFormat="false" ht="30.75" hidden="false" customHeight="true" outlineLevel="0" collapsed="false">
      <c r="A2" s="2" t="s">
        <v>78</v>
      </c>
      <c r="B2" s="5" t="n">
        <f aca="false">365*(EXP(Inputs!B9/100/365)-1)*100+Inputs!B3/100</f>
        <v>4.98433272762356</v>
      </c>
      <c r="C2" s="2" t="s">
        <v>79</v>
      </c>
      <c r="D2" s="2"/>
      <c r="E2" s="2"/>
      <c r="F2" s="2"/>
    </row>
    <row r="3" customFormat="false" ht="30.75" hidden="false" customHeight="true" outlineLevel="0" collapsed="false">
      <c r="A3" s="3" t="s">
        <v>80</v>
      </c>
      <c r="B3" s="4" t="n">
        <f aca="false">(Inputs!B2-B2)*100</f>
        <v>-123.433272762356</v>
      </c>
      <c r="C3" s="3" t="s">
        <v>81</v>
      </c>
      <c r="D3" s="3"/>
      <c r="E3" s="3"/>
      <c r="F3" s="3"/>
    </row>
    <row r="4" customFormat="false" ht="30.75" hidden="false" customHeight="true" outlineLevel="0" collapsed="false">
      <c r="A4" s="2" t="s">
        <v>82</v>
      </c>
      <c r="B4" s="5" t="n">
        <f aca="false">(Inputs!B2-Inputs!B6)*100</f>
        <v>0</v>
      </c>
      <c r="C4" s="2" t="s">
        <v>83</v>
      </c>
      <c r="D4" s="2"/>
      <c r="E4" s="2"/>
      <c r="F4" s="2"/>
    </row>
    <row r="5" customFormat="false" ht="30.75" hidden="false" customHeight="true" outlineLevel="0" collapsed="false">
      <c r="A5" s="3" t="s">
        <v>84</v>
      </c>
      <c r="B5" s="4" t="n">
        <f aca="false">(Inputs!B11-Inputs!B10)*100</f>
        <v>58.4025090363629</v>
      </c>
      <c r="C5" s="3" t="s">
        <v>85</v>
      </c>
      <c r="D5" s="3"/>
      <c r="E5" s="3"/>
      <c r="F5" s="3"/>
    </row>
    <row r="6" customFormat="false" ht="30.75" hidden="false" customHeight="true" outlineLevel="0" collapsed="false">
      <c r="A6" s="2" t="s">
        <v>86</v>
      </c>
      <c r="B6" s="5" t="n">
        <f aca="false">IF(Inputs!B6&lt;B2,1,-1)</f>
        <v>1</v>
      </c>
      <c r="C6" s="2" t="s">
        <v>87</v>
      </c>
      <c r="D6" s="2"/>
      <c r="E6" s="2"/>
      <c r="F6" s="2"/>
    </row>
    <row r="7" customFormat="false" ht="30.75" hidden="false" customHeight="true" outlineLevel="0" collapsed="false">
      <c r="A7" s="3" t="s">
        <v>88</v>
      </c>
      <c r="B7" s="4" t="n">
        <f aca="false">B5-B6*Inputs!B7</f>
        <v>43.4025090363629</v>
      </c>
      <c r="C7" s="3" t="s">
        <v>83</v>
      </c>
      <c r="D7" s="3"/>
      <c r="E7" s="3"/>
      <c r="F7" s="3"/>
    </row>
    <row r="8" customFormat="false" ht="30.75" hidden="false" customHeight="true" outlineLevel="0" collapsed="false">
      <c r="A8" s="2" t="s">
        <v>89</v>
      </c>
      <c r="B8" s="5" t="n">
        <f aca="false">B5+B6*Inputs!B8</f>
        <v>83.4025090363629</v>
      </c>
      <c r="C8" s="2" t="s">
        <v>83</v>
      </c>
      <c r="D8" s="2"/>
      <c r="E8" s="2"/>
      <c r="F8" s="2"/>
    </row>
    <row r="9" customFormat="false" ht="30.75" hidden="false" customHeight="true" outlineLevel="0" collapsed="false">
      <c r="A9" s="3" t="s">
        <v>65</v>
      </c>
      <c r="B9" s="3" t="s">
        <v>90</v>
      </c>
      <c r="C9" s="3" t="s">
        <v>91</v>
      </c>
      <c r="D9" s="3" t="s">
        <v>92</v>
      </c>
      <c r="E9" s="3" t="s">
        <v>93</v>
      </c>
      <c r="F9" s="3" t="s">
        <v>94</v>
      </c>
    </row>
    <row r="10" customFormat="false" ht="30.75" hidden="false" customHeight="true" outlineLevel="0" collapsed="false">
      <c r="A10" s="2" t="s">
        <v>42</v>
      </c>
      <c r="B10" s="5" t="n">
        <f aca="false">SUM('Cash flows'!F2:F5)</f>
        <v>94.0812748782678</v>
      </c>
      <c r="C10" s="5" t="n">
        <f aca="false">(SUM('Cash flows'!G2:G5)-SUM('Cash flows'!H2:H5))/2</f>
        <v>0.0184774393935356</v>
      </c>
      <c r="D10" s="5" t="n">
        <f aca="false">Inputs!B4/2/C10*100*$B$6*1</f>
        <v>2706002651.94173</v>
      </c>
      <c r="E10" s="5" t="n">
        <f aca="false">SUM('Cash flows'!I2:I5)+SUM('Cash flows'!K2:K5)-B10-B10*Inputs!B2/100*Inputs!B5</f>
        <v>0.236792473005674</v>
      </c>
      <c r="F10" s="5" t="n">
        <f aca="false">SUM('Cash flows'!J2:J5)-SUM('Cash flows'!I2:I5)</f>
        <v>0.0826199285237124</v>
      </c>
    </row>
    <row r="11" customFormat="false" ht="30.75" hidden="false" customHeight="true" outlineLevel="0" collapsed="false">
      <c r="A11" s="3" t="s">
        <v>44</v>
      </c>
      <c r="B11" s="4" t="n">
        <f aca="false">SUM('Cash flows'!F6:F25)</f>
        <v>97.8033187185682</v>
      </c>
      <c r="C11" s="4" t="n">
        <f aca="false">(SUM('Cash flows'!G6:G25)-SUM('Cash flows'!H6:H25))/2</f>
        <v>0.0756706794810924</v>
      </c>
      <c r="D11" s="4" t="n">
        <f aca="false">Inputs!B4/2/C11*100*$B$6*-1</f>
        <v>-660757909.706538</v>
      </c>
      <c r="E11" s="4" t="n">
        <f aca="false">SUM('Cash flows'!I6:I25)+SUM('Cash flows'!K6:K25)-B11-B11*Inputs!B2/100*Inputs!B5</f>
        <v>0.347761312039271</v>
      </c>
      <c r="F11" s="4" t="n">
        <f aca="false">SUM('Cash flows'!J6:J25)-SUM('Cash flows'!I6:I25)</f>
        <v>0.140819465105352</v>
      </c>
    </row>
    <row r="12" customFormat="false" ht="30.75" hidden="false" customHeight="true" outlineLevel="0" collapsed="false">
      <c r="A12" s="2" t="s">
        <v>95</v>
      </c>
      <c r="B12" s="5" t="n">
        <f aca="false">D10/100*E10+D11/100*E11</f>
        <v>4109750.22293322</v>
      </c>
      <c r="C12" s="2" t="s">
        <v>96</v>
      </c>
      <c r="D12" s="2"/>
      <c r="E12" s="2"/>
      <c r="F12" s="2"/>
    </row>
    <row r="13" customFormat="false" ht="30.75" hidden="false" customHeight="true" outlineLevel="0" collapsed="false">
      <c r="A13" s="3" t="s">
        <v>97</v>
      </c>
      <c r="B13" s="4" t="n">
        <f aca="false">D10/100*F10+D11/100*F11</f>
        <v>1305221.70279397</v>
      </c>
      <c r="C13" s="3" t="s">
        <v>98</v>
      </c>
      <c r="D13" s="3"/>
      <c r="E13" s="3"/>
      <c r="F13" s="3"/>
    </row>
    <row r="14" customFormat="false" ht="30.75" hidden="false" customHeight="true" outlineLevel="0" collapsed="false">
      <c r="A14" s="2" t="s">
        <v>99</v>
      </c>
      <c r="B14" s="5" t="n">
        <f aca="false">(B12+B13)/(Inputs!B4/2)</f>
        <v>10.8299438514544</v>
      </c>
      <c r="C14" s="2" t="s">
        <v>100</v>
      </c>
      <c r="D14" s="2"/>
      <c r="E14" s="2"/>
      <c r="F14" s="2"/>
    </row>
    <row r="15" customFormat="false" ht="30.75" hidden="false" customHeight="true" outlineLevel="0" collapsed="false">
      <c r="A15" s="3" t="s">
        <v>101</v>
      </c>
      <c r="B15" s="4" t="n">
        <f aca="false">D10/100*C10+D11/100*C11</f>
        <v>0</v>
      </c>
      <c r="C15" s="3" t="s">
        <v>102</v>
      </c>
      <c r="D15" s="3"/>
      <c r="E15" s="3"/>
      <c r="F15" s="3"/>
    </row>
    <row r="16" customFormat="false" ht="30.75" hidden="false" customHeight="true" outlineLevel="0" collapsed="false">
      <c r="A16" s="2" t="s">
        <v>103</v>
      </c>
      <c r="B16" s="5" t="n">
        <f aca="false">D10/100*B10+D11/100*B11</f>
        <v>1899598628.79808</v>
      </c>
      <c r="C16" s="2" t="s">
        <v>104</v>
      </c>
      <c r="D16" s="2"/>
      <c r="E16" s="2"/>
      <c r="F16" s="2"/>
    </row>
  </sheetData>
  <autoFilter ref="A1:F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24"/>
  </cols>
  <sheetData>
    <row r="1" customFormat="false" ht="15" hidden="false" customHeight="false" outlineLevel="0" collapsed="false">
      <c r="A1" s="1" t="s">
        <v>105</v>
      </c>
      <c r="B1" s="1" t="s">
        <v>106</v>
      </c>
      <c r="C1" s="1" t="s">
        <v>107</v>
      </c>
      <c r="D1" s="1" t="s">
        <v>108</v>
      </c>
    </row>
    <row r="2" customFormat="false" ht="30.75" hidden="false" customHeight="true" outlineLevel="0" collapsed="false">
      <c r="A2" s="6" t="n">
        <v>-50</v>
      </c>
      <c r="B2" s="5" t="n">
        <f aca="false">A2*Trade!B6*Inputs!B4/2</f>
        <v>-25000000</v>
      </c>
      <c r="C2" s="5" t="n">
        <f aca="false">Trade!B12+Trade!B13</f>
        <v>5414971.92572719</v>
      </c>
      <c r="D2" s="5" t="n">
        <f aca="false">B2+C2</f>
        <v>-19585028.0742728</v>
      </c>
    </row>
    <row r="3" customFormat="false" ht="30.75" hidden="false" customHeight="true" outlineLevel="0" collapsed="false">
      <c r="A3" s="7" t="n">
        <v>-25</v>
      </c>
      <c r="B3" s="4" t="n">
        <f aca="false">A3*Trade!B6*Inputs!B4/2</f>
        <v>-12500000</v>
      </c>
      <c r="C3" s="4" t="n">
        <f aca="false">Trade!B12+Trade!B13</f>
        <v>5414971.92572719</v>
      </c>
      <c r="D3" s="4" t="n">
        <f aca="false">B3+C3</f>
        <v>-7085028.07427281</v>
      </c>
    </row>
    <row r="4" customFormat="false" ht="30.75" hidden="false" customHeight="true" outlineLevel="0" collapsed="false">
      <c r="A4" s="6" t="n">
        <v>0</v>
      </c>
      <c r="B4" s="5" t="n">
        <f aca="false">A4*Trade!B6*Inputs!B4/2</f>
        <v>0</v>
      </c>
      <c r="C4" s="5" t="n">
        <f aca="false">Trade!B12+Trade!B13</f>
        <v>5414971.92572719</v>
      </c>
      <c r="D4" s="5" t="n">
        <f aca="false">B4+C4</f>
        <v>5414971.92572719</v>
      </c>
    </row>
    <row r="5" customFormat="false" ht="30.75" hidden="false" customHeight="true" outlineLevel="0" collapsed="false">
      <c r="A5" s="7" t="n">
        <v>25</v>
      </c>
      <c r="B5" s="4" t="n">
        <f aca="false">A5*Trade!B6*Inputs!B4/2</f>
        <v>12500000</v>
      </c>
      <c r="C5" s="4" t="n">
        <f aca="false">Trade!B12+Trade!B13</f>
        <v>5414971.92572719</v>
      </c>
      <c r="D5" s="4" t="n">
        <f aca="false">B5+C5</f>
        <v>17914971.9257272</v>
      </c>
    </row>
    <row r="6" customFormat="false" ht="30.75" hidden="false" customHeight="true" outlineLevel="0" collapsed="false">
      <c r="A6" s="6" t="n">
        <v>50</v>
      </c>
      <c r="B6" s="5" t="n">
        <f aca="false">A6*Trade!B6*Inputs!B4/2</f>
        <v>25000000</v>
      </c>
      <c r="C6" s="5" t="n">
        <f aca="false">Trade!B12+Trade!B13</f>
        <v>5414971.92572719</v>
      </c>
      <c r="D6" s="5" t="n">
        <f aca="false">B6+C6</f>
        <v>30414971.9257272</v>
      </c>
    </row>
    <row r="7" customFormat="false" ht="30.75" hidden="false" customHeight="true" outlineLevel="0" collapsed="false">
      <c r="A7" s="3" t="s">
        <v>109</v>
      </c>
      <c r="B7" s="3" t="s">
        <v>110</v>
      </c>
      <c r="C7" s="3" t="s">
        <v>111</v>
      </c>
      <c r="D7" s="3" t="s">
        <v>112</v>
      </c>
    </row>
    <row r="8" customFormat="false" ht="30.75" hidden="false" customHeight="true" outlineLevel="0" collapsed="false">
      <c r="A8" s="2" t="s">
        <v>113</v>
      </c>
      <c r="B8" s="6" t="n">
        <v>148.941623383876</v>
      </c>
      <c r="C8" s="6" t="n">
        <v>146.520210455797</v>
      </c>
      <c r="D8" s="6" t="n">
        <v>-4730617.4207046</v>
      </c>
    </row>
    <row r="9" customFormat="false" ht="30.75" hidden="false" customHeight="true" outlineLevel="0" collapsed="false">
      <c r="A9" s="3" t="s">
        <v>114</v>
      </c>
      <c r="B9" s="7" t="n">
        <v>91.0087733212742</v>
      </c>
      <c r="C9" s="7" t="n">
        <v>141.790644703719</v>
      </c>
      <c r="D9" s="7" t="n">
        <v>21478027.7256991</v>
      </c>
    </row>
    <row r="10" customFormat="false" ht="30.75" hidden="false" customHeight="true" outlineLevel="0" collapsed="false">
      <c r="A10" s="2" t="s">
        <v>115</v>
      </c>
      <c r="B10" s="2"/>
      <c r="C10" s="2"/>
      <c r="D10" s="2"/>
    </row>
  </sheetData>
  <autoFilter ref="A1:D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24"/>
  </cols>
  <sheetData>
    <row r="1" customFormat="false" ht="15" hidden="false" customHeight="false" outlineLevel="0" collapsed="false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</row>
    <row r="2" customFormat="false" ht="30.75" hidden="false" customHeight="true" outlineLevel="0" collapsed="false">
      <c r="A2" s="2" t="s">
        <v>121</v>
      </c>
      <c r="B2" s="6" t="n">
        <v>-0.100740372306748</v>
      </c>
      <c r="C2" s="6" t="n">
        <v>-3.09693476631713</v>
      </c>
      <c r="D2" s="6" t="n">
        <v>0.0196380943150243</v>
      </c>
      <c r="E2" s="6" t="n">
        <v>1658</v>
      </c>
    </row>
    <row r="3" customFormat="false" ht="30.75" hidden="false" customHeight="true" outlineLevel="0" collapsed="false">
      <c r="A3" s="3" t="s">
        <v>122</v>
      </c>
      <c r="B3" s="7" t="n">
        <v>-0.0505063577505283</v>
      </c>
      <c r="C3" s="7" t="n">
        <v>-2.22239621265576</v>
      </c>
      <c r="D3" s="7" t="n">
        <v>0.00445480609072835</v>
      </c>
      <c r="E3" s="7" t="n">
        <v>1417</v>
      </c>
    </row>
    <row r="4" customFormat="false" ht="30.75" hidden="false" customHeight="true" outlineLevel="0" collapsed="false">
      <c r="A4" s="2" t="s">
        <v>123</v>
      </c>
      <c r="B4" s="6" t="n">
        <v>-0.367193525909041</v>
      </c>
      <c r="C4" s="6" t="n">
        <v>-6.22933643185249</v>
      </c>
      <c r="D4" s="6" t="n">
        <v>0.464584112215949</v>
      </c>
      <c r="E4" s="6" t="n">
        <v>29</v>
      </c>
    </row>
    <row r="5" customFormat="false" ht="30.75" hidden="false" customHeight="true" outlineLevel="0" collapsed="false">
      <c r="A5" s="3" t="s">
        <v>124</v>
      </c>
      <c r="B5" s="7" t="n">
        <v>-0.0533534951436554</v>
      </c>
      <c r="C5" s="7" t="n">
        <v>-0.484063072731191</v>
      </c>
      <c r="D5" s="7" t="n">
        <v>0.0136215946255562</v>
      </c>
      <c r="E5" s="7" t="n">
        <v>13</v>
      </c>
    </row>
    <row r="6" customFormat="false" ht="30.75" hidden="false" customHeight="true" outlineLevel="0" collapsed="false">
      <c r="A6" s="2" t="s">
        <v>125</v>
      </c>
      <c r="B6" s="6" t="n">
        <v>-0.0154548445331113</v>
      </c>
      <c r="C6" s="6" t="n">
        <v>-0.196745499024969</v>
      </c>
      <c r="D6" s="6" t="n">
        <v>0.00285610843378892</v>
      </c>
      <c r="E6" s="6" t="n">
        <v>9</v>
      </c>
    </row>
    <row r="7" customFormat="false" ht="30.75" hidden="false" customHeight="true" outlineLevel="0" collapsed="false">
      <c r="A7" s="3" t="s">
        <v>126</v>
      </c>
      <c r="B7" s="7" t="n">
        <v>0.00513527018762055</v>
      </c>
      <c r="C7" s="7" t="n">
        <v>0.234969786887103</v>
      </c>
      <c r="D7" s="7" t="n">
        <v>0.000105490958398069</v>
      </c>
      <c r="E7" s="7" t="n">
        <v>1658</v>
      </c>
    </row>
    <row r="8" customFormat="false" ht="30.75" hidden="false" customHeight="true" outlineLevel="0" collapsed="false">
      <c r="A8" s="2" t="s">
        <v>127</v>
      </c>
      <c r="B8" s="6" t="n">
        <v>0.0520371213339385</v>
      </c>
      <c r="C8" s="6" t="n">
        <v>2.92907355662386</v>
      </c>
      <c r="D8" s="6" t="n">
        <v>0.00914838930673645</v>
      </c>
      <c r="E8" s="6" t="n">
        <v>1417</v>
      </c>
    </row>
    <row r="9" customFormat="false" ht="30.75" hidden="false" customHeight="true" outlineLevel="0" collapsed="false">
      <c r="A9" s="3" t="s">
        <v>128</v>
      </c>
      <c r="B9" s="7" t="n">
        <v>-0.145974116570429</v>
      </c>
      <c r="C9" s="7" t="n">
        <v>-3.17583849367501</v>
      </c>
      <c r="D9" s="7" t="n">
        <v>0.208496380856646</v>
      </c>
      <c r="E9" s="7" t="n">
        <v>29</v>
      </c>
    </row>
    <row r="10" customFormat="false" ht="30.75" hidden="false" customHeight="true" outlineLevel="0" collapsed="false">
      <c r="A10" s="2" t="s">
        <v>129</v>
      </c>
      <c r="B10" s="6" t="n">
        <v>0.0595354999618533</v>
      </c>
      <c r="C10" s="6" t="n">
        <v>1.43607425905409</v>
      </c>
      <c r="D10" s="6" t="n">
        <v>0.0668785029654276</v>
      </c>
      <c r="E10" s="6" t="n">
        <v>13</v>
      </c>
    </row>
    <row r="11" customFormat="false" ht="30.75" hidden="false" customHeight="true" outlineLevel="0" collapsed="false">
      <c r="A11" s="3" t="s">
        <v>130</v>
      </c>
      <c r="B11" s="7" t="n">
        <v>0.0345666822132098</v>
      </c>
      <c r="C11" s="7" t="n">
        <v>0.859816939390579</v>
      </c>
      <c r="D11" s="7" t="n">
        <v>0.0252617966797245</v>
      </c>
      <c r="E11" s="7" t="n">
        <v>9</v>
      </c>
    </row>
    <row r="12" customFormat="false" ht="30.75" hidden="false" customHeight="true" outlineLevel="0" collapsed="false">
      <c r="A12" s="2" t="s">
        <v>131</v>
      </c>
      <c r="B12" s="2" t="s">
        <v>132</v>
      </c>
      <c r="C12" s="2" t="s">
        <v>133</v>
      </c>
      <c r="D12" s="2" t="s">
        <v>134</v>
      </c>
      <c r="E12" s="2" t="s">
        <v>135</v>
      </c>
    </row>
    <row r="13" customFormat="false" ht="30.75" hidden="false" customHeight="true" outlineLevel="0" collapsed="false">
      <c r="A13" s="3" t="s">
        <v>136</v>
      </c>
      <c r="B13" s="7" t="n">
        <v>3.92</v>
      </c>
      <c r="C13" s="7" t="n">
        <v>6.21351644252969</v>
      </c>
      <c r="D13" s="4" t="n">
        <f aca="false">Inputs!B2-B13</f>
        <v>-0.17</v>
      </c>
      <c r="E13" s="4" t="n">
        <f aca="false">D13/C13</f>
        <v>-0.0273597087208782</v>
      </c>
    </row>
    <row r="14" customFormat="false" ht="30.75" hidden="false" customHeight="true" outlineLevel="0" collapsed="false">
      <c r="A14" s="2" t="s">
        <v>137</v>
      </c>
      <c r="B14" s="6" t="n">
        <v>2.442</v>
      </c>
      <c r="C14" s="6" t="n">
        <v>3.62643421691696</v>
      </c>
      <c r="D14" s="5" t="n">
        <f aca="false">Inputs!B2-B14</f>
        <v>1.308</v>
      </c>
      <c r="E14" s="5" t="n">
        <f aca="false">D14/C14</f>
        <v>0.3606848826592</v>
      </c>
    </row>
    <row r="15" customFormat="false" ht="30.75" hidden="false" customHeight="true" outlineLevel="0" collapsed="false">
      <c r="A15" s="3" t="s">
        <v>138</v>
      </c>
      <c r="B15" s="3"/>
      <c r="C15" s="3"/>
      <c r="D15" s="3"/>
      <c r="E15" s="3"/>
    </row>
    <row r="16" customFormat="false" ht="30.75" hidden="false" customHeight="true" outlineLevel="0" collapsed="false">
      <c r="A16" s="2" t="s">
        <v>139</v>
      </c>
      <c r="B16" s="2"/>
      <c r="C16" s="2"/>
      <c r="D16" s="2"/>
      <c r="E16" s="2"/>
    </row>
    <row r="17" customFormat="false" ht="30.75" hidden="false" customHeight="true" outlineLevel="0" collapsed="false">
      <c r="A17" s="3" t="s">
        <v>140</v>
      </c>
      <c r="B17" s="3"/>
      <c r="C17" s="3"/>
      <c r="D17" s="3"/>
      <c r="E17" s="3"/>
    </row>
  </sheetData>
  <autoFilter ref="A1:E1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4"/>
  </cols>
  <sheetData>
    <row r="1" customFormat="false" ht="15" hidden="false" customHeight="false" outlineLevel="0" collapsed="false">
      <c r="A1" s="1" t="s">
        <v>141</v>
      </c>
      <c r="B1" s="1" t="s">
        <v>142</v>
      </c>
    </row>
    <row r="2" customFormat="false" ht="30.75" hidden="false" customHeight="true" outlineLevel="0" collapsed="false">
      <c r="A2" s="2" t="s">
        <v>143</v>
      </c>
      <c r="B2" s="2" t="s">
        <v>144</v>
      </c>
    </row>
    <row r="3" customFormat="false" ht="30.75" hidden="false" customHeight="true" outlineLevel="0" collapsed="false">
      <c r="A3" s="3" t="s">
        <v>145</v>
      </c>
      <c r="B3" s="3" t="s">
        <v>146</v>
      </c>
    </row>
    <row r="4" customFormat="false" ht="30.75" hidden="false" customHeight="true" outlineLevel="0" collapsed="false">
      <c r="A4" s="2" t="s">
        <v>147</v>
      </c>
      <c r="B4" s="2" t="s">
        <v>148</v>
      </c>
    </row>
    <row r="5" customFormat="false" ht="30.75" hidden="false" customHeight="true" outlineLevel="0" collapsed="false">
      <c r="A5" s="3" t="s">
        <v>149</v>
      </c>
      <c r="B5" s="3" t="s">
        <v>150</v>
      </c>
    </row>
    <row r="6" customFormat="false" ht="30.75" hidden="false" customHeight="true" outlineLevel="0" collapsed="false">
      <c r="A6" s="2" t="s">
        <v>151</v>
      </c>
      <c r="B6" s="2" t="s">
        <v>152</v>
      </c>
    </row>
    <row r="7" customFormat="false" ht="30.75" hidden="false" customHeight="true" outlineLevel="0" collapsed="false">
      <c r="A7" s="3" t="s">
        <v>153</v>
      </c>
      <c r="B7" s="3" t="s">
        <v>154</v>
      </c>
    </row>
    <row r="8" customFormat="false" ht="30.75" hidden="false" customHeight="true" outlineLevel="0" collapsed="false">
      <c r="A8" s="2" t="s">
        <v>155</v>
      </c>
      <c r="B8" s="2" t="s">
        <v>156</v>
      </c>
    </row>
    <row r="9" customFormat="false" ht="30.75" hidden="false" customHeight="true" outlineLevel="0" collapsed="false">
      <c r="A9" s="3" t="s">
        <v>157</v>
      </c>
      <c r="B9" s="3" t="s">
        <v>158</v>
      </c>
    </row>
    <row r="10" customFormat="false" ht="30.75" hidden="false" customHeight="true" outlineLevel="0" collapsed="false">
      <c r="A10" s="2" t="s">
        <v>159</v>
      </c>
      <c r="B10" s="2" t="s">
        <v>160</v>
      </c>
    </row>
    <row r="11" customFormat="false" ht="30.75" hidden="false" customHeight="true" outlineLevel="0" collapsed="false">
      <c r="A11" s="3" t="s">
        <v>161</v>
      </c>
      <c r="B11" s="3" t="s">
        <v>162</v>
      </c>
    </row>
    <row r="12" customFormat="false" ht="30.75" hidden="false" customHeight="true" outlineLevel="0" collapsed="false">
      <c r="A12" s="2" t="s">
        <v>163</v>
      </c>
      <c r="B12" s="2" t="s">
        <v>164</v>
      </c>
    </row>
    <row r="13" customFormat="false" ht="30.75" hidden="false" customHeight="true" outlineLevel="0" collapsed="false">
      <c r="A13" s="3" t="s">
        <v>165</v>
      </c>
      <c r="B13" s="3" t="s">
        <v>166</v>
      </c>
    </row>
    <row r="14" customFormat="false" ht="30.75" hidden="false" customHeight="true" outlineLevel="0" collapsed="false">
      <c r="A14" s="2" t="s">
        <v>167</v>
      </c>
      <c r="B14" s="2" t="s">
        <v>168</v>
      </c>
    </row>
  </sheetData>
  <autoFilter ref="A1:B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2026-10-28T12:24:53Z</dcterms:created>
  <dc:creator>openpyxl</dc:creator>
  <dc:description/>
  <dc:language>en-GB</dc:language>
  <cp:lastModifiedBy/>
  <dcterms:modified xsi:type="dcterms:W3CDTF">2026-10-28T12:24:53Z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