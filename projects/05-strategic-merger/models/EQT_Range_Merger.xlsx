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Merger" sheetId="3" state="visible" r:id="rId5"/>
    <sheet name="Sensitivity" sheetId="4" state="visible" r:id="rId6"/>
    <sheet name="Value" sheetId="5" state="visible" r:id="rId7"/>
    <sheet name="History" sheetId="6" state="visible" r:id="rId8"/>
    <sheet name="Sources" sheetId="7" state="visible" r:id="rId9"/>
  </sheets>
  <definedNames>
    <definedName function="false" hidden="false" localSheetId="0" name="_xlnm.Print_Area" vbProcedure="false">Cover!$C$2:$I$22</definedName>
    <definedName function="false" hidden="false" localSheetId="5" name="_xlnm.Print_Area" vbProcedure="false">History!$C$2:$I$14</definedName>
    <definedName function="false" hidden="false" localSheetId="1" name="_xlnm.Print_Area" vbProcedure="false">Inputs!$C$2:$I$46</definedName>
    <definedName function="false" hidden="false" localSheetId="2" name="_xlnm.Print_Area" vbProcedure="false">Merger!$C$2:$I$34</definedName>
    <definedName function="false" hidden="false" localSheetId="3" name="_xlnm.Print_Area" vbProcedure="false">Sensitivity!$C$2:$I$13</definedName>
    <definedName function="false" hidden="false" localSheetId="6" name="_xlnm.Print_Area" vbProcedure="false">Sources!$C$2:$I$11</definedName>
    <definedName function="false" hidden="false" localSheetId="4" name="_xlnm.Print_Area" vbProcedure="false">Value!$C$2:$I$23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<sst xmlns="http://schemas.openxmlformats.org/spreadsheetml/2006/main" count="281" uniqueCount="201">
  <si>
    <t xml:space="preserve">EQT / Range Resources</t>
  </si>
  <si>
    <t xml:space="preserve">Case selected</t>
  </si>
  <si>
    <t xml:space="preserve">Announcement: 26 Oct 2026. Earnings: LTM Jun 2026. USDm / million shares.</t>
  </si>
  <si>
    <t xml:space="preserve">Announcement analysis</t>
  </si>
  <si>
    <t xml:space="preserve">Result</t>
  </si>
  <si>
    <t xml:space="preserve">Call</t>
  </si>
  <si>
    <t xml:space="preserve">Year 1 EPS effect including costs</t>
  </si>
  <si>
    <t xml:space="preserve">Year 3 recurring EPS effect</t>
  </si>
  <si>
    <t xml:space="preserve">Company-adjusted year 3, before PPA</t>
  </si>
  <si>
    <t xml:space="preserve">EPS break-even annual synergies</t>
  </si>
  <si>
    <t xml:space="preserve">Value break-even annual synergies</t>
  </si>
  <si>
    <t xml:space="preserve">Value surplus, perpetuity (USDm)</t>
  </si>
  <si>
    <t xml:space="preserve">Value surplus, 15 years (USDm)</t>
  </si>
  <si>
    <t xml:space="preserve">Value break-even exchange ratio</t>
  </si>
  <si>
    <t xml:space="preserve">LTM earnings held constant over three full post-close years. These are earnings lenses, not calendar forecasts or consensus estimates.</t>
  </si>
  <si>
    <t xml:space="preserve">Closing share counts, primary price verification, final purchase accounting and integration plan are review items. Completion subject to approvals, expected Q1 2027.</t>
  </si>
  <si>
    <t xml:space="preserve">Change the case on Inputs. Down stresses Range earnings by 20% and captures half the synergy target. EQT earnings stay constant; no implied Henry Hub forecast.</t>
  </si>
  <si>
    <t xml:space="preserve">Inputs</t>
  </si>
  <si>
    <t xml:space="preserve">Input</t>
  </si>
  <si>
    <t xml:space="preserve">Value</t>
  </si>
  <si>
    <t xml:space="preserve">Units</t>
  </si>
  <si>
    <t xml:space="preserve">Tag</t>
  </si>
  <si>
    <t xml:space="preserve">Source / reasoning</t>
  </si>
  <si>
    <t xml:space="preserve">Exchange ratio</t>
  </si>
  <si>
    <t xml:space="preserve">EQT/RRC</t>
  </si>
  <si>
    <t xml:space="preserve">S</t>
  </si>
  <si>
    <t xml:space="preserve">DEAL: fixed stock exchange, not a cash offer</t>
  </si>
  <si>
    <t xml:space="preserve">Annual base synergy target</t>
  </si>
  <si>
    <t xml:space="preserve">USDm</t>
  </si>
  <si>
    <t xml:space="preserve">DEAL: within two years; &gt;600 long-term pathway excluded</t>
  </si>
  <si>
    <t xml:space="preserve">EQT Q2 diluted weighted shares</t>
  </si>
  <si>
    <t xml:space="preserve">m shares</t>
  </si>
  <si>
    <t xml:space="preserve">E26: 629,049 thousand; A: closing share-count proxy</t>
  </si>
  <si>
    <t xml:space="preserve">Range Q2 diluted weighted shares</t>
  </si>
  <si>
    <t xml:space="preserve">R26 p9: 236,210 thousand; A: shares exchanged proxy, includes dilutive awards</t>
  </si>
  <si>
    <t xml:space="preserve">EQT reference price proxy</t>
  </si>
  <si>
    <t xml:space="preserve">USD/share</t>
  </si>
  <si>
    <t xml:space="preserve">A</t>
  </si>
  <si>
    <t xml:space="preserve">PRICE: 54.91 / 0.987 rounded; manual proxy, not independently verified exchange close</t>
  </si>
  <si>
    <t xml:space="preserve">Range unaffected price proxy</t>
  </si>
  <si>
    <t xml:space="preserve">PRICE: 54.91 / 1.206 rounded; manual proxy, value conclusion provisional pending primary prices</t>
  </si>
  <si>
    <t xml:space="preserve">EQT adjusted NI FY2025</t>
  </si>
  <si>
    <t xml:space="preserve">E25: attributable to EQT; excludes noncontrolling interests</t>
  </si>
  <si>
    <t xml:space="preserve">EQT adjusted NI H1 2026</t>
  </si>
  <si>
    <t xml:space="preserve">E26: attributable to EQT</t>
  </si>
  <si>
    <t xml:space="preserve">EQT adjusted NI H1 2025</t>
  </si>
  <si>
    <t xml:space="preserve">E26: comparable prior six months</t>
  </si>
  <si>
    <t xml:space="preserve">EQT GAAP NI FY2025</t>
  </si>
  <si>
    <t xml:space="preserve">E25: attributable to EQT</t>
  </si>
  <si>
    <t xml:space="preserve">EQT GAAP NI H1 2026</t>
  </si>
  <si>
    <t xml:space="preserve">EQT GAAP NI H1 2025</t>
  </si>
  <si>
    <t xml:space="preserve">Range adjusted NI FY2025</t>
  </si>
  <si>
    <t xml:space="preserve">R25 p12: excluding certain items</t>
  </si>
  <si>
    <t xml:space="preserve">Range adjusted NI H1 2026</t>
  </si>
  <si>
    <t xml:space="preserve">R26 p12: excluding certain items</t>
  </si>
  <si>
    <t xml:space="preserve">Range adjusted NI H1 2025</t>
  </si>
  <si>
    <t xml:space="preserve">R26 p12: comparable prior six months</t>
  </si>
  <si>
    <t xml:space="preserve">Range GAAP NI FY2025</t>
  </si>
  <si>
    <t xml:space="preserve">R25 p12: net income as reported</t>
  </si>
  <si>
    <t xml:space="preserve">Range GAAP NI H1 2026</t>
  </si>
  <si>
    <t xml:space="preserve">R26 p12: net income as reported</t>
  </si>
  <si>
    <t xml:space="preserve">Range GAAP NI H1 2025</t>
  </si>
  <si>
    <t xml:space="preserve">Range SBC addback FY2025</t>
  </si>
  <si>
    <t xml:space="preserve">R25 p12: net income reconciliation; not 39.612 from cash-flow table</t>
  </si>
  <si>
    <t xml:space="preserve">Range SBC addback H1 2026</t>
  </si>
  <si>
    <t xml:space="preserve">R26 p12: stock-based compensation</t>
  </si>
  <si>
    <t xml:space="preserve">Range SBC addback H1 2025</t>
  </si>
  <si>
    <t xml:space="preserve">Tax on incremental earnings / costs</t>
  </si>
  <si>
    <t xml:space="preserve">%</t>
  </si>
  <si>
    <t xml:space="preserve">Blended proxy, also used to retain Range SBC; immediate deductibility assumed except fees</t>
  </si>
  <si>
    <t xml:space="preserve">Illustrative depreciable fair-value step-up</t>
  </si>
  <si>
    <t xml:space="preserve">PPA unavailable; straight-line stress, not a reserve valuation</t>
  </si>
  <si>
    <t xml:space="preserve">Step-up depreciation life</t>
  </si>
  <si>
    <t xml:space="preserve">years</t>
  </si>
  <si>
    <t xml:space="preserve">Annual incremental DD&amp;A = step-up / life; depletion timing unverified</t>
  </si>
  <si>
    <t xml:space="preserve">Total integration cash cost</t>
  </si>
  <si>
    <t xml:space="preserve">Analyst reserve; 60% year 1 / 40% year 2, paid and expensed together</t>
  </si>
  <si>
    <t xml:space="preserve">Transaction fees at closing</t>
  </si>
  <si>
    <t xml:space="preserve">Analyst reserve; expensed in year 1, cash at closing; no tax deduction</t>
  </si>
  <si>
    <t xml:space="preserve">Synergy discount rate</t>
  </si>
  <si>
    <t xml:space="preserve">10% nominal, no growth; finite 15-year test beside optimistic perpetuity</t>
  </si>
  <si>
    <t xml:space="preserve">Year 1 average synergy capture</t>
  </si>
  <si>
    <t xml:space="preserve">Half annual run rate, full year 2; no closing stub</t>
  </si>
  <si>
    <t xml:space="preserve">Year 1 integration cost share</t>
  </si>
  <si>
    <t xml:space="preserve">Remaining 40% in year 2</t>
  </si>
  <si>
    <t xml:space="preserve">Case selector: 1 Down / 2 Base / 3 Up</t>
  </si>
  <si>
    <t xml:space="preserve">index</t>
  </si>
  <si>
    <t xml:space="preserve">Stress Range relative earnings; EQT held constant, not a calibrated gas-price shock</t>
  </si>
  <si>
    <t xml:space="preserve">Down: Range earnings multiplier</t>
  </si>
  <si>
    <t xml:space="preserve">x</t>
  </si>
  <si>
    <t xml:space="preserve">20% relative earnings haircut</t>
  </si>
  <si>
    <t xml:space="preserve">Base: Range earnings multiplier</t>
  </si>
  <si>
    <t xml:space="preserve">Hold LTM earnings constant; not a 2027 forecast</t>
  </si>
  <si>
    <t xml:space="preserve">Up: Range earnings multiplier</t>
  </si>
  <si>
    <t xml:space="preserve">20% relative earnings improvement</t>
  </si>
  <si>
    <t xml:space="preserve">Down: synergy target realised</t>
  </si>
  <si>
    <t xml:space="preserve">Half management base target</t>
  </si>
  <si>
    <t xml:space="preserve">Base: synergy target realised</t>
  </si>
  <si>
    <t xml:space="preserve">Management base target, subject to execution</t>
  </si>
  <si>
    <t xml:space="preserve">Up: synergy target realised</t>
  </si>
  <si>
    <t xml:space="preserve">No speculative long-term synergy uplift</t>
  </si>
  <si>
    <t xml:space="preserve">Active Range earnings multiplier</t>
  </si>
  <si>
    <t xml:space="preserve">Active synergy target realised</t>
  </si>
  <si>
    <t xml:space="preserve">Merger</t>
  </si>
  <si>
    <t xml:space="preserve">Transaction / earnings bridge</t>
  </si>
  <si>
    <t xml:space="preserve">EQT standalone normalised earnings</t>
  </si>
  <si>
    <t xml:space="preserve">Normalised lens retains Range stock compensation at an assumed 25% tax rate. Other company non-GAAP adjustments are retained.</t>
  </si>
  <si>
    <t xml:space="preserve">Range adjusted earnings</t>
  </si>
  <si>
    <t xml:space="preserve">Range SBC retained, after tax</t>
  </si>
  <si>
    <t xml:space="preserve">Range normalised earnings, active case</t>
  </si>
  <si>
    <t xml:space="preserve">EQT diluted shares, closing proxy</t>
  </si>
  <si>
    <t xml:space="preserve">New EQT shares, exchange proxy</t>
  </si>
  <si>
    <t xml:space="preserve">Actual closing shares and award conversion remain unverified. Shares issued are not the disclosed final number.</t>
  </si>
  <si>
    <t xml:space="preserve">Combined diluted shares</t>
  </si>
  <si>
    <t xml:space="preserve">Range ownership</t>
  </si>
  <si>
    <t xml:space="preserve">EQT standalone normalised EPS</t>
  </si>
  <si>
    <t xml:space="preserve">Annual incremental DD&amp;A</t>
  </si>
  <si>
    <t xml:space="preserve">Illustrative purchase accounting: USD1,500m step-up / 15 years. Switch step-up to zero to isolate the impact.</t>
  </si>
  <si>
    <t xml:space="preserve">No-synergy recurring accretion</t>
  </si>
  <si>
    <t xml:space="preserve">EPS break-even annual pre-tax synergies</t>
  </si>
  <si>
    <t xml:space="preserve">Full post-close years</t>
  </si>
  <si>
    <t xml:space="preserve">Year 1</t>
  </si>
  <si>
    <t xml:space="preserve">Year 2</t>
  </si>
  <si>
    <t xml:space="preserve">Year 3</t>
  </si>
  <si>
    <t xml:space="preserve">Average synergy capture</t>
  </si>
  <si>
    <t xml:space="preserve">Pre-tax synergies</t>
  </si>
  <si>
    <t xml:space="preserve">Integration costs, cash and P&amp;L</t>
  </si>
  <si>
    <t xml:space="preserve">Transaction fees, P&amp;L</t>
  </si>
  <si>
    <t xml:space="preserve">Normalised recurring net income</t>
  </si>
  <si>
    <t xml:space="preserve">Normalised recurring EPS</t>
  </si>
  <si>
    <t xml:space="preserve">Normalised recurring accretion</t>
  </si>
  <si>
    <t xml:space="preserve">Net income including one-off costs</t>
  </si>
  <si>
    <t xml:space="preserve">One-offs reduce earnings and cash. No acquisition cash payment or new financing interest: stock consideration only; existing debt interest remains in earnings.</t>
  </si>
  <si>
    <t xml:space="preserve">EPS including one-off costs</t>
  </si>
  <si>
    <t xml:space="preserve">Accretion including one-off costs</t>
  </si>
  <si>
    <t xml:space="preserve">Company-adjusted EPS, before PPA</t>
  </si>
  <si>
    <t xml:space="preserve">Company-adjusted accretion, before PPA</t>
  </si>
  <si>
    <t xml:space="preserve">GAAP earnings lens incl costs, EPS</t>
  </si>
  <si>
    <t xml:space="preserve">Uses historical GAAP NI plus illustrative adjustments. Not GAAP pro forma EPS: final PPA, deferred taxes, debt fair values and closing stub unavailable.</t>
  </si>
  <si>
    <t xml:space="preserve">GAAP earnings lens incl costs, accretion</t>
  </si>
  <si>
    <t xml:space="preserve">Sensitivity</t>
  </si>
  <si>
    <t xml:space="preserve">Assumed ratios down / annual pre-tax synergies across (USDm)</t>
  </si>
  <si>
    <t xml:space="preserve">Year 3 recurring accretion</t>
  </si>
  <si>
    <t xml:space="preserve">Live simple formula: current case earnings and DD&amp;A, absolute synergy amounts. 600m is sensitivity only. Grid omits one-off costs.</t>
  </si>
  <si>
    <t xml:space="preserve">Value versus equity premium</t>
  </si>
  <si>
    <t xml:space="preserve">Implied offer per Range share</t>
  </si>
  <si>
    <t xml:space="preserve">Reference prices are secondary cross-checks. EQT is a rounded implied proxy. This is an announcement-date price test, not a live quote.</t>
  </si>
  <si>
    <t xml:space="preserve">Equity consideration, share proxy</t>
  </si>
  <si>
    <t xml:space="preserve">Premium to unaffected reference</t>
  </si>
  <si>
    <t xml:space="preserve">Equity premium paid</t>
  </si>
  <si>
    <t xml:space="preserve">After-tax synergy PV per USD1 run rate</t>
  </si>
  <si>
    <t xml:space="preserve">Gross synergy PV, perpetuity</t>
  </si>
  <si>
    <t xml:space="preserve">Optimistic perpetuity: no growth, no incremental capex or working capital; 50% year 1, 100% from year 2. No speculative &gt;600m pathway.</t>
  </si>
  <si>
    <t xml:space="preserve">PV of integration and fees</t>
  </si>
  <si>
    <t xml:space="preserve">Net synergy PV</t>
  </si>
  <si>
    <t xml:space="preserve">Value surplus after premium</t>
  </si>
  <si>
    <t xml:space="preserve">Premium paid in shares is an economic cost. EPS accretion alone does not establish value creation. Unaffected share price is a standalone value proxy.</t>
  </si>
  <si>
    <t xml:space="preserve">Value break-even pre-tax annual synergy</t>
  </si>
  <si>
    <t xml:space="preserve">Maximum exchange ratio at value break-even</t>
  </si>
  <si>
    <t xml:space="preserve">Finite 15-year synergy PV</t>
  </si>
  <si>
    <t xml:space="preserve">Finite 15-year value surplus</t>
  </si>
  <si>
    <t xml:space="preserve">Stock consideration funding</t>
  </si>
  <si>
    <t xml:space="preserve">Stock consideration funding less purchase price</t>
  </si>
  <si>
    <t xml:space="preserve">Cash used for integration and fees</t>
  </si>
  <si>
    <t xml:space="preserve">Gross cash cost reserve, before tax benefit. No opening liquidity or refinancing capacity assertion. This module is not a full three-statement model.</t>
  </si>
  <si>
    <t xml:space="preserve">Cash bridge allocation check</t>
  </si>
  <si>
    <t xml:space="preserve">History</t>
  </si>
  <si>
    <t xml:space="preserve">Earnings measure</t>
  </si>
  <si>
    <t xml:space="preserve">FY2025</t>
  </si>
  <si>
    <t xml:space="preserve">H1 2025</t>
  </si>
  <si>
    <t xml:space="preserve">H1 2026</t>
  </si>
  <si>
    <t xml:space="preserve">LTM Jun 2026</t>
  </si>
  <si>
    <t xml:space="preserve">EQT adjusted attributable NI</t>
  </si>
  <si>
    <t xml:space="preserve">EQT GAAP attributable NI</t>
  </si>
  <si>
    <t xml:space="preserve">Range adjusted NI</t>
  </si>
  <si>
    <t xml:space="preserve">Range GAAP NI</t>
  </si>
  <si>
    <t xml:space="preserve">Range SBC addback, before tax</t>
  </si>
  <si>
    <t xml:space="preserve">LTM = FY2025 minus H1 2025 plus H1 2026. Q2 diluted shares are closing proxies, not historical LTM EPS denominators.</t>
  </si>
  <si>
    <t xml:space="preserve">Range SBC uses the net income reconciliation, including amortisation. EQT adjusted reconciliation has no SBC addback. Other adjustment policies still differ.</t>
  </si>
  <si>
    <t xml:space="preserve">Sources</t>
  </si>
  <si>
    <t xml:space="preserve">ID</t>
  </si>
  <si>
    <t xml:space="preserve">Source and locator</t>
  </si>
  <si>
    <t xml:space="preserve">URL</t>
  </si>
  <si>
    <t xml:space="preserve">DEAL</t>
  </si>
  <si>
    <t xml:space="preserve">EQT, 26 Oct 2026, Transaction Details and Synergy Value</t>
  </si>
  <si>
    <t xml:space="preserve">https://ir.eqt.com/newsroom/news-releases/news-release-details/2026/EQT-Announces-Strategic-Acquisition-of-Range-Resources-Creating-Americas-Undisputed-Natural-Gas-Champion/default.aspx</t>
  </si>
  <si>
    <t xml:space="preserve">E25</t>
  </si>
  <si>
    <t xml:space="preserve">EQT FY2025 release, adjusted net income reconciliation; annual column, USD000</t>
  </si>
  <si>
    <t xml:space="preserve">https://ir.eqt.com/newsroom/news-releases/news-release-details/2026/EQT-Reports-Fourth-Quarter-and-Full-Year-2025-Results-and-Provides-2026-Guidance/default.aspx</t>
  </si>
  <si>
    <t xml:space="preserve">E26</t>
  </si>
  <si>
    <t xml:space="preserve">EQT Q2 2026 release, adjusted net income reconciliation; six-month columns and Q2 shares, USD000</t>
  </si>
  <si>
    <t xml:space="preserve">https://ir.eqt.com/investor-relations/news/news-release-details/2026/EQT-Reports-Second-Quarter-2026-Results/default.aspx</t>
  </si>
  <si>
    <t xml:space="preserve">R25</t>
  </si>
  <si>
    <t xml:space="preserve">Range FY2025 release, pp11-12 net income reconciliation; annual column, USD000</t>
  </si>
  <si>
    <t xml:space="preserve">https://ir.rangeresources.com/node/29286/pdf</t>
  </si>
  <si>
    <t xml:space="preserve">R26</t>
  </si>
  <si>
    <t xml:space="preserve">Range Q2 2026 release, pp7,9,11-12; six-month net income and stock compensation, Q2 diluted shares, USD000</t>
  </si>
  <si>
    <t xml:space="preserve">https://ir.rangeresources.com/static-files/efd9ff3a-a355-40d0-9193-b491b2e7de52</t>
  </si>
  <si>
    <t xml:space="preserve">PRICE</t>
  </si>
  <si>
    <t xml:space="preserve">SECONDARY cross-check: Reuters via Investing.com, 26 Oct 2026, USD54.91 offer and 20.6% premium; EQT proxy 54.91 / 0.987, Range proxy 54.91 / 1.206</t>
  </si>
  <si>
    <t xml:space="preserve">https://www.investing.com/news/stock-market-news/eqt-range-resources-tie-up-in-50-billionplus-deal-to-create-us-gas-giant-4972044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</si>
</sst>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\(#,##0.0\);\-"/>
    <numFmt numFmtId="166" formatCode="0.0%;\(0.0%\);\-"/>
    <numFmt numFmtId="167" formatCode="0.000"/>
    <numFmt numFmtId="168" formatCode="0.00;\(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22222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6E8BB5"/>
      <rgbColor rgb="FF1F38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Recurring EPS impact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Merger!$D$20:$F$20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Merger!$D$27:$F$27</c:f>
              <c:numCache>
                <c:formatCode>0.0%;\(0.0%\);\-</c:formatCode>
                <c:ptCount val="3"/>
                <c:pt idx="0">
                  <c:v>-0.0216790444131634</c:v>
                </c:pt>
                <c:pt idx="1">
                  <c:v>0.0125047612906031</c:v>
                </c:pt>
                <c:pt idx="2">
                  <c:v>0.0125047612906031</c:v>
                </c:pt>
              </c:numCache>
            </c:numRef>
          </c:val>
        </c:ser>
        <c:gapWidth val="150"/>
        <c:overlap val="0"/>
        <c:axId val="37912610"/>
        <c:axId val="29888840"/>
      </c:barChart>
      <c:catAx>
        <c:axId val="379126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888840"/>
        <c:crosses val="autoZero"/>
        <c:auto val="1"/>
        <c:lblAlgn val="ctr"/>
        <c:lblOffset val="100"/>
        <c:noMultiLvlLbl val="0"/>
      </c:catAx>
      <c:valAx>
        <c:axId val="29888840"/>
        <c:scaling>
          <c:orientation val="minMax"/>
          <c:max val="0.02"/>
          <c:min val="-0.0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Accretion / dilution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912610"/>
        <c:crosses val="autoZero"/>
        <c:crossBetween val="between"/>
        <c:majorUnit val="0.02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0</xdr:rowOff>
    </xdr:from>
    <xdr:to>
      <xdr:col>7</xdr:col>
      <xdr:colOff>458280</xdr:colOff>
      <xdr:row>16</xdr:row>
      <xdr:rowOff>97560</xdr:rowOff>
    </xdr:to>
    <xdr:graphicFrame>
      <xdr:nvGraphicFramePr>
        <xdr:cNvPr id="1" name="Chart 1"/>
        <xdr:cNvGraphicFramePr/>
      </xdr:nvGraphicFramePr>
      <xdr:xfrm>
        <a:off x="7612560" y="101232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ir.eqt.com/newsroom/news-releases/news-release-details/2026/EQT-Announces-Strategic-Acquisition-of-Range-Resources-Creating-Americas-Undisputed-Natural-Gas-Champion/default.aspx" TargetMode="External"/><Relationship Id="rId2" Type="http://schemas.openxmlformats.org/officeDocument/2006/relationships/hyperlink" Target="https://ir.eqt.com/newsroom/news-releases/news-release-details/2026/EQT-Reports-Fourth-Quarter-and-Full-Year-2025-Results-and-Provides-2026-Guidance/default.aspx" TargetMode="External"/><Relationship Id="rId3" Type="http://schemas.openxmlformats.org/officeDocument/2006/relationships/hyperlink" Target="https://ir.eqt.com/investor-relations/news/news-release-details/2026/EQT-Reports-Second-Quarter-2026-Results/default.aspx" TargetMode="External"/><Relationship Id="rId4" Type="http://schemas.openxmlformats.org/officeDocument/2006/relationships/hyperlink" Target="https://ir.rangeresources.com/node/29286/pdf" TargetMode="External"/><Relationship Id="rId5" Type="http://schemas.openxmlformats.org/officeDocument/2006/relationships/hyperlink" Target="https://ir.rangeresources.com/static-files/efd9ff3a-a355-40d0-9193-b491b2e7de52" TargetMode="External"/><Relationship Id="rId6" Type="http://schemas.openxmlformats.org/officeDocument/2006/relationships/hyperlink" Target="https://www.investing.com/news/stock-market-news/eqt-range-resources-tie-up-in-50-billionplus-deal-to-create-us-gas-giant-497204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C2:I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3"/>
    <col collapsed="false" customWidth="true" hidden="false" outlineLevel="0" max="6" min="4" style="0" width="17"/>
    <col collapsed="false" customWidth="true" hidden="false" outlineLevel="0" max="7" min="7" style="0" width="65"/>
    <col collapsed="false" customWidth="true" hidden="false" outlineLevel="0" max="9" min="8" style="0" width="17"/>
  </cols>
  <sheetData>
    <row r="2" customFormat="false" ht="19.7" hidden="false" customHeight="false" outlineLevel="0" collapsed="false">
      <c r="C2" s="1" t="s">
        <v>0</v>
      </c>
      <c r="H2" s="2" t="s">
        <v>1</v>
      </c>
      <c r="I2" s="3" t="str">
        <f aca="false">Inputs!D46</f>
        <v>Base</v>
      </c>
    </row>
    <row r="3" customFormat="false" ht="15" hidden="false" customHeight="false" outlineLevel="0" collapsed="false">
      <c r="C3" s="4" t="s">
        <v>2</v>
      </c>
      <c r="D3" s="4"/>
      <c r="E3" s="4"/>
      <c r="F3" s="4"/>
      <c r="G3" s="4"/>
      <c r="H3" s="4"/>
      <c r="I3" s="4"/>
    </row>
    <row r="5" customFormat="false" ht="15" hidden="false" customHeight="false" outlineLevel="0" collapsed="false">
      <c r="C5" s="5" t="s">
        <v>3</v>
      </c>
      <c r="D5" s="5" t="s">
        <v>4</v>
      </c>
    </row>
    <row r="6" customFormat="false" ht="24.75" hidden="false" customHeight="true" outlineLevel="0" collapsed="false">
      <c r="C6" s="2" t="s">
        <v>5</v>
      </c>
      <c r="D6" s="6" t="str">
        <f aca="false">IF(Value!D14&lt;0,"REJECT AS PRICED","ACCEPT ON MODEL ASSUMPTIONS")</f>
        <v>REJECT AS PRICED</v>
      </c>
      <c r="E6" s="6"/>
      <c r="F6" s="6"/>
    </row>
    <row r="8" customFormat="false" ht="15" hidden="false" customHeight="false" outlineLevel="0" collapsed="false">
      <c r="C8" s="2" t="s">
        <v>6</v>
      </c>
      <c r="D8" s="7" t="n">
        <f aca="false">Merger!D30</f>
        <v>-0.0735683084558035</v>
      </c>
    </row>
    <row r="9" customFormat="false" ht="24.75" hidden="false" customHeight="true" outlineLevel="0" collapsed="false">
      <c r="C9" s="2" t="s">
        <v>7</v>
      </c>
      <c r="D9" s="7" t="n">
        <f aca="false">Merger!F27</f>
        <v>0.0125047612906031</v>
      </c>
    </row>
    <row r="10" customFormat="false" ht="15" hidden="false" customHeight="false" outlineLevel="0" collapsed="false">
      <c r="C10" s="2" t="s">
        <v>8</v>
      </c>
      <c r="D10" s="7" t="n">
        <f aca="false">Merger!F32</f>
        <v>0.0435556474968544</v>
      </c>
    </row>
    <row r="11" customFormat="false" ht="24.75" hidden="false" customHeight="true" outlineLevel="0" collapsed="false">
      <c r="C11" s="2" t="s">
        <v>9</v>
      </c>
      <c r="D11" s="8" t="n">
        <f aca="false">Merger!D17</f>
        <v>265.555954262895</v>
      </c>
    </row>
    <row r="12" customFormat="false" ht="24.75" hidden="false" customHeight="true" outlineLevel="0" collapsed="false">
      <c r="C12" s="2" t="s">
        <v>10</v>
      </c>
      <c r="D12" s="8" t="n">
        <f aca="false">Value!D15</f>
        <v>343.898933451198</v>
      </c>
    </row>
    <row r="13" customFormat="false" ht="24.75" hidden="false" customHeight="true" outlineLevel="0" collapsed="false">
      <c r="C13" s="2" t="s">
        <v>11</v>
      </c>
      <c r="D13" s="8" t="n">
        <f aca="false">Value!D14</f>
        <v>-135.299182661984</v>
      </c>
    </row>
    <row r="14" customFormat="false" ht="24.75" hidden="false" customHeight="true" outlineLevel="0" collapsed="false">
      <c r="C14" s="2" t="s">
        <v>12</v>
      </c>
      <c r="D14" s="8" t="n">
        <f aca="false">Value!D18</f>
        <v>-718.817302999319</v>
      </c>
    </row>
    <row r="15" customFormat="false" ht="24.75" hidden="false" customHeight="true" outlineLevel="0" collapsed="false">
      <c r="C15" s="2" t="s">
        <v>13</v>
      </c>
      <c r="D15" s="9" t="n">
        <f aca="false">Value!D16</f>
        <v>0.976703542446316</v>
      </c>
    </row>
    <row r="18" customFormat="false" ht="42" hidden="false" customHeight="true" outlineLevel="0" collapsed="false">
      <c r="G18" s="10" t="s">
        <v>14</v>
      </c>
    </row>
    <row r="20" customFormat="false" ht="42" hidden="false" customHeight="true" outlineLevel="0" collapsed="false">
      <c r="G20" s="10" t="s">
        <v>15</v>
      </c>
    </row>
    <row r="22" customFormat="false" ht="42" hidden="false" customHeight="true" outlineLevel="0" collapsed="false">
      <c r="G22" s="10" t="s">
        <v>16</v>
      </c>
    </row>
  </sheetData>
  <mergeCells count="2">
    <mergeCell ref="C3:I3"/>
    <mergeCell ref="D6:F6"/>
  </mergeCells>
  <conditionalFormatting sqref="D6:F4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8BB5"/>
    <pageSetUpPr fitToPage="true"/>
  </sheetPr>
  <dimension ref="C2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3"/>
    <col collapsed="false" customWidth="true" hidden="false" outlineLevel="0" max="6" min="4" style="0" width="17"/>
    <col collapsed="false" customWidth="true" hidden="false" outlineLevel="0" max="7" min="7" style="0" width="65"/>
    <col collapsed="false" customWidth="true" hidden="false" outlineLevel="0" max="9" min="8" style="0" width="17"/>
  </cols>
  <sheetData>
    <row r="2" customFormat="false" ht="19.7" hidden="false" customHeight="false" outlineLevel="0" collapsed="false">
      <c r="C2" s="1" t="s">
        <v>17</v>
      </c>
    </row>
    <row r="3" customFormat="false" ht="15" hidden="false" customHeight="false" outlineLevel="0" collapsed="false">
      <c r="C3" s="4" t="s">
        <v>2</v>
      </c>
      <c r="D3" s="4"/>
      <c r="E3" s="4"/>
      <c r="F3" s="4"/>
      <c r="G3" s="4"/>
      <c r="H3" s="4"/>
      <c r="I3" s="4"/>
    </row>
    <row r="5" customFormat="false" ht="15" hidden="false" customHeight="false" outlineLevel="0" collapsed="false"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</row>
    <row r="6" customFormat="false" ht="21.75" hidden="false" customHeight="true" outlineLevel="0" collapsed="false">
      <c r="C6" s="11" t="s">
        <v>23</v>
      </c>
      <c r="D6" s="12" t="n">
        <v>0.987</v>
      </c>
      <c r="E6" s="11" t="s">
        <v>24</v>
      </c>
      <c r="F6" s="11" t="s">
        <v>25</v>
      </c>
      <c r="G6" s="13" t="s">
        <v>26</v>
      </c>
    </row>
    <row r="7" customFormat="false" ht="21.75" hidden="false" customHeight="true" outlineLevel="0" collapsed="false">
      <c r="C7" s="11" t="s">
        <v>27</v>
      </c>
      <c r="D7" s="14" t="n">
        <v>325</v>
      </c>
      <c r="E7" s="11" t="s">
        <v>28</v>
      </c>
      <c r="F7" s="11" t="s">
        <v>25</v>
      </c>
      <c r="G7" s="13" t="s">
        <v>29</v>
      </c>
    </row>
    <row r="8" customFormat="false" ht="21.75" hidden="false" customHeight="true" outlineLevel="0" collapsed="false">
      <c r="C8" s="11" t="s">
        <v>30</v>
      </c>
      <c r="D8" s="14" t="n">
        <v>629.049</v>
      </c>
      <c r="E8" s="11" t="s">
        <v>31</v>
      </c>
      <c r="F8" s="11" t="s">
        <v>25</v>
      </c>
      <c r="G8" s="13" t="s">
        <v>32</v>
      </c>
    </row>
    <row r="9" customFormat="false" ht="27.75" hidden="false" customHeight="true" outlineLevel="0" collapsed="false">
      <c r="C9" s="11" t="s">
        <v>33</v>
      </c>
      <c r="D9" s="14" t="n">
        <v>236.21</v>
      </c>
      <c r="E9" s="11" t="s">
        <v>31</v>
      </c>
      <c r="F9" s="11" t="s">
        <v>25</v>
      </c>
      <c r="G9" s="13" t="s">
        <v>34</v>
      </c>
    </row>
    <row r="10" customFormat="false" ht="27.75" hidden="false" customHeight="true" outlineLevel="0" collapsed="false">
      <c r="C10" s="11" t="s">
        <v>35</v>
      </c>
      <c r="D10" s="12" t="n">
        <v>55.63</v>
      </c>
      <c r="E10" s="11" t="s">
        <v>36</v>
      </c>
      <c r="F10" s="11" t="s">
        <v>37</v>
      </c>
      <c r="G10" s="13" t="s">
        <v>38</v>
      </c>
    </row>
    <row r="11" customFormat="false" ht="27.75" hidden="false" customHeight="true" outlineLevel="0" collapsed="false">
      <c r="C11" s="11" t="s">
        <v>39</v>
      </c>
      <c r="D11" s="12" t="n">
        <v>45.53</v>
      </c>
      <c r="E11" s="11" t="s">
        <v>36</v>
      </c>
      <c r="F11" s="11" t="s">
        <v>37</v>
      </c>
      <c r="G11" s="13" t="s">
        <v>40</v>
      </c>
    </row>
    <row r="12" customFormat="false" ht="21.75" hidden="false" customHeight="true" outlineLevel="0" collapsed="false">
      <c r="C12" s="11" t="s">
        <v>41</v>
      </c>
      <c r="D12" s="14" t="n">
        <v>1879.156</v>
      </c>
      <c r="E12" s="11" t="s">
        <v>28</v>
      </c>
      <c r="F12" s="11" t="s">
        <v>25</v>
      </c>
      <c r="G12" s="13" t="s">
        <v>42</v>
      </c>
    </row>
    <row r="13" customFormat="false" ht="21.75" hidden="false" customHeight="true" outlineLevel="0" collapsed="false">
      <c r="C13" s="11" t="s">
        <v>43</v>
      </c>
      <c r="D13" s="14" t="n">
        <v>1708.344</v>
      </c>
      <c r="E13" s="11" t="s">
        <v>28</v>
      </c>
      <c r="F13" s="11" t="s">
        <v>25</v>
      </c>
      <c r="G13" s="13" t="s">
        <v>44</v>
      </c>
    </row>
    <row r="14" customFormat="false" ht="21.75" hidden="false" customHeight="true" outlineLevel="0" collapsed="false">
      <c r="C14" s="11" t="s">
        <v>45</v>
      </c>
      <c r="D14" s="14" t="n">
        <v>986.283</v>
      </c>
      <c r="E14" s="11" t="s">
        <v>28</v>
      </c>
      <c r="F14" s="11" t="s">
        <v>25</v>
      </c>
      <c r="G14" s="13" t="s">
        <v>46</v>
      </c>
    </row>
    <row r="15" customFormat="false" ht="21.75" hidden="false" customHeight="true" outlineLevel="0" collapsed="false">
      <c r="C15" s="11" t="s">
        <v>47</v>
      </c>
      <c r="D15" s="14" t="n">
        <v>2039.247</v>
      </c>
      <c r="E15" s="11" t="s">
        <v>28</v>
      </c>
      <c r="F15" s="11" t="s">
        <v>25</v>
      </c>
      <c r="G15" s="13" t="s">
        <v>48</v>
      </c>
    </row>
    <row r="16" customFormat="false" ht="21.75" hidden="false" customHeight="true" outlineLevel="0" collapsed="false">
      <c r="C16" s="11" t="s">
        <v>49</v>
      </c>
      <c r="D16" s="14" t="n">
        <v>1698.654</v>
      </c>
      <c r="E16" s="11" t="s">
        <v>28</v>
      </c>
      <c r="F16" s="11" t="s">
        <v>25</v>
      </c>
      <c r="G16" s="13" t="s">
        <v>44</v>
      </c>
    </row>
    <row r="17" customFormat="false" ht="21.75" hidden="false" customHeight="true" outlineLevel="0" collapsed="false">
      <c r="C17" s="11" t="s">
        <v>50</v>
      </c>
      <c r="D17" s="14" t="n">
        <v>1026.286</v>
      </c>
      <c r="E17" s="11" t="s">
        <v>28</v>
      </c>
      <c r="F17" s="11" t="s">
        <v>25</v>
      </c>
      <c r="G17" s="13" t="s">
        <v>44</v>
      </c>
    </row>
    <row r="18" customFormat="false" ht="21.75" hidden="false" customHeight="true" outlineLevel="0" collapsed="false">
      <c r="C18" s="11" t="s">
        <v>51</v>
      </c>
      <c r="D18" s="14" t="n">
        <v>719.745</v>
      </c>
      <c r="E18" s="11" t="s">
        <v>28</v>
      </c>
      <c r="F18" s="11" t="s">
        <v>25</v>
      </c>
      <c r="G18" s="13" t="s">
        <v>52</v>
      </c>
    </row>
    <row r="19" customFormat="false" ht="21.75" hidden="false" customHeight="true" outlineLevel="0" collapsed="false">
      <c r="C19" s="11" t="s">
        <v>53</v>
      </c>
      <c r="D19" s="14" t="n">
        <v>545.732</v>
      </c>
      <c r="E19" s="11" t="s">
        <v>28</v>
      </c>
      <c r="F19" s="11" t="s">
        <v>25</v>
      </c>
      <c r="G19" s="13" t="s">
        <v>54</v>
      </c>
    </row>
    <row r="20" customFormat="false" ht="21.75" hidden="false" customHeight="true" outlineLevel="0" collapsed="false">
      <c r="C20" s="11" t="s">
        <v>55</v>
      </c>
      <c r="D20" s="14" t="n">
        <v>389.871</v>
      </c>
      <c r="E20" s="11" t="s">
        <v>28</v>
      </c>
      <c r="F20" s="11" t="s">
        <v>25</v>
      </c>
      <c r="G20" s="13" t="s">
        <v>56</v>
      </c>
    </row>
    <row r="21" customFormat="false" ht="21.75" hidden="false" customHeight="true" outlineLevel="0" collapsed="false">
      <c r="C21" s="11" t="s">
        <v>57</v>
      </c>
      <c r="D21" s="14" t="n">
        <v>658.024</v>
      </c>
      <c r="E21" s="11" t="s">
        <v>28</v>
      </c>
      <c r="F21" s="11" t="s">
        <v>25</v>
      </c>
      <c r="G21" s="13" t="s">
        <v>58</v>
      </c>
    </row>
    <row r="22" customFormat="false" ht="21.75" hidden="false" customHeight="true" outlineLevel="0" collapsed="false">
      <c r="C22" s="11" t="s">
        <v>59</v>
      </c>
      <c r="D22" s="14" t="n">
        <v>536.953</v>
      </c>
      <c r="E22" s="11" t="s">
        <v>28</v>
      </c>
      <c r="F22" s="11" t="s">
        <v>25</v>
      </c>
      <c r="G22" s="13" t="s">
        <v>60</v>
      </c>
    </row>
    <row r="23" customFormat="false" ht="21.75" hidden="false" customHeight="true" outlineLevel="0" collapsed="false">
      <c r="C23" s="11" t="s">
        <v>61</v>
      </c>
      <c r="D23" s="14" t="n">
        <v>334.63</v>
      </c>
      <c r="E23" s="11" t="s">
        <v>28</v>
      </c>
      <c r="F23" s="11" t="s">
        <v>25</v>
      </c>
      <c r="G23" s="13" t="s">
        <v>56</v>
      </c>
    </row>
    <row r="24" customFormat="false" ht="27.75" hidden="false" customHeight="true" outlineLevel="0" collapsed="false">
      <c r="C24" s="11" t="s">
        <v>62</v>
      </c>
      <c r="D24" s="14" t="n">
        <v>45.959</v>
      </c>
      <c r="E24" s="11" t="s">
        <v>28</v>
      </c>
      <c r="F24" s="11" t="s">
        <v>25</v>
      </c>
      <c r="G24" s="13" t="s">
        <v>63</v>
      </c>
    </row>
    <row r="25" customFormat="false" ht="21.75" hidden="false" customHeight="true" outlineLevel="0" collapsed="false">
      <c r="C25" s="11" t="s">
        <v>64</v>
      </c>
      <c r="D25" s="14" t="n">
        <v>24.481</v>
      </c>
      <c r="E25" s="11" t="s">
        <v>28</v>
      </c>
      <c r="F25" s="11" t="s">
        <v>25</v>
      </c>
      <c r="G25" s="13" t="s">
        <v>65</v>
      </c>
    </row>
    <row r="26" customFormat="false" ht="21.75" hidden="false" customHeight="true" outlineLevel="0" collapsed="false">
      <c r="C26" s="11" t="s">
        <v>66</v>
      </c>
      <c r="D26" s="14" t="n">
        <v>22.833</v>
      </c>
      <c r="E26" s="11" t="s">
        <v>28</v>
      </c>
      <c r="F26" s="11" t="s">
        <v>25</v>
      </c>
      <c r="G26" s="13" t="s">
        <v>65</v>
      </c>
    </row>
    <row r="27" customFormat="false" ht="27.75" hidden="false" customHeight="true" outlineLevel="0" collapsed="false">
      <c r="C27" s="11" t="s">
        <v>67</v>
      </c>
      <c r="D27" s="15" t="n">
        <v>0.25</v>
      </c>
      <c r="E27" s="11" t="s">
        <v>68</v>
      </c>
      <c r="F27" s="11" t="s">
        <v>37</v>
      </c>
      <c r="G27" s="13" t="s">
        <v>69</v>
      </c>
    </row>
    <row r="28" customFormat="false" ht="21.75" hidden="false" customHeight="true" outlineLevel="0" collapsed="false">
      <c r="C28" s="11" t="s">
        <v>70</v>
      </c>
      <c r="D28" s="14" t="n">
        <v>1500</v>
      </c>
      <c r="E28" s="11" t="s">
        <v>28</v>
      </c>
      <c r="F28" s="11" t="s">
        <v>37</v>
      </c>
      <c r="G28" s="13" t="s">
        <v>71</v>
      </c>
    </row>
    <row r="29" customFormat="false" ht="27.75" hidden="false" customHeight="true" outlineLevel="0" collapsed="false">
      <c r="C29" s="11" t="s">
        <v>72</v>
      </c>
      <c r="D29" s="14" t="n">
        <v>15</v>
      </c>
      <c r="E29" s="11" t="s">
        <v>73</v>
      </c>
      <c r="F29" s="11" t="s">
        <v>37</v>
      </c>
      <c r="G29" s="13" t="s">
        <v>74</v>
      </c>
    </row>
    <row r="30" customFormat="false" ht="27.75" hidden="false" customHeight="true" outlineLevel="0" collapsed="false">
      <c r="C30" s="11" t="s">
        <v>75</v>
      </c>
      <c r="D30" s="14" t="n">
        <v>300</v>
      </c>
      <c r="E30" s="11" t="s">
        <v>28</v>
      </c>
      <c r="F30" s="11" t="s">
        <v>37</v>
      </c>
      <c r="G30" s="13" t="s">
        <v>76</v>
      </c>
    </row>
    <row r="31" customFormat="false" ht="27.75" hidden="false" customHeight="true" outlineLevel="0" collapsed="false">
      <c r="C31" s="11" t="s">
        <v>77</v>
      </c>
      <c r="D31" s="14" t="n">
        <v>50</v>
      </c>
      <c r="E31" s="11" t="s">
        <v>28</v>
      </c>
      <c r="F31" s="11" t="s">
        <v>37</v>
      </c>
      <c r="G31" s="13" t="s">
        <v>78</v>
      </c>
    </row>
    <row r="32" customFormat="false" ht="27.75" hidden="false" customHeight="true" outlineLevel="0" collapsed="false">
      <c r="C32" s="11" t="s">
        <v>79</v>
      </c>
      <c r="D32" s="15" t="n">
        <v>0.1</v>
      </c>
      <c r="E32" s="11" t="s">
        <v>68</v>
      </c>
      <c r="F32" s="11" t="s">
        <v>37</v>
      </c>
      <c r="G32" s="13" t="s">
        <v>80</v>
      </c>
    </row>
    <row r="33" customFormat="false" ht="21.75" hidden="false" customHeight="true" outlineLevel="0" collapsed="false">
      <c r="C33" s="11" t="s">
        <v>81</v>
      </c>
      <c r="D33" s="15" t="n">
        <v>0.5</v>
      </c>
      <c r="E33" s="11" t="s">
        <v>68</v>
      </c>
      <c r="F33" s="11" t="s">
        <v>37</v>
      </c>
      <c r="G33" s="13" t="s">
        <v>82</v>
      </c>
    </row>
    <row r="34" customFormat="false" ht="21.75" hidden="false" customHeight="true" outlineLevel="0" collapsed="false">
      <c r="C34" s="11" t="s">
        <v>83</v>
      </c>
      <c r="D34" s="15" t="n">
        <v>0.6</v>
      </c>
      <c r="E34" s="11" t="s">
        <v>68</v>
      </c>
      <c r="F34" s="11" t="s">
        <v>37</v>
      </c>
      <c r="G34" s="13" t="s">
        <v>84</v>
      </c>
    </row>
    <row r="35" customFormat="false" ht="27.75" hidden="false" customHeight="true" outlineLevel="0" collapsed="false">
      <c r="C35" s="11" t="s">
        <v>85</v>
      </c>
      <c r="D35" s="14" t="n">
        <v>2</v>
      </c>
      <c r="E35" s="11" t="s">
        <v>86</v>
      </c>
      <c r="F35" s="11" t="s">
        <v>37</v>
      </c>
      <c r="G35" s="13" t="s">
        <v>87</v>
      </c>
    </row>
    <row r="36" customFormat="false" ht="21.75" hidden="false" customHeight="true" outlineLevel="0" collapsed="false">
      <c r="C36" s="11" t="s">
        <v>88</v>
      </c>
      <c r="D36" s="14" t="n">
        <v>0.8</v>
      </c>
      <c r="E36" s="11" t="s">
        <v>89</v>
      </c>
      <c r="F36" s="11" t="s">
        <v>37</v>
      </c>
      <c r="G36" s="13" t="s">
        <v>90</v>
      </c>
    </row>
    <row r="37" customFormat="false" ht="21.75" hidden="false" customHeight="true" outlineLevel="0" collapsed="false">
      <c r="C37" s="11" t="s">
        <v>91</v>
      </c>
      <c r="D37" s="14" t="n">
        <v>1</v>
      </c>
      <c r="E37" s="11" t="s">
        <v>89</v>
      </c>
      <c r="F37" s="11" t="s">
        <v>37</v>
      </c>
      <c r="G37" s="13" t="s">
        <v>92</v>
      </c>
    </row>
    <row r="38" customFormat="false" ht="21.75" hidden="false" customHeight="true" outlineLevel="0" collapsed="false">
      <c r="C38" s="11" t="s">
        <v>93</v>
      </c>
      <c r="D38" s="14" t="n">
        <v>1.2</v>
      </c>
      <c r="E38" s="11" t="s">
        <v>89</v>
      </c>
      <c r="F38" s="11" t="s">
        <v>37</v>
      </c>
      <c r="G38" s="13" t="s">
        <v>94</v>
      </c>
    </row>
    <row r="39" customFormat="false" ht="21.75" hidden="false" customHeight="true" outlineLevel="0" collapsed="false">
      <c r="C39" s="11" t="s">
        <v>95</v>
      </c>
      <c r="D39" s="15" t="n">
        <v>0.5</v>
      </c>
      <c r="E39" s="11" t="s">
        <v>68</v>
      </c>
      <c r="F39" s="11" t="s">
        <v>37</v>
      </c>
      <c r="G39" s="13" t="s">
        <v>96</v>
      </c>
    </row>
    <row r="40" customFormat="false" ht="21.75" hidden="false" customHeight="true" outlineLevel="0" collapsed="false">
      <c r="C40" s="11" t="s">
        <v>97</v>
      </c>
      <c r="D40" s="15" t="n">
        <v>1</v>
      </c>
      <c r="E40" s="11" t="s">
        <v>68</v>
      </c>
      <c r="F40" s="11" t="s">
        <v>37</v>
      </c>
      <c r="G40" s="13" t="s">
        <v>98</v>
      </c>
    </row>
    <row r="41" customFormat="false" ht="21.75" hidden="false" customHeight="true" outlineLevel="0" collapsed="false">
      <c r="C41" s="11" t="s">
        <v>99</v>
      </c>
      <c r="D41" s="15" t="n">
        <v>1</v>
      </c>
      <c r="E41" s="11" t="s">
        <v>68</v>
      </c>
      <c r="F41" s="11" t="s">
        <v>37</v>
      </c>
      <c r="G41" s="13" t="s">
        <v>100</v>
      </c>
    </row>
    <row r="44" customFormat="false" ht="15" hidden="false" customHeight="false" outlineLevel="0" collapsed="false">
      <c r="C44" s="11" t="s">
        <v>101</v>
      </c>
      <c r="D44" s="16" t="n">
        <f aca="false">CHOOSE(Inputs!$D$35,Inputs!$D$36,Inputs!$D$37,Inputs!$D$38)</f>
        <v>1</v>
      </c>
    </row>
    <row r="45" customFormat="false" ht="15" hidden="false" customHeight="false" outlineLevel="0" collapsed="false">
      <c r="C45" s="11" t="s">
        <v>102</v>
      </c>
      <c r="D45" s="17" t="n">
        <f aca="false">CHOOSE(Inputs!$D$35,Inputs!$D$39,Inputs!$D$40,Inputs!$D$41)</f>
        <v>1</v>
      </c>
    </row>
    <row r="46" customFormat="false" ht="15" hidden="false" customHeight="false" outlineLevel="0" collapsed="false">
      <c r="C46" s="11" t="s">
        <v>1</v>
      </c>
      <c r="D46" s="16" t="str">
        <f aca="false">CHOOSE(Inputs!$D$35,"Down","Base","Up")</f>
        <v>Base</v>
      </c>
    </row>
  </sheetData>
  <mergeCells count="1">
    <mergeCell ref="C3:I3"/>
  </mergeCells>
  <conditionalFormatting sqref="D6:F40">
    <cfRule type="cellIs" priority="2" operator="lessThan" aboveAverage="0" equalAverage="0" bottom="0" percent="0" rank="0" text="" dxfId="0">
      <formula>0</formula>
    </cfRule>
  </conditionalFormatting>
  <dataValidations count="1">
    <dataValidation allowBlank="false" error="Choose 1, 2 or 3" errorStyle="stop" errorTitle="Invalid case" operator="between" showDropDown="false" showErrorMessage="true" showInputMessage="false" sqref="D35" type="whole">
      <formula1>1</formula1>
      <formula2>3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3"/>
    <col collapsed="false" customWidth="true" hidden="false" outlineLevel="0" max="6" min="4" style="0" width="17"/>
    <col collapsed="false" customWidth="true" hidden="false" outlineLevel="0" max="7" min="7" style="0" width="65"/>
    <col collapsed="false" customWidth="true" hidden="false" outlineLevel="0" max="9" min="8" style="0" width="17"/>
  </cols>
  <sheetData>
    <row r="2" customFormat="false" ht="19.7" hidden="false" customHeight="false" outlineLevel="0" collapsed="false">
      <c r="C2" s="1" t="s">
        <v>103</v>
      </c>
      <c r="H2" s="11" t="s">
        <v>1</v>
      </c>
      <c r="I2" s="18" t="str">
        <f aca="false">Inputs!D46</f>
        <v>Base</v>
      </c>
    </row>
    <row r="3" customFormat="false" ht="15" hidden="false" customHeight="false" outlineLevel="0" collapsed="false">
      <c r="C3" s="4" t="s">
        <v>2</v>
      </c>
      <c r="D3" s="4"/>
      <c r="E3" s="4"/>
      <c r="F3" s="4"/>
      <c r="G3" s="4"/>
      <c r="H3" s="4"/>
      <c r="I3" s="4"/>
    </row>
    <row r="5" customFormat="false" ht="15" hidden="false" customHeight="false" outlineLevel="0" collapsed="false">
      <c r="C5" s="5" t="s">
        <v>104</v>
      </c>
      <c r="D5" s="5" t="s">
        <v>19</v>
      </c>
    </row>
    <row r="6" customFormat="false" ht="27.75" hidden="false" customHeight="true" outlineLevel="0" collapsed="false">
      <c r="C6" s="11" t="s">
        <v>105</v>
      </c>
      <c r="D6" s="16" t="n">
        <f aca="false">History!G6</f>
        <v>2601.217</v>
      </c>
      <c r="G6" s="13" t="s">
        <v>106</v>
      </c>
    </row>
    <row r="7" customFormat="false" ht="15" hidden="false" customHeight="false" outlineLevel="0" collapsed="false">
      <c r="C7" s="11" t="s">
        <v>107</v>
      </c>
      <c r="D7" s="16" t="n">
        <f aca="false">History!G8</f>
        <v>875.606</v>
      </c>
    </row>
    <row r="8" customFormat="false" ht="15" hidden="false" customHeight="false" outlineLevel="0" collapsed="false">
      <c r="C8" s="11" t="s">
        <v>108</v>
      </c>
      <c r="D8" s="16" t="n">
        <f aca="false">History!G10*(1-Inputs!$D$27)</f>
        <v>35.70525</v>
      </c>
    </row>
    <row r="9" customFormat="false" ht="15" hidden="false" customHeight="false" outlineLevel="0" collapsed="false">
      <c r="C9" s="11" t="s">
        <v>109</v>
      </c>
      <c r="D9" s="16" t="n">
        <f aca="false">(D7-D8)*Inputs!D44</f>
        <v>839.90075</v>
      </c>
    </row>
    <row r="10" customFormat="false" ht="15" hidden="false" customHeight="false" outlineLevel="0" collapsed="false">
      <c r="C10" s="11" t="s">
        <v>110</v>
      </c>
      <c r="D10" s="16" t="n">
        <f aca="false">Inputs!$D$8</f>
        <v>629.049</v>
      </c>
    </row>
    <row r="11" customFormat="false" ht="27.75" hidden="false" customHeight="true" outlineLevel="0" collapsed="false">
      <c r="C11" s="11" t="s">
        <v>111</v>
      </c>
      <c r="D11" s="16" t="n">
        <f aca="false">Inputs!$D$9*Inputs!$D$6</f>
        <v>233.13927</v>
      </c>
      <c r="G11" s="13" t="s">
        <v>112</v>
      </c>
    </row>
    <row r="12" customFormat="false" ht="15" hidden="false" customHeight="false" outlineLevel="0" collapsed="false">
      <c r="C12" s="11" t="s">
        <v>113</v>
      </c>
      <c r="D12" s="8" t="n">
        <f aca="false">SUM(D10:D11)</f>
        <v>862.18827</v>
      </c>
    </row>
    <row r="13" customFormat="false" ht="15" hidden="false" customHeight="false" outlineLevel="0" collapsed="false">
      <c r="C13" s="11" t="s">
        <v>114</v>
      </c>
      <c r="D13" s="7" t="n">
        <f aca="false">D11/D12</f>
        <v>0.270404131107003</v>
      </c>
    </row>
    <row r="14" customFormat="false" ht="15" hidden="false" customHeight="false" outlineLevel="0" collapsed="false">
      <c r="C14" s="11" t="s">
        <v>115</v>
      </c>
      <c r="D14" s="19" t="n">
        <f aca="false">D6/D10</f>
        <v>4.13515799246164</v>
      </c>
    </row>
    <row r="15" customFormat="false" ht="27.75" hidden="false" customHeight="true" outlineLevel="0" collapsed="false">
      <c r="C15" s="11" t="s">
        <v>116</v>
      </c>
      <c r="D15" s="16" t="n">
        <f aca="false">Inputs!$D$28/Inputs!$D$29</f>
        <v>100</v>
      </c>
      <c r="G15" s="13" t="s">
        <v>117</v>
      </c>
    </row>
    <row r="16" customFormat="false" ht="15" hidden="false" customHeight="false" outlineLevel="0" collapsed="false">
      <c r="C16" s="11" t="s">
        <v>118</v>
      </c>
      <c r="D16" s="17" t="n">
        <f aca="false">((D6+D9-D15*(1-Inputs!$D$27))/D12)/D14-1</f>
        <v>-0.0558628501169297</v>
      </c>
    </row>
    <row r="17" customFormat="false" ht="15" hidden="false" customHeight="false" outlineLevel="0" collapsed="false">
      <c r="C17" s="11" t="s">
        <v>119</v>
      </c>
      <c r="D17" s="16" t="n">
        <f aca="false">(D14*D11-D9)/(1-Inputs!$D$27)+D15</f>
        <v>265.555954262895</v>
      </c>
    </row>
    <row r="20" customFormat="false" ht="15" hidden="false" customHeight="false" outlineLevel="0" collapsed="false">
      <c r="C20" s="5" t="s">
        <v>120</v>
      </c>
      <c r="D20" s="5" t="s">
        <v>121</v>
      </c>
      <c r="E20" s="5" t="s">
        <v>122</v>
      </c>
      <c r="F20" s="5" t="s">
        <v>123</v>
      </c>
    </row>
    <row r="21" customFormat="false" ht="15" hidden="false" customHeight="false" outlineLevel="0" collapsed="false">
      <c r="C21" s="11" t="s">
        <v>124</v>
      </c>
      <c r="D21" s="17" t="n">
        <f aca="false">Inputs!$D$33</f>
        <v>0.5</v>
      </c>
      <c r="E21" s="7" t="n">
        <f aca="false">1</f>
        <v>1</v>
      </c>
      <c r="F21" s="7" t="n">
        <f aca="false">1</f>
        <v>1</v>
      </c>
    </row>
    <row r="22" customFormat="false" ht="15" hidden="false" customHeight="false" outlineLevel="0" collapsed="false">
      <c r="C22" s="11" t="s">
        <v>125</v>
      </c>
      <c r="D22" s="16" t="n">
        <f aca="false">Inputs!$D$7*Inputs!$D$45*D21</f>
        <v>162.5</v>
      </c>
      <c r="E22" s="16" t="n">
        <f aca="false">Inputs!$D$7*Inputs!$D$45*E21</f>
        <v>325</v>
      </c>
      <c r="F22" s="16" t="n">
        <f aca="false">Inputs!$D$7*Inputs!$D$45*F21</f>
        <v>325</v>
      </c>
    </row>
    <row r="23" customFormat="false" ht="15" hidden="false" customHeight="false" outlineLevel="0" collapsed="false">
      <c r="C23" s="11" t="s">
        <v>126</v>
      </c>
      <c r="D23" s="16" t="n">
        <f aca="false">Inputs!$D$30*Inputs!$D$34</f>
        <v>180</v>
      </c>
      <c r="E23" s="16" t="n">
        <f aca="false">Inputs!$D$30*(1-Inputs!$D$34)</f>
        <v>120</v>
      </c>
      <c r="F23" s="8" t="n">
        <f aca="false">0</f>
        <v>0</v>
      </c>
    </row>
    <row r="24" customFormat="false" ht="15" hidden="false" customHeight="false" outlineLevel="0" collapsed="false">
      <c r="C24" s="11" t="s">
        <v>127</v>
      </c>
      <c r="D24" s="16" t="n">
        <f aca="false">Inputs!$D$31</f>
        <v>50</v>
      </c>
      <c r="E24" s="8" t="n">
        <f aca="false">0</f>
        <v>0</v>
      </c>
      <c r="F24" s="8" t="n">
        <f aca="false">0</f>
        <v>0</v>
      </c>
    </row>
    <row r="25" customFormat="false" ht="15" hidden="false" customHeight="false" outlineLevel="0" collapsed="false">
      <c r="C25" s="11" t="s">
        <v>128</v>
      </c>
      <c r="D25" s="16" t="n">
        <f aca="false">$D$6+$D$9+(D22-$D$15)*(1-Inputs!$D$27)</f>
        <v>3487.99275</v>
      </c>
      <c r="E25" s="16" t="n">
        <f aca="false">$D$6+$D$9+(E22-$D$15)*(1-Inputs!$D$27)</f>
        <v>3609.86775</v>
      </c>
      <c r="F25" s="16" t="n">
        <f aca="false">$D$6+$D$9+(F22-$D$15)*(1-Inputs!$D$27)</f>
        <v>3609.86775</v>
      </c>
    </row>
    <row r="26" customFormat="false" ht="15" hidden="false" customHeight="false" outlineLevel="0" collapsed="false">
      <c r="C26" s="11" t="s">
        <v>129</v>
      </c>
      <c r="D26" s="19" t="n">
        <f aca="false">D25/$D$12</f>
        <v>4.04551171868761</v>
      </c>
      <c r="E26" s="19" t="n">
        <f aca="false">E25/$D$12</f>
        <v>4.1868671560563</v>
      </c>
      <c r="F26" s="19" t="n">
        <f aca="false">F25/$D$12</f>
        <v>4.1868671560563</v>
      </c>
    </row>
    <row r="27" customFormat="false" ht="15" hidden="false" customHeight="false" outlineLevel="0" collapsed="false">
      <c r="C27" s="11" t="s">
        <v>130</v>
      </c>
      <c r="D27" s="7" t="n">
        <f aca="false">D26/$D$14-1</f>
        <v>-0.0216790444131634</v>
      </c>
      <c r="E27" s="7" t="n">
        <f aca="false">E26/$D$14-1</f>
        <v>0.0125047612906031</v>
      </c>
      <c r="F27" s="7" t="n">
        <f aca="false">F26/$D$14-1</f>
        <v>0.0125047612906031</v>
      </c>
    </row>
    <row r="28" customFormat="false" ht="42" hidden="false" customHeight="true" outlineLevel="0" collapsed="false">
      <c r="C28" s="11" t="s">
        <v>131</v>
      </c>
      <c r="D28" s="16" t="n">
        <f aca="false">D25-D23*(1-Inputs!$D$27)-D24</f>
        <v>3302.99275</v>
      </c>
      <c r="E28" s="16" t="n">
        <f aca="false">E25-E23*(1-Inputs!$D$27)-E24</f>
        <v>3519.86775</v>
      </c>
      <c r="F28" s="16" t="n">
        <f aca="false">F25-F23*(1-Inputs!$D$27)-F24</f>
        <v>3609.86775</v>
      </c>
      <c r="G28" s="13" t="s">
        <v>132</v>
      </c>
    </row>
    <row r="29" customFormat="false" ht="15" hidden="false" customHeight="false" outlineLevel="0" collapsed="false">
      <c r="C29" s="11" t="s">
        <v>133</v>
      </c>
      <c r="D29" s="19" t="n">
        <f aca="false">D28/$D$12</f>
        <v>3.83094141375874</v>
      </c>
      <c r="E29" s="19" t="n">
        <f aca="false">E28/$D$12</f>
        <v>4.08248160230712</v>
      </c>
      <c r="F29" s="19" t="n">
        <f aca="false">F28/$D$12</f>
        <v>4.1868671560563</v>
      </c>
    </row>
    <row r="30" customFormat="false" ht="15" hidden="false" customHeight="false" outlineLevel="0" collapsed="false">
      <c r="C30" s="11" t="s">
        <v>134</v>
      </c>
      <c r="D30" s="7" t="n">
        <f aca="false">D29/$D$14-1</f>
        <v>-0.0735683084558035</v>
      </c>
      <c r="E30" s="7" t="n">
        <f aca="false">E29/$D$14-1</f>
        <v>-0.0127386644598706</v>
      </c>
      <c r="F30" s="7" t="n">
        <f aca="false">F29/$D$14-1</f>
        <v>0.0125047612906031</v>
      </c>
    </row>
    <row r="31" customFormat="false" ht="15" hidden="false" customHeight="false" outlineLevel="0" collapsed="false">
      <c r="C31" s="11" t="s">
        <v>135</v>
      </c>
      <c r="D31" s="20" t="n">
        <f aca="false">($D$6+$D$7*Inputs!$D$44+D22*(1-Inputs!$D$27))/$D$12</f>
        <v>4.17391203895641</v>
      </c>
      <c r="E31" s="20" t="n">
        <f aca="false">($D$6+$D$7*Inputs!$D$44+E22*(1-Inputs!$D$27))/$D$12</f>
        <v>4.3152674763251</v>
      </c>
      <c r="F31" s="20" t="n">
        <f aca="false">($D$6+$D$7*Inputs!$D$44+F22*(1-Inputs!$D$27))/$D$12</f>
        <v>4.3152674763251</v>
      </c>
    </row>
    <row r="32" customFormat="false" ht="15" hidden="false" customHeight="false" outlineLevel="0" collapsed="false">
      <c r="C32" s="11" t="s">
        <v>136</v>
      </c>
      <c r="D32" s="7" t="n">
        <f aca="false">D31/$D$14-1</f>
        <v>0.00937184179308814</v>
      </c>
      <c r="E32" s="7" t="n">
        <f aca="false">E31/$D$14-1</f>
        <v>0.0435556474968544</v>
      </c>
      <c r="F32" s="7" t="n">
        <f aca="false">F31/$D$14-1</f>
        <v>0.0435556474968544</v>
      </c>
    </row>
    <row r="33" customFormat="false" ht="42" hidden="false" customHeight="true" outlineLevel="0" collapsed="false">
      <c r="C33" s="11" t="s">
        <v>137</v>
      </c>
      <c r="D33" s="20" t="n">
        <f aca="false">(History!$G$7+History!$G$9*Inputs!$D$44+(D22-$D$15-D23)*(1-Inputs!$D$27 )-D24)/$D$12</f>
        <v>3.98269974143814</v>
      </c>
      <c r="E33" s="20" t="n">
        <f aca="false">(History!$G$7+History!$G$9*Inputs!$D$44+(E22-$D$15-E23)*(1-Inputs!$D$27 )-E24)/$D$12</f>
        <v>4.23423992998652</v>
      </c>
      <c r="F33" s="20" t="n">
        <f aca="false">(History!$G$7+History!$G$9*Inputs!$D$44+(F22-$D$15-F23)*(1-Inputs!$D$27 )-F24)/$D$12</f>
        <v>4.3386254837357</v>
      </c>
      <c r="G33" s="13" t="s">
        <v>138</v>
      </c>
    </row>
    <row r="34" customFormat="false" ht="15" hidden="false" customHeight="false" outlineLevel="0" collapsed="false">
      <c r="C34" s="11" t="s">
        <v>139</v>
      </c>
      <c r="D34" s="17" t="n">
        <f aca="false">D33/(History!$G$7/$D$10)-1</f>
        <v>-0.0760807527425824</v>
      </c>
      <c r="E34" s="17" t="n">
        <f aca="false">E33/(History!$G$7/$D$10)-1</f>
        <v>-0.0177276664577783</v>
      </c>
      <c r="F34" s="17" t="n">
        <f aca="false">F33/(History!$G$7/$D$10)-1</f>
        <v>0.00648802352784617</v>
      </c>
    </row>
  </sheetData>
  <mergeCells count="1">
    <mergeCell ref="C3:I3"/>
  </mergeCells>
  <conditionalFormatting sqref="D6:F4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3"/>
    <col collapsed="false" customWidth="true" hidden="false" outlineLevel="0" max="6" min="4" style="0" width="17"/>
    <col collapsed="false" customWidth="true" hidden="false" outlineLevel="0" max="7" min="7" style="0" width="65"/>
    <col collapsed="false" customWidth="true" hidden="false" outlineLevel="0" max="9" min="8" style="0" width="17"/>
  </cols>
  <sheetData>
    <row r="2" customFormat="false" ht="19.7" hidden="false" customHeight="false" outlineLevel="0" collapsed="false">
      <c r="C2" s="1" t="s">
        <v>140</v>
      </c>
      <c r="H2" s="11" t="s">
        <v>1</v>
      </c>
      <c r="I2" s="18" t="str">
        <f aca="false">Inputs!D46</f>
        <v>Base</v>
      </c>
    </row>
    <row r="3" customFormat="false" ht="15" hidden="false" customHeight="false" outlineLevel="0" collapsed="false">
      <c r="C3" s="4" t="s">
        <v>2</v>
      </c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C4" s="21" t="s">
        <v>141</v>
      </c>
      <c r="D4" s="21"/>
      <c r="E4" s="21"/>
      <c r="F4" s="21"/>
      <c r="G4" s="21"/>
      <c r="H4" s="21"/>
      <c r="I4" s="21"/>
    </row>
    <row r="5" customFormat="false" ht="15" hidden="false" customHeight="false" outlineLevel="0" collapsed="false">
      <c r="C5" s="5" t="s">
        <v>142</v>
      </c>
      <c r="D5" s="22" t="n">
        <v>0</v>
      </c>
      <c r="E5" s="22" t="n">
        <v>162.5</v>
      </c>
      <c r="F5" s="22" t="n">
        <v>250</v>
      </c>
      <c r="G5" s="22" t="n">
        <v>325</v>
      </c>
      <c r="H5" s="22" t="n">
        <v>450</v>
      </c>
      <c r="I5" s="22" t="n">
        <v>600</v>
      </c>
    </row>
    <row r="6" customFormat="false" ht="15" hidden="false" customHeight="false" outlineLevel="0" collapsed="false">
      <c r="C6" s="23" t="n">
        <v>0.8</v>
      </c>
      <c r="D6" s="17" t="n">
        <f aca="false">(Merger!$D$6+Merger!$D$9+(D$5-Merger!$D$15)*(1-Inputs!$D$27))/(Merger!$D$10+Inputs!$D$9*$C6)/Merger!$D$14-1</f>
        <v>-0.00488134610843671</v>
      </c>
      <c r="E6" s="17" t="n">
        <f aca="false">(Merger!$D$6+Merger!$D$9+(E$5-Merger!$D$15)*(1-Inputs!$D$27))/(Merger!$D$10+Inputs!$D$9*$C6)/Merger!$D$14-1</f>
        <v>0.0311483162356792</v>
      </c>
      <c r="F6" s="17" t="n">
        <f aca="false">(Merger!$D$6+Merger!$D$9+(F$5-Merger!$D$15)*(1-Inputs!$D$27))/(Merger!$D$10+Inputs!$D$9*$C6)/Merger!$D$14-1</f>
        <v>0.0505489036517413</v>
      </c>
      <c r="G6" s="17" t="n">
        <f aca="false">(Merger!$D$6+Merger!$D$9+(G$5-Merger!$D$15)*(1-Inputs!$D$27))/(Merger!$D$10+Inputs!$D$9*$C6)/Merger!$D$14-1</f>
        <v>0.0671779785797948</v>
      </c>
      <c r="H6" s="17" t="n">
        <f aca="false">(Merger!$D$6+Merger!$D$9+(H$5-Merger!$D$15)*(1-Inputs!$D$27))/(Merger!$D$10+Inputs!$D$9*$C6)/Merger!$D$14-1</f>
        <v>0.0948931034598837</v>
      </c>
      <c r="I6" s="17" t="n">
        <f aca="false">(Merger!$D$6+Merger!$D$9+(I$5-Merger!$D$15)*(1-Inputs!$D$27))/(Merger!$D$10+Inputs!$D$9*$C6)/Merger!$D$14-1</f>
        <v>0.12815125331599</v>
      </c>
    </row>
    <row r="7" customFormat="false" ht="15" hidden="false" customHeight="false" outlineLevel="0" collapsed="false">
      <c r="C7" s="23" t="n">
        <v>0.9</v>
      </c>
      <c r="D7" s="17" t="n">
        <f aca="false">(Merger!$D$6+Merger!$D$9+(D$5-Merger!$D$15)*(1-Inputs!$D$27))/(Merger!$D$10+Inputs!$D$9*$C7)/Merger!$D$14-1</f>
        <v>-0.0328098589887634</v>
      </c>
      <c r="E7" s="17" t="n">
        <f aca="false">(Merger!$D$6+Merger!$D$9+(E$5-Merger!$D$15)*(1-Inputs!$D$27))/(Merger!$D$10+Inputs!$D$9*$C7)/Merger!$D$14-1</f>
        <v>0.00220861249392446</v>
      </c>
      <c r="F7" s="17" t="n">
        <f aca="false">(Merger!$D$6+Merger!$D$9+(F$5-Merger!$D$15)*(1-Inputs!$D$27))/(Merger!$D$10+Inputs!$D$9*$C7)/Merger!$D$14-1</f>
        <v>0.0210647125230643</v>
      </c>
      <c r="G7" s="17" t="n">
        <f aca="false">(Merger!$D$6+Merger!$D$9+(G$5-Merger!$D$15)*(1-Inputs!$D$27))/(Merger!$D$10+Inputs!$D$9*$C7)/Merger!$D$14-1</f>
        <v>0.0372270839766122</v>
      </c>
      <c r="H7" s="17" t="n">
        <f aca="false">(Merger!$D$6+Merger!$D$9+(H$5-Merger!$D$15)*(1-Inputs!$D$27))/(Merger!$D$10+Inputs!$D$9*$C7)/Merger!$D$14-1</f>
        <v>0.064164369732526</v>
      </c>
      <c r="I7" s="17" t="n">
        <f aca="false">(Merger!$D$6+Merger!$D$9+(I$5-Merger!$D$15)*(1-Inputs!$D$27))/(Merger!$D$10+Inputs!$D$9*$C7)/Merger!$D$14-1</f>
        <v>0.0964891126396226</v>
      </c>
    </row>
    <row r="8" customFormat="false" ht="15" hidden="false" customHeight="false" outlineLevel="0" collapsed="false">
      <c r="C8" s="23" t="n">
        <v>0.987</v>
      </c>
      <c r="D8" s="17" t="n">
        <f aca="false">(Merger!$D$6+Merger!$D$9+(D$5-Merger!$D$15)*(1-Inputs!$D$27))/(Merger!$D$10+Inputs!$D$9*$C8)/Merger!$D$14-1</f>
        <v>-0.0558628501169297</v>
      </c>
      <c r="E8" s="17" t="n">
        <f aca="false">(Merger!$D$6+Merger!$D$9+(E$5-Merger!$D$15)*(1-Inputs!$D$27))/(Merger!$D$10+Inputs!$D$9*$C8)/Merger!$D$14-1</f>
        <v>-0.0216790444131634</v>
      </c>
      <c r="F8" s="17" t="n">
        <f aca="false">(Merger!$D$6+Merger!$D$9+(F$5-Merger!$D$15)*(1-Inputs!$D$27))/(Merger!$D$10+Inputs!$D$9*$C8)/Merger!$D$14-1</f>
        <v>-0.00327237980344286</v>
      </c>
      <c r="G8" s="17" t="n">
        <f aca="false">(Merger!$D$6+Merger!$D$9+(G$5-Merger!$D$15)*(1-Inputs!$D$27))/(Merger!$D$10+Inputs!$D$9*$C8)/Merger!$D$14-1</f>
        <v>0.0125047612906031</v>
      </c>
      <c r="H8" s="17" t="n">
        <f aca="false">(Merger!$D$6+Merger!$D$9+(H$5-Merger!$D$15)*(1-Inputs!$D$27))/(Merger!$D$10+Inputs!$D$9*$C8)/Merger!$D$14-1</f>
        <v>0.0387999964473464</v>
      </c>
      <c r="I8" s="17" t="n">
        <f aca="false">(Merger!$D$6+Merger!$D$9+(I$5-Merger!$D$15)*(1-Inputs!$D$27))/(Merger!$D$10+Inputs!$D$9*$C8)/Merger!$D$14-1</f>
        <v>0.0703542786354385</v>
      </c>
    </row>
    <row r="9" customFormat="false" ht="15" hidden="false" customHeight="false" outlineLevel="0" collapsed="false">
      <c r="C9" s="23" t="n">
        <v>1.05</v>
      </c>
      <c r="D9" s="17" t="n">
        <f aca="false">(Merger!$D$6+Merger!$D$9+(D$5-Merger!$D$15)*(1-Inputs!$D$27))/(Merger!$D$10+Inputs!$D$9*$C9)/Merger!$D$14-1</f>
        <v>-0.0718820163049622</v>
      </c>
      <c r="E9" s="17" t="n">
        <f aca="false">(Merger!$D$6+Merger!$D$9+(E$5-Merger!$D$15)*(1-Inputs!$D$27))/(Merger!$D$10+Inputs!$D$9*$C9)/Merger!$D$14-1</f>
        <v>-0.038278206912723</v>
      </c>
      <c r="F9" s="17" t="n">
        <f aca="false">(Merger!$D$6+Merger!$D$9+(F$5-Merger!$D$15)*(1-Inputs!$D$27))/(Merger!$D$10+Inputs!$D$9*$C9)/Merger!$D$14-1</f>
        <v>-0.0201838480092097</v>
      </c>
      <c r="G9" s="17" t="n">
        <f aca="false">(Merger!$D$6+Merger!$D$9+(G$5-Merger!$D$15)*(1-Inputs!$D$27))/(Merger!$D$10+Inputs!$D$9*$C9)/Merger!$D$14-1</f>
        <v>-0.00467439752048393</v>
      </c>
      <c r="H9" s="17" t="n">
        <f aca="false">(Merger!$D$6+Merger!$D$9+(H$5-Merger!$D$15)*(1-Inputs!$D$27))/(Merger!$D$10+Inputs!$D$9*$C9)/Merger!$D$14-1</f>
        <v>0.0211746866273923</v>
      </c>
      <c r="I9" s="17" t="n">
        <f aca="false">(Merger!$D$6+Merger!$D$9+(I$5-Merger!$D$15)*(1-Inputs!$D$27))/(Merger!$D$10+Inputs!$D$9*$C9)/Merger!$D$14-1</f>
        <v>0.0521935876048438</v>
      </c>
    </row>
    <row r="10" customFormat="false" ht="15" hidden="false" customHeight="false" outlineLevel="0" collapsed="false">
      <c r="C10" s="23" t="n">
        <v>1.1</v>
      </c>
      <c r="D10" s="17" t="n">
        <f aca="false">(Merger!$D$6+Merger!$D$9+(D$5-Merger!$D$15)*(1-Inputs!$D$27))/(Merger!$D$10+Inputs!$D$9*$C10)/Merger!$D$14-1</f>
        <v>-0.0842138692507256</v>
      </c>
      <c r="E10" s="17" t="n">
        <f aca="false">(Merger!$D$6+Merger!$D$9+(E$5-Merger!$D$15)*(1-Inputs!$D$27))/(Merger!$D$10+Inputs!$D$9*$C10)/Merger!$D$14-1</f>
        <v>-0.0510565518380866</v>
      </c>
      <c r="F10" s="17" t="n">
        <f aca="false">(Merger!$D$6+Merger!$D$9+(F$5-Merger!$D$15)*(1-Inputs!$D$27))/(Merger!$D$10+Inputs!$D$9*$C10)/Merger!$D$14-1</f>
        <v>-0.0332026116928195</v>
      </c>
      <c r="G10" s="17" t="n">
        <f aca="false">(Merger!$D$6+Merger!$D$9+(G$5-Merger!$D$15)*(1-Inputs!$D$27))/(Merger!$D$10+Inputs!$D$9*$C10)/Merger!$D$14-1</f>
        <v>-0.0178992344254477</v>
      </c>
      <c r="H10" s="17" t="n">
        <f aca="false">(Merger!$D$6+Merger!$D$9+(H$5-Merger!$D$15)*(1-Inputs!$D$27))/(Merger!$D$10+Inputs!$D$9*$C10)/Merger!$D$14-1</f>
        <v>0.00760639435350519</v>
      </c>
      <c r="I10" s="17" t="n">
        <f aca="false">(Merger!$D$6+Merger!$D$9+(I$5-Merger!$D$15)*(1-Inputs!$D$27))/(Merger!$D$10+Inputs!$D$9*$C10)/Merger!$D$14-1</f>
        <v>0.0382131488882489</v>
      </c>
    </row>
    <row r="13" customFormat="false" ht="42" hidden="false" customHeight="true" outlineLevel="0" collapsed="false">
      <c r="G13" s="13" t="s">
        <v>143</v>
      </c>
    </row>
  </sheetData>
  <mergeCells count="2">
    <mergeCell ref="C3:I3"/>
    <mergeCell ref="C4:I4"/>
  </mergeCells>
  <conditionalFormatting sqref="D6:I10">
    <cfRule type="colorScale" priority="2">
      <colorScale>
        <cfvo type="min" val="0"/>
        <cfvo type="num" val="0"/>
        <cfvo type="max" val="0"/>
        <color rgb="FFF3D5D3"/>
        <color rgb="FFFFFFFF"/>
        <color rgb="FFD5E6D8"/>
      </colorScale>
    </cfRule>
  </conditionalFormatting>
  <conditionalFormatting sqref="D6:F40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3"/>
    <col collapsed="false" customWidth="true" hidden="false" outlineLevel="0" max="6" min="4" style="0" width="17"/>
    <col collapsed="false" customWidth="true" hidden="false" outlineLevel="0" max="7" min="7" style="0" width="65"/>
    <col collapsed="false" customWidth="true" hidden="false" outlineLevel="0" max="9" min="8" style="0" width="17"/>
  </cols>
  <sheetData>
    <row r="2" customFormat="false" ht="19.7" hidden="false" customHeight="false" outlineLevel="0" collapsed="false">
      <c r="C2" s="1" t="s">
        <v>19</v>
      </c>
      <c r="H2" s="11" t="s">
        <v>1</v>
      </c>
      <c r="I2" s="18" t="str">
        <f aca="false">Inputs!D46</f>
        <v>Base</v>
      </c>
    </row>
    <row r="3" customFormat="false" ht="15" hidden="false" customHeight="false" outlineLevel="0" collapsed="false">
      <c r="C3" s="4" t="s">
        <v>2</v>
      </c>
      <c r="D3" s="4"/>
      <c r="E3" s="4"/>
      <c r="F3" s="4"/>
      <c r="G3" s="4"/>
      <c r="H3" s="4"/>
      <c r="I3" s="4"/>
    </row>
    <row r="5" customFormat="false" ht="15" hidden="false" customHeight="false" outlineLevel="0" collapsed="false">
      <c r="C5" s="5" t="s">
        <v>144</v>
      </c>
      <c r="D5" s="5" t="s">
        <v>19</v>
      </c>
    </row>
    <row r="6" customFormat="false" ht="42" hidden="false" customHeight="true" outlineLevel="0" collapsed="false">
      <c r="C6" s="11" t="s">
        <v>145</v>
      </c>
      <c r="D6" s="20" t="n">
        <f aca="false">Inputs!$D$6*Inputs!$D$10</f>
        <v>54.90681</v>
      </c>
      <c r="G6" s="13" t="s">
        <v>146</v>
      </c>
    </row>
    <row r="7" customFormat="false" ht="15" hidden="false" customHeight="false" outlineLevel="0" collapsed="false">
      <c r="C7" s="11" t="s">
        <v>147</v>
      </c>
      <c r="D7" s="16" t="n">
        <f aca="false">D6*Inputs!$D$9</f>
        <v>12969.5375901</v>
      </c>
    </row>
    <row r="8" customFormat="false" ht="15" hidden="false" customHeight="false" outlineLevel="0" collapsed="false">
      <c r="C8" s="11" t="s">
        <v>148</v>
      </c>
      <c r="D8" s="17" t="n">
        <f aca="false">D6/Inputs!$D$11-1</f>
        <v>0.205947946408961</v>
      </c>
    </row>
    <row r="9" customFormat="false" ht="15" hidden="false" customHeight="false" outlineLevel="0" collapsed="false">
      <c r="C9" s="11" t="s">
        <v>149</v>
      </c>
      <c r="D9" s="16" t="n">
        <f aca="false">(D6-Inputs!$D$11)*Inputs!$D$9</f>
        <v>2214.8962901</v>
      </c>
    </row>
    <row r="10" customFormat="false" ht="15" hidden="false" customHeight="false" outlineLevel="0" collapsed="false">
      <c r="C10" s="11" t="s">
        <v>150</v>
      </c>
      <c r="D10" s="16" t="n">
        <f aca="false">(1-Inputs!$D$27)*(Inputs!$D$33/(1+Inputs!$D$32)+1/(Inputs!$D$32*(1+Inputs!$D$32)))</f>
        <v>7.15909090909091</v>
      </c>
    </row>
    <row r="11" customFormat="false" ht="42" hidden="false" customHeight="true" outlineLevel="0" collapsed="false">
      <c r="C11" s="11" t="s">
        <v>151</v>
      </c>
      <c r="D11" s="16" t="n">
        <f aca="false">Inputs!$D$7*Inputs!D45*D10</f>
        <v>2326.70454545455</v>
      </c>
      <c r="G11" s="13" t="s">
        <v>152</v>
      </c>
    </row>
    <row r="12" customFormat="false" ht="15" hidden="false" customHeight="false" outlineLevel="0" collapsed="false">
      <c r="C12" s="11" t="s">
        <v>153</v>
      </c>
      <c r="D12" s="16" t="n">
        <f aca="false">Inputs!$D$30*(1-Inputs!$D$27)*(Inputs!$D$34/(1+Inputs!$D$32)+(1-Inputs!$D$34)/(1+Inputs!$D$32)^2)+Inputs!$D$31</f>
        <v>247.107438016529</v>
      </c>
    </row>
    <row r="13" customFormat="false" ht="15" hidden="false" customHeight="false" outlineLevel="0" collapsed="false">
      <c r="C13" s="11" t="s">
        <v>154</v>
      </c>
      <c r="D13" s="8" t="n">
        <f aca="false">D11-D12</f>
        <v>2079.59710743802</v>
      </c>
    </row>
    <row r="14" customFormat="false" ht="42" hidden="false" customHeight="true" outlineLevel="0" collapsed="false">
      <c r="C14" s="11" t="s">
        <v>155</v>
      </c>
      <c r="D14" s="8" t="n">
        <f aca="false">D13-D9</f>
        <v>-135.299182661984</v>
      </c>
      <c r="G14" s="13" t="s">
        <v>156</v>
      </c>
    </row>
    <row r="15" customFormat="false" ht="15" hidden="false" customHeight="false" outlineLevel="0" collapsed="false">
      <c r="C15" s="11" t="s">
        <v>157</v>
      </c>
      <c r="D15" s="8" t="n">
        <f aca="false">(D9+D12)/D10</f>
        <v>343.898933451198</v>
      </c>
    </row>
    <row r="16" customFormat="false" ht="15" hidden="false" customHeight="false" outlineLevel="0" collapsed="false">
      <c r="C16" s="11" t="s">
        <v>158</v>
      </c>
      <c r="D16" s="24" t="n">
        <f aca="false">(Inputs!$D$11+D13/Inputs!$D$9)/Inputs!$D$10</f>
        <v>0.976703542446316</v>
      </c>
    </row>
    <row r="17" customFormat="false" ht="15" hidden="false" customHeight="false" outlineLevel="0" collapsed="false">
      <c r="C17" s="11" t="s">
        <v>159</v>
      </c>
      <c r="D17" s="16" t="n">
        <f aca="false">Inputs!$D$7*Inputs!D45*(1-Inputs!$D$27)*((1-(1+Inputs!$D$32)^-15)/Inputs!$D$32-(1-Inputs!$D$33)/(1+Inputs!$D$32))</f>
        <v>1743.18642511721</v>
      </c>
    </row>
    <row r="18" customFormat="false" ht="15" hidden="false" customHeight="false" outlineLevel="0" collapsed="false">
      <c r="C18" s="11" t="s">
        <v>160</v>
      </c>
      <c r="D18" s="8" t="n">
        <f aca="false">D17-D12-D9</f>
        <v>-718.817302999319</v>
      </c>
    </row>
    <row r="20" customFormat="false" ht="15" hidden="false" customHeight="false" outlineLevel="0" collapsed="false">
      <c r="C20" s="11" t="s">
        <v>161</v>
      </c>
      <c r="D20" s="16" t="n">
        <f aca="false">Merger!D11*Inputs!$D$10</f>
        <v>12969.5375901</v>
      </c>
    </row>
    <row r="21" customFormat="false" ht="15" hidden="false" customHeight="false" outlineLevel="0" collapsed="false">
      <c r="C21" s="11" t="s">
        <v>162</v>
      </c>
      <c r="D21" s="19" t="n">
        <f aca="false">D20-D7</f>
        <v>0</v>
      </c>
    </row>
    <row r="22" customFormat="false" ht="42" hidden="false" customHeight="true" outlineLevel="0" collapsed="false">
      <c r="C22" s="11" t="s">
        <v>163</v>
      </c>
      <c r="D22" s="16" t="n">
        <f aca="false">Inputs!$D$30+Inputs!$D$31</f>
        <v>350</v>
      </c>
      <c r="G22" s="13" t="s">
        <v>164</v>
      </c>
    </row>
    <row r="23" customFormat="false" ht="15" hidden="false" customHeight="false" outlineLevel="0" collapsed="false">
      <c r="C23" s="11" t="s">
        <v>165</v>
      </c>
      <c r="D23" s="20" t="n">
        <f aca="false">SUM(Merger!D23:F23)+Merger!D24-D22</f>
        <v>0</v>
      </c>
    </row>
  </sheetData>
  <mergeCells count="1">
    <mergeCell ref="C3:I3"/>
  </mergeCells>
  <conditionalFormatting sqref="D6:F4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3"/>
    <col collapsed="false" customWidth="true" hidden="false" outlineLevel="0" max="6" min="4" style="0" width="17"/>
    <col collapsed="false" customWidth="true" hidden="false" outlineLevel="0" max="7" min="7" style="0" width="65"/>
    <col collapsed="false" customWidth="true" hidden="false" outlineLevel="0" max="9" min="8" style="0" width="17"/>
  </cols>
  <sheetData>
    <row r="2" customFormat="false" ht="19.7" hidden="false" customHeight="false" outlineLevel="0" collapsed="false">
      <c r="C2" s="1" t="s">
        <v>166</v>
      </c>
      <c r="H2" s="11" t="s">
        <v>1</v>
      </c>
      <c r="I2" s="18" t="str">
        <f aca="false">Inputs!D46</f>
        <v>Base</v>
      </c>
    </row>
    <row r="3" customFormat="false" ht="15" hidden="false" customHeight="false" outlineLevel="0" collapsed="false">
      <c r="C3" s="4" t="s">
        <v>2</v>
      </c>
      <c r="D3" s="4"/>
      <c r="E3" s="4"/>
      <c r="F3" s="4"/>
      <c r="G3" s="4"/>
      <c r="H3" s="4"/>
      <c r="I3" s="4"/>
    </row>
    <row r="5" customFormat="false" ht="15" hidden="false" customHeight="false" outlineLevel="0" collapsed="false">
      <c r="C5" s="5" t="s">
        <v>167</v>
      </c>
      <c r="D5" s="5" t="s">
        <v>168</v>
      </c>
      <c r="E5" s="5" t="s">
        <v>169</v>
      </c>
      <c r="F5" s="5" t="s">
        <v>170</v>
      </c>
      <c r="G5" s="5" t="s">
        <v>171</v>
      </c>
    </row>
    <row r="6" customFormat="false" ht="15" hidden="false" customHeight="false" outlineLevel="0" collapsed="false">
      <c r="C6" s="11" t="s">
        <v>172</v>
      </c>
      <c r="D6" s="16" t="n">
        <f aca="false">Inputs!$D$12</f>
        <v>1879.156</v>
      </c>
      <c r="E6" s="16" t="n">
        <f aca="false">Inputs!$D$14</f>
        <v>986.283</v>
      </c>
      <c r="F6" s="16" t="n">
        <f aca="false">Inputs!$D$13</f>
        <v>1708.344</v>
      </c>
      <c r="G6" s="8" t="n">
        <f aca="false">D6-E6+F6</f>
        <v>2601.217</v>
      </c>
    </row>
    <row r="7" customFormat="false" ht="15" hidden="false" customHeight="false" outlineLevel="0" collapsed="false">
      <c r="C7" s="11" t="s">
        <v>173</v>
      </c>
      <c r="D7" s="16" t="n">
        <f aca="false">Inputs!$D$15</f>
        <v>2039.247</v>
      </c>
      <c r="E7" s="16" t="n">
        <f aca="false">Inputs!$D$17</f>
        <v>1026.286</v>
      </c>
      <c r="F7" s="16" t="n">
        <f aca="false">Inputs!$D$16</f>
        <v>1698.654</v>
      </c>
      <c r="G7" s="8" t="n">
        <f aca="false">D7-E7+F7</f>
        <v>2711.615</v>
      </c>
    </row>
    <row r="8" customFormat="false" ht="15" hidden="false" customHeight="false" outlineLevel="0" collapsed="false">
      <c r="C8" s="11" t="s">
        <v>174</v>
      </c>
      <c r="D8" s="16" t="n">
        <f aca="false">Inputs!$D$18</f>
        <v>719.745</v>
      </c>
      <c r="E8" s="16" t="n">
        <f aca="false">Inputs!$D$20</f>
        <v>389.871</v>
      </c>
      <c r="F8" s="16" t="n">
        <f aca="false">Inputs!$D$19</f>
        <v>545.732</v>
      </c>
      <c r="G8" s="8" t="n">
        <f aca="false">D8-E8+F8</f>
        <v>875.606</v>
      </c>
    </row>
    <row r="9" customFormat="false" ht="15" hidden="false" customHeight="false" outlineLevel="0" collapsed="false">
      <c r="C9" s="11" t="s">
        <v>175</v>
      </c>
      <c r="D9" s="16" t="n">
        <f aca="false">Inputs!$D$21</f>
        <v>658.024</v>
      </c>
      <c r="E9" s="16" t="n">
        <f aca="false">Inputs!$D$23</f>
        <v>334.63</v>
      </c>
      <c r="F9" s="16" t="n">
        <f aca="false">Inputs!$D$22</f>
        <v>536.953</v>
      </c>
      <c r="G9" s="8" t="n">
        <f aca="false">D9-E9+F9</f>
        <v>860.347</v>
      </c>
    </row>
    <row r="10" customFormat="false" ht="15" hidden="false" customHeight="false" outlineLevel="0" collapsed="false">
      <c r="C10" s="11" t="s">
        <v>176</v>
      </c>
      <c r="D10" s="16" t="n">
        <f aca="false">Inputs!$D$24</f>
        <v>45.959</v>
      </c>
      <c r="E10" s="16" t="n">
        <f aca="false">Inputs!$D$26</f>
        <v>22.833</v>
      </c>
      <c r="F10" s="16" t="n">
        <f aca="false">Inputs!$D$25</f>
        <v>24.481</v>
      </c>
      <c r="G10" s="8" t="n">
        <f aca="false">D10-E10+F10</f>
        <v>47.607</v>
      </c>
    </row>
    <row r="12" customFormat="false" ht="27.75" hidden="false" customHeight="true" outlineLevel="0" collapsed="false">
      <c r="G12" s="13" t="s">
        <v>177</v>
      </c>
    </row>
    <row r="14" customFormat="false" ht="42" hidden="false" customHeight="true" outlineLevel="0" collapsed="false">
      <c r="G14" s="13" t="s">
        <v>178</v>
      </c>
    </row>
  </sheetData>
  <mergeCells count="1">
    <mergeCell ref="C3:I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3"/>
    <col collapsed="false" customWidth="true" hidden="false" outlineLevel="0" max="4" min="4" style="0" width="80"/>
    <col collapsed="false" customWidth="true" hidden="false" outlineLevel="0" max="5" min="5" style="0" width="100"/>
    <col collapsed="false" customWidth="true" hidden="false" outlineLevel="0" max="6" min="6" style="0" width="17"/>
    <col collapsed="false" customWidth="true" hidden="false" outlineLevel="0" max="7" min="7" style="0" width="65"/>
    <col collapsed="false" customWidth="true" hidden="false" outlineLevel="0" max="9" min="8" style="0" width="17"/>
  </cols>
  <sheetData>
    <row r="2" customFormat="false" ht="19.7" hidden="false" customHeight="false" outlineLevel="0" collapsed="false">
      <c r="C2" s="1" t="s">
        <v>179</v>
      </c>
    </row>
    <row r="3" customFormat="false" ht="15" hidden="false" customHeight="false" outlineLevel="0" collapsed="false">
      <c r="C3" s="4" t="s">
        <v>2</v>
      </c>
      <c r="D3" s="4"/>
      <c r="E3" s="4"/>
      <c r="F3" s="4"/>
      <c r="G3" s="4"/>
      <c r="H3" s="4"/>
      <c r="I3" s="4"/>
    </row>
    <row r="5" customFormat="false" ht="15" hidden="false" customHeight="false" outlineLevel="0" collapsed="false">
      <c r="C5" s="5" t="s">
        <v>180</v>
      </c>
      <c r="D5" s="5" t="s">
        <v>181</v>
      </c>
      <c r="E5" s="5" t="s">
        <v>182</v>
      </c>
    </row>
    <row r="6" customFormat="false" ht="64.5" hidden="false" customHeight="true" outlineLevel="0" collapsed="false">
      <c r="C6" s="11" t="s">
        <v>183</v>
      </c>
      <c r="D6" s="25" t="s">
        <v>184</v>
      </c>
      <c r="E6" s="25" t="s">
        <v>185</v>
      </c>
    </row>
    <row r="7" customFormat="false" ht="64.5" hidden="false" customHeight="true" outlineLevel="0" collapsed="false">
      <c r="C7" s="11" t="s">
        <v>186</v>
      </c>
      <c r="D7" s="25" t="s">
        <v>187</v>
      </c>
      <c r="E7" s="25" t="s">
        <v>188</v>
      </c>
    </row>
    <row r="8" customFormat="false" ht="64.5" hidden="false" customHeight="true" outlineLevel="0" collapsed="false">
      <c r="C8" s="11" t="s">
        <v>189</v>
      </c>
      <c r="D8" s="25" t="s">
        <v>190</v>
      </c>
      <c r="E8" s="25" t="s">
        <v>191</v>
      </c>
    </row>
    <row r="9" customFormat="false" ht="64.5" hidden="false" customHeight="true" outlineLevel="0" collapsed="false">
      <c r="C9" s="11" t="s">
        <v>192</v>
      </c>
      <c r="D9" s="25" t="s">
        <v>193</v>
      </c>
      <c r="E9" s="25" t="s">
        <v>194</v>
      </c>
    </row>
    <row r="10" customFormat="false" ht="64.5" hidden="false" customHeight="true" outlineLevel="0" collapsed="false">
      <c r="C10" s="11" t="s">
        <v>195</v>
      </c>
      <c r="D10" s="25" t="s">
        <v>196</v>
      </c>
      <c r="E10" s="25" t="s">
        <v>197</v>
      </c>
    </row>
    <row r="11" customFormat="false" ht="64.5" hidden="false" customHeight="true" outlineLevel="0" collapsed="false">
      <c r="C11" s="11" t="s">
        <v>198</v>
      </c>
      <c r="D11" s="25" t="s">
        <v>199</v>
      </c>
      <c r="E11" s="25" t="s">
        <v>200</v>
      </c>
    </row>
  </sheetData>
  <mergeCells count="1">
    <mergeCell ref="C3:I3"/>
  </mergeCells>
  <hyperlinks>
    <hyperlink ref="E6" r:id="rId1" display="https://ir.eqt.com/newsroom/news-releases/news-release-details/2026/EQT-Announces-Strategic-Acquisition-of-Range-Resources-Creating-Americas-Undisputed-Natural-Gas-Champion/default.aspx"/>
    <hyperlink ref="E7" r:id="rId2" display="https://ir.eqt.com/newsroom/news-releases/news-release-details/2026/EQT-Reports-Fourth-Quarter-and-Full-Year-2025-Results-and-Provides-2026-Guidance/default.aspx"/>
    <hyperlink ref="E8" r:id="rId3" display="https://ir.eqt.com/investor-relations/news/news-release-details/2026/EQT-Reports-Second-Quarter-2026-Results/default.aspx"/>
    <hyperlink ref="E9" r:id="rId4" display="https://ir.rangeresources.com/node/29286/pdf"/>
    <hyperlink ref="E10" r:id="rId5" display="https://ir.rangeresources.com/static-files/efd9ff3a-a355-40d0-9193-b491b2e7de52"/>
    <hyperlink ref="E11" r:id="rId6" display="https://www.investing.com/news/stock-market-news/eqt-range-resources-tie-up-in-50-billionplus-deal-to-create-us-gas-giant-4972044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2026-10-27T20:52:57Z</dcterms:created>
  <dc:creator>openpyxl</dc:creator>
  <dc:description/>
  <dc:language>en-GB</dc:language>
  <cp:lastModifiedBy/>
  <dcterms:modified xsi:type="dcterms:W3CDTF">2026-10-27T20:52:57Z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