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Inputs" sheetId="2" state="visible" r:id="rId4"/>
    <sheet name="Funding" sheetId="3" state="visible" r:id="rId5"/>
    <sheet name="Alternatives" sheetId="4" state="visible" r:id="rId6"/>
    <sheet name="Conversion" sheetId="5" state="visible" r:id="rId7"/>
    <sheet name="Bond" sheetId="6" state="visible" r:id="rId8"/>
    <sheet name="Position" sheetId="7" state="visible" r:id="rId9"/>
    <sheet name="Sources" sheetId="8" state="visible" r:id="rId10"/>
  </sheets>
  <definedNames>
    <definedName function="false" hidden="false" localSheetId="3" name="_xlnm.Print_Area" vbProcedure="false">Alternatives!$C$2:$I$20</definedName>
    <definedName function="false" hidden="false" localSheetId="5" name="_xlnm.Print_Area" vbProcedure="false">Bond!$C$2:$I$30</definedName>
    <definedName function="false" hidden="false" localSheetId="4" name="_xlnm.Print_Area" vbProcedure="false">Conversion!$C$2:$I$49</definedName>
    <definedName function="false" hidden="false" localSheetId="0" name="_xlnm.Print_Area" vbProcedure="false">Cover!$C$2:$I$19</definedName>
    <definedName function="false" hidden="false" localSheetId="2" name="_xlnm.Print_Area" vbProcedure="false">Funding!$C$2:$I$34</definedName>
    <definedName function="false" hidden="false" localSheetId="1" name="_xlnm.Print_Area" vbProcedure="false">Inputs!$C$2:$I$50</definedName>
    <definedName function="false" hidden="false" localSheetId="6" name="_xlnm.Print_Area" vbProcedure="false">Position!$C$2:$I$19</definedName>
    <definedName function="false" hidden="false" localSheetId="7" name="_xlnm.Print_Area" vbProcedure="false">Sources!$C$2:$I$9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<sst xmlns="http://schemas.openxmlformats.org/spreadsheetml/2006/main" count="308" uniqueCount="217">
  <si>
    <t xml:space="preserve">Meta AI financing</t>
  </si>
  <si>
    <t xml:space="preserve">Case selected</t>
  </si>
  <si>
    <t xml:space="preserve">27 Oct 2026 priced terms. USDm / million securities. Offerings not yet closed.</t>
  </si>
  <si>
    <t xml:space="preserve">ECM / DCM Financing Case</t>
  </si>
  <si>
    <t xml:space="preserve">Result</t>
  </si>
  <si>
    <t xml:space="preserve">Call</t>
  </si>
  <si>
    <t xml:space="preserve">ACCEPT FOR STAGED FUNDING</t>
  </si>
  <si>
    <t xml:space="preserve">Gross priced package (USDm)</t>
  </si>
  <si>
    <t xml:space="preserve">Expected initial net cash (USDm)</t>
  </si>
  <si>
    <t xml:space="preserve">Deferred net proceeds (USDm)</t>
  </si>
  <si>
    <t xml:space="preserve">Annual preferred dividends (USDm)</t>
  </si>
  <si>
    <t xml:space="preserve">Bridge after-tax cost to deadline (USDm)</t>
  </si>
  <si>
    <t xml:space="preserve">Debt alternative annual after-tax coupon (USDm)</t>
  </si>
  <si>
    <t xml:space="preserve">Conditional ATM excluded (USDm)</t>
  </si>
  <si>
    <t xml:space="preserve">Accept the equity-led package for staged investment. If the full amount is required at close, arrange funding for the deferred proceeds. Do not count the planned ATM as cash. This is an issuer financing recommendation, not a Meta stock recommendation.</t>
  </si>
  <si>
    <t xml:space="preserve">Conversion analysis illustrates initial Class A terms. Pending Class C recapitalisation must be modelled before quoting actual 2029 dilution. Final prospectus and forward agreements remain review items.</t>
  </si>
  <si>
    <t xml:space="preserve">Inputs</t>
  </si>
  <si>
    <t xml:space="preserve">Input</t>
  </si>
  <si>
    <t xml:space="preserve">Value</t>
  </si>
  <si>
    <t xml:space="preserve">Units</t>
  </si>
  <si>
    <t xml:space="preserve">Tag</t>
  </si>
  <si>
    <t xml:space="preserve">Source / reasoning</t>
  </si>
  <si>
    <t xml:space="preserve">Depositary shares offered</t>
  </si>
  <si>
    <t xml:space="preserve">m</t>
  </si>
  <si>
    <t xml:space="preserve">S</t>
  </si>
  <si>
    <t xml:space="preserve">PRICING: base offering, excludes option</t>
  </si>
  <si>
    <t xml:space="preserve">Depositary share public price</t>
  </si>
  <si>
    <t xml:space="preserve">USD</t>
  </si>
  <si>
    <t xml:space="preserve">PRICING</t>
  </si>
  <si>
    <t xml:space="preserve">Depositary interests per preferred share</t>
  </si>
  <si>
    <t xml:space="preserve">x</t>
  </si>
  <si>
    <t xml:space="preserve">PRICING: each represents 1/20th</t>
  </si>
  <si>
    <t xml:space="preserve">Liquidation preference per preferred share</t>
  </si>
  <si>
    <t xml:space="preserve">Preferred annual dividend</t>
  </si>
  <si>
    <t xml:space="preserve">%</t>
  </si>
  <si>
    <t xml:space="preserve">PRICING: when declared, cash or shares permitted</t>
  </si>
  <si>
    <t xml:space="preserve">Minimum initial Class A conversion rate</t>
  </si>
  <si>
    <t xml:space="preserve">shares/pref</t>
  </si>
  <si>
    <t xml:space="preserve">PRICING: subject to adjustments and Class C transition</t>
  </si>
  <si>
    <t xml:space="preserve">Maximum initial Class A conversion rate</t>
  </si>
  <si>
    <t xml:space="preserve">Forward common shares</t>
  </si>
  <si>
    <t xml:space="preserve">PRICING: base offer, physical settlement assumption below</t>
  </si>
  <si>
    <t xml:space="preserve">Common public offering price</t>
  </si>
  <si>
    <t xml:space="preserve">PRICING: priced, not a live market quote</t>
  </si>
  <si>
    <t xml:space="preserve">Initial net forward price</t>
  </si>
  <si>
    <t xml:space="preserve">PRICING: approximate, subject to contractual adjustments</t>
  </si>
  <si>
    <t xml:space="preserve">Planned future Class C ATM</t>
  </si>
  <si>
    <t xml:space="preserve">USDm</t>
  </si>
  <si>
    <t xml:space="preserve">LAUNCH: no signed programme; excluded from funded proceeds</t>
  </si>
  <si>
    <t xml:space="preserve">Reported cash and cash equivalents</t>
  </si>
  <si>
    <t xml:space="preserve">Q3: 30 Sep 2026, excludes restricted cash</t>
  </si>
  <si>
    <t xml:space="preserve">Reported marketable securities</t>
  </si>
  <si>
    <t xml:space="preserve">Q3: distinct from cash</t>
  </si>
  <si>
    <t xml:space="preserve">Reported total assets</t>
  </si>
  <si>
    <t xml:space="preserve">Q3: 30 Sep 2026</t>
  </si>
  <si>
    <t xml:space="preserve">Reported total liabilities</t>
  </si>
  <si>
    <t xml:space="preserve">Reported stockholders equity</t>
  </si>
  <si>
    <t xml:space="preserve">Nine-month operating cash flow</t>
  </si>
  <si>
    <t xml:space="preserve">Q3 cash flow reconciliation</t>
  </si>
  <si>
    <t xml:space="preserve">Nine-month cash property/equipment purchases</t>
  </si>
  <si>
    <t xml:space="preserve">Nine-month finance-lease principal payments</t>
  </si>
  <si>
    <t xml:space="preserve">FY2026 capex guidance low</t>
  </si>
  <si>
    <t xml:space="preserve">Q3: includes finance-lease principal</t>
  </si>
  <si>
    <t xml:space="preserve">FY2026 capex guidance high</t>
  </si>
  <si>
    <t xml:space="preserve">Q3: guidance, not capital commitment or financing need</t>
  </si>
  <si>
    <t xml:space="preserve">Preferred issuance cost proxy</t>
  </si>
  <si>
    <t xml:space="preserve">A</t>
  </si>
  <si>
    <t xml:space="preserve">Unverified 20bp; company rounded net proceeds approximately USD12.5bn</t>
  </si>
  <si>
    <t xml:space="preserve">Forward additional expense proxy</t>
  </si>
  <si>
    <t xml:space="preserve">After initial forward price discount, unverified fixed expense</t>
  </si>
  <si>
    <t xml:space="preserve">Net forward price adjustment stress</t>
  </si>
  <si>
    <t xml:space="preserve">Zero base, not a claim that contractual carry/dividend/borrow adjustments are zero</t>
  </si>
  <si>
    <t xml:space="preserve">Immediate common issuance cost proxy</t>
  </si>
  <si>
    <t xml:space="preserve">33.28bp from (625-622.92)/625, applied as a comparison assumption</t>
  </si>
  <si>
    <t xml:space="preserve">Straight-bond issuance cost proxy</t>
  </si>
  <si>
    <t xml:space="preserve">50bp; not an underwriting quote</t>
  </si>
  <si>
    <t xml:space="preserve">Hypothetical bond coupon</t>
  </si>
  <si>
    <t xml:space="preserve">Illustrative five-year issue at par; historical own-note range cross-check only</t>
  </si>
  <si>
    <t xml:space="preserve">Hypothetical bond valuation yield</t>
  </si>
  <si>
    <t xml:space="preserve">Not current trading yield; vary separately from fixed coupon</t>
  </si>
  <si>
    <t xml:space="preserve">Hypothetical bond term</t>
  </si>
  <si>
    <t xml:space="preserve">years</t>
  </si>
  <si>
    <t xml:space="preserve">Annual coupons, bullet repayment; no refinancing assumption</t>
  </si>
  <si>
    <t xml:space="preserve">Incremental debt tax shield</t>
  </si>
  <si>
    <t xml:space="preserve">Illustrative immediately usable 21%; preferred dividends receive no shield</t>
  </si>
  <si>
    <t xml:space="preserve">Bridge interest rate</t>
  </si>
  <si>
    <t xml:space="preserve">Simple ACT/365; available only as an analytical overlay, no facility verified</t>
  </si>
  <si>
    <t xml:space="preserve">Bridge fee</t>
  </si>
  <si>
    <t xml:space="preserve">50bp on funding gap, paid separately from proceeds</t>
  </si>
  <si>
    <t xml:space="preserve">Preferred investor return hurdle</t>
  </si>
  <si>
    <t xml:space="preserve">Illustrative 8% annual required return, not a market-implied yield</t>
  </si>
  <si>
    <t xml:space="preserve">Case: 1 Down / 2 Base / 3 Up</t>
  </si>
  <si>
    <t xml:space="preserve">index</t>
  </si>
  <si>
    <t xml:space="preserve">Initial Class A conversion mechanics only</t>
  </si>
  <si>
    <t xml:space="preserve">Down: final averaging price proxy</t>
  </si>
  <si>
    <t xml:space="preserve">Not a target price or forecast</t>
  </si>
  <si>
    <t xml:space="preserve">Base: final averaging price proxy</t>
  </si>
  <si>
    <t xml:space="preserve">Reference offer price, not a forecast</t>
  </si>
  <si>
    <t xml:space="preserve">Up: final averaging price proxy</t>
  </si>
  <si>
    <t xml:space="preserve">Expected offer close</t>
  </si>
  <si>
    <t xml:space="preserve">Forward settlement deadline, assumed use</t>
  </si>
  <si>
    <t xml:space="preserve">Mandatory preferred conversion</t>
  </si>
  <si>
    <t xml:space="preserve">Active initial Class A reference price</t>
  </si>
  <si>
    <t xml:space="preserve">Funding</t>
  </si>
  <si>
    <t xml:space="preserve">Priced package and cash timing</t>
  </si>
  <si>
    <t xml:space="preserve">Preferred gross proceeds</t>
  </si>
  <si>
    <t xml:space="preserve">Expected preferred net cash at close</t>
  </si>
  <si>
    <t xml:space="preserve">Common forward gross public offering</t>
  </si>
  <si>
    <t xml:space="preserve">Gross priced package</t>
  </si>
  <si>
    <t xml:space="preserve">Initial common net forward proceeds</t>
  </si>
  <si>
    <t xml:space="preserve">Forward price adjustment stress</t>
  </si>
  <si>
    <t xml:space="preserve">Forward extra expense proxy</t>
  </si>
  <si>
    <t xml:space="preserve">Deferred net proceeds</t>
  </si>
  <si>
    <t xml:space="preserve">Total eventual net proceeds</t>
  </si>
  <si>
    <t xml:space="preserve">Cash available at expected offering close</t>
  </si>
  <si>
    <t xml:space="preserve">Share of net proceeds deferred</t>
  </si>
  <si>
    <t xml:space="preserve">Excluded conditional ATM capacity</t>
  </si>
  <si>
    <t xml:space="preserve">Annual preferred dividends</t>
  </si>
  <si>
    <t xml:space="preserve">Bridge interest to latest settlement</t>
  </si>
  <si>
    <t xml:space="preserve">Bridge fee overlay</t>
  </si>
  <si>
    <t xml:space="preserve">Bridge total after assumed tax shield</t>
  </si>
  <si>
    <t xml:space="preserve">Historical nine-month free cash flow</t>
  </si>
  <si>
    <t xml:space="preserve">Reported liquid resources, 30 Sep</t>
  </si>
  <si>
    <t xml:space="preserve">Q4 spend implied by capex guidance, low</t>
  </si>
  <si>
    <t xml:space="preserve">Q4 spend implied by capex guidance, high</t>
  </si>
  <si>
    <t xml:space="preserve">Preferred net proceeds use unverified issuance costs. Common proceeds assume physical settlement at the deadline and a zero base price adjustment; contractual carry, dividends, stock borrow and alternative settlement may change the result.</t>
  </si>
  <si>
    <t xml:space="preserve">Bridge overlay assumes all eventual proceeds are needed at close. It is not a verified loan or Meta funding requirement. Interest and fees are additional cash uses. No ATM cash, options, operating cash flow or prior cash is added to issuance proceeds.</t>
  </si>
  <si>
    <t xml:space="preserve">Historical liquidity includes securities. Free cash flow is nine-month operating cash less capex and finance-lease principal. Q4 capex range is implied spend, not a funding shortfall or forecast cash burn.</t>
  </si>
  <si>
    <t xml:space="preserve">Alternatives</t>
  </si>
  <si>
    <t xml:space="preserve">Same eventual net funding</t>
  </si>
  <si>
    <t xml:space="preserve">Priced package</t>
  </si>
  <si>
    <t xml:space="preserve">Immediate common</t>
  </si>
  <si>
    <t xml:space="preserve">Straight debt</t>
  </si>
  <si>
    <t xml:space="preserve">Net cash at close</t>
  </si>
  <si>
    <t xml:space="preserve">Deferred net cash</t>
  </si>
  <si>
    <t xml:space="preserve">Total net proceeds</t>
  </si>
  <si>
    <t xml:space="preserve">Gap if all proceeds needed at close</t>
  </si>
  <si>
    <t xml:space="preserve">Annual after-tax financing cash charge</t>
  </si>
  <si>
    <t xml:space="preserve">New common at initial forward settlement</t>
  </si>
  <si>
    <t xml:space="preserve">New common at preferred conversion (initial terms)</t>
  </si>
  <si>
    <t xml:space="preserve">Bond face amount</t>
  </si>
  <si>
    <t xml:space="preserve">Bond bullet maturity principal</t>
  </si>
  <si>
    <t xml:space="preserve">Issue-only balance-sheet check</t>
  </si>
  <si>
    <t xml:space="preserve">Annual charge compares preferred cash dividends (no tax deduction) with bond coupons after an assumed 21% tax shield. It excludes common dividends and equity opportunity cost, and does not establish the cheapest source of capital.</t>
  </si>
  <si>
    <t xml:space="preserve">Mixed package shares are an initial Class A reference illustration, not actual 2029 dilution after Class C. All alternatives exclude over-allotments. Straight debt has a five-year bullet and new interest costs; cash charges are not GAAP EPS.</t>
  </si>
  <si>
    <t xml:space="preserve">Conversion</t>
  </si>
  <si>
    <t xml:space="preserve">Initial Class A mechanics only</t>
  </si>
  <si>
    <t xml:space="preserve">Preferred shares, not depositary shares</t>
  </si>
  <si>
    <t xml:space="preserve">Lower conversion price</t>
  </si>
  <si>
    <t xml:space="preserve">Upper conversion price</t>
  </si>
  <si>
    <t xml:space="preserve">Active conversion rate</t>
  </si>
  <si>
    <t xml:space="preserve">Shares delivered, initial terms</t>
  </si>
  <si>
    <t xml:space="preserve">Converted market value</t>
  </si>
  <si>
    <t xml:space="preserve">Illustrative total cash dividends</t>
  </si>
  <si>
    <t xml:space="preserve">Investor total nominal return</t>
  </si>
  <si>
    <t xml:space="preserve">Class C transition and anti-dilution adjustments may change conversion securities, prices and rates. This schedule deliberately illustrates initial terms only. It is not a forecast of actual economic or voting dilution.</t>
  </si>
  <si>
    <t xml:space="preserve">Illustrative dividend date</t>
  </si>
  <si>
    <t xml:space="preserve">30/360 years</t>
  </si>
  <si>
    <t xml:space="preserve">Dividend USDm</t>
  </si>
  <si>
    <t xml:space="preserve">Dividend PV</t>
  </si>
  <si>
    <t xml:space="preserve">All dividends assumed declared and paid in cash. Analyst 30/360 approximation includes first stub; verify final prospectus day count. No share-paid dividends, arrears or early/fundamental-change conversion.</t>
  </si>
  <si>
    <t xml:space="preserve">Price reference</t>
  </si>
  <si>
    <t xml:space="preserve">Conversion rate</t>
  </si>
  <si>
    <t xml:space="preserve">New shares</t>
  </si>
  <si>
    <t xml:space="preserve">Capital value</t>
  </si>
  <si>
    <t xml:space="preserve">Return incl dividends</t>
  </si>
  <si>
    <t xml:space="preserve">PV of assumed cash dividends</t>
  </si>
  <si>
    <t xml:space="preserve">Required terminal value at investor hurdle</t>
  </si>
  <si>
    <t xml:space="preserve">Initial Class A price meeting investor hurdle</t>
  </si>
  <si>
    <t xml:space="preserve">Deterministic price at the selected return hurdle; not an option valuation, market forecast or actual Class C price. Cash dividends assumed certain for this illustration. Conversion-rate rounding creates small boundary differences.</t>
  </si>
  <si>
    <t xml:space="preserve">Bond</t>
  </si>
  <si>
    <t xml:space="preserve">Hypothetical five-year debt</t>
  </si>
  <si>
    <t xml:space="preserve">Face needed for matched net proceeds</t>
  </si>
  <si>
    <t xml:space="preserve">Annual coupon cash</t>
  </si>
  <si>
    <t xml:space="preserve">Effective yield including issuance costs</t>
  </si>
  <si>
    <t xml:space="preserve">Price per 100 at selected yield</t>
  </si>
  <si>
    <t xml:space="preserve">Benchmark total cash coupon, five years</t>
  </si>
  <si>
    <t xml:space="preserve">Hypothetical debt, not an announced bond or market quote. Fixed coupon and selected valuation yield are separate. Own May 2026 notes provide a historical coupon range only, not comparable live yields.</t>
  </si>
  <si>
    <t xml:space="preserve">Year</t>
  </si>
  <si>
    <t xml:space="preserve">Opening carrying</t>
  </si>
  <si>
    <t xml:space="preserve">Cash coupon</t>
  </si>
  <si>
    <t xml:space="preserve">Effective interest</t>
  </si>
  <si>
    <t xml:space="preserve">Fee amortisation</t>
  </si>
  <si>
    <t xml:space="preserve">Principal</t>
  </si>
  <si>
    <t xml:space="preserve">Closing carrying</t>
  </si>
  <si>
    <t xml:space="preserve">Assumed yield</t>
  </si>
  <si>
    <t xml:space="preserve">Price per 100</t>
  </si>
  <si>
    <t xml:space="preserve">Five-year annual schedule is fixed. Change coupon, yield or fee for sensitivities; changing maturity requires rebuilding the schedule. Principal is a cash outflow at maturity, not a financing expense.</t>
  </si>
  <si>
    <t xml:space="preserve">Position</t>
  </si>
  <si>
    <t xml:space="preserve">Issue-only snapshot</t>
  </si>
  <si>
    <t xml:space="preserve">Package close</t>
  </si>
  <si>
    <t xml:space="preserve">Package settled</t>
  </si>
  <si>
    <t xml:space="preserve">Reported opening cash</t>
  </si>
  <si>
    <t xml:space="preserve">Net issuance cash</t>
  </si>
  <si>
    <t xml:space="preserve">Pro forma cash before deployment</t>
  </si>
  <si>
    <t xml:space="preserve">Total assets</t>
  </si>
  <si>
    <t xml:space="preserve">Liabilities plus equity capital</t>
  </si>
  <si>
    <t xml:space="preserve">Balance difference</t>
  </si>
  <si>
    <t xml:space="preserve">Liabilities</t>
  </si>
  <si>
    <t xml:space="preserve">Equity capital</t>
  </si>
  <si>
    <t xml:space="preserve">Static issuance bridge on 30 Sep balances, not a forecast balance sheet at future dates. Proceeds retained as cash; no capex, operating flows, bridge overlay, dividends or other balance changes. Securities remain separate from cash.</t>
  </si>
  <si>
    <t xml:space="preserve">Preferred treated as equity capital and issuance costs deducted from equity. New bond costs reduce carrying debt. Final classification, existing instruments and forward derivative accounting unverified. Package settled excludes any intervening dividends.</t>
  </si>
  <si>
    <t xml:space="preserve">Sources</t>
  </si>
  <si>
    <t xml:space="preserve">ID</t>
  </si>
  <si>
    <t xml:space="preserve">Document / locator</t>
  </si>
  <si>
    <t xml:space="preserve">URL</t>
  </si>
  <si>
    <t xml:space="preserve">Meta, 27 Oct 2026 pricing release: offer sizes, prices, conversion limits, dividends and forward cash timing</t>
  </si>
  <si>
    <t xml:space="preserve">https://investor.atmeta.com/investor-news/press-release-details/2026/Meta-Announces-Pricing-of-Offering-of-Depositary-Shares-Representing-Series-A-Mandatory-Convertible-Preferred-Stock-and-Offering-of-Class-A-Common-Stock-in-Connection-with-Forward-Sale-Agreements/default.aspx</t>
  </si>
  <si>
    <t xml:space="preserve">LAUNCH</t>
  </si>
  <si>
    <t xml:space="preserve">Meta, 26 Oct 2026 launch: financing plan, conditional ATM and AI investment</t>
  </si>
  <si>
    <t xml:space="preserve">https://investor.atmeta.com/investor-news/press-release-details/2026/Meta-Announces-Launch-of-Offering-of-Depositary-Shares-Representing-Series-A-Mandatory-Convertible-Preferred-Stock-and-Offering-of-Class-A-Common-Stock-in-Connection-with-Forward-Sale-Agreements/default.aspx</t>
  </si>
  <si>
    <t xml:space="preserve">Q3</t>
  </si>
  <si>
    <t xml:space="preserve">Meta Q3 2026 release, 21 Oct: September balance sheet, nine-month cash flow, FY capex guidance, Class C discussion</t>
  </si>
  <si>
    <t xml:space="preserve">https://investor.atmeta.com/investor-news/press-release-details/2026/Meta-Reports-Third-Quarter-2026-Results/default.aspx</t>
  </si>
  <si>
    <t xml:space="preserve">Q2SEC</t>
  </si>
  <si>
    <t xml:space="preserve">Meta June 2026 10-Q, Note 8: May notes coupon range 4.55%-6.45%; historical terms, not current yields</t>
  </si>
  <si>
    <t xml:space="preserve">https://www.sec.gov/Archives/edgar/data/1326801/000162828026050705/meta-20260630.htm</t>
  </si>
</sst>
</file>

<file path=xl/styles.xml><?xml version="1.0" encoding="utf-8"?>
<styleSheet xmlns="http://schemas.openxmlformats.org/spreadsheetml/2006/main">
  <numFmts count="7">
    <numFmt numFmtId="164" formatCode="General"/>
    <numFmt numFmtId="165" formatCode="#,##0.0;\(#,##0.0\);\-"/>
    <numFmt numFmtId="166" formatCode="0.0%;\(0.0%\);\-"/>
    <numFmt numFmtId="167" formatCode="0.0000"/>
    <numFmt numFmtId="168" formatCode="d\-mmm\-yyyy"/>
    <numFmt numFmtId="169" formatCode="0.00"/>
    <numFmt numFmtId="170" formatCode="0.000"/>
  </numFmts>
  <fonts count="1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000000"/>
      <name val="Arial"/>
      <family val="0"/>
      <charset val="1"/>
    </font>
    <font>
      <sz val="10"/>
      <color rgb="FF008000"/>
      <name val="Arial"/>
      <family val="0"/>
      <charset val="1"/>
    </font>
    <font>
      <i val="true"/>
      <sz val="10"/>
      <name val="Arial"/>
      <family val="0"/>
      <charset val="1"/>
    </font>
    <font>
      <b val="true"/>
      <sz val="10"/>
      <color rgb="FFFFFFFF"/>
      <name val="Arial"/>
      <family val="0"/>
      <charset val="1"/>
    </font>
    <font>
      <sz val="10"/>
      <color rgb="FF222222"/>
      <name val="Arial"/>
      <family val="0"/>
      <charset val="1"/>
    </font>
    <font>
      <sz val="10"/>
      <color rgb="FF0000FF"/>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5" fontId="5" fillId="0" borderId="0" xfId="0" applyFont="true" applyBorder="true" applyAlignment="true" applyProtection="false">
      <alignment horizontal="lef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5" fontId="10" fillId="3"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6" fontId="10" fillId="3" borderId="0" xfId="0" applyFont="true" applyBorder="false" applyAlignment="true" applyProtection="false">
      <alignment horizontal="right" vertical="center" textRotation="0" wrapText="false" indent="0" shrinkToFit="false"/>
      <protection locked="true" hidden="false"/>
    </xf>
    <xf numFmtId="167" fontId="10" fillId="3" borderId="0" xfId="0" applyFont="true" applyBorder="false" applyAlignment="true" applyProtection="false">
      <alignment horizontal="right" vertical="center" textRotation="0" wrapText="false" indent="0" shrinkToFit="false"/>
      <protection locked="true" hidden="false"/>
    </xf>
    <xf numFmtId="168" fontId="10" fillId="0" borderId="0" xfId="0" applyFont="true" applyBorder="false" applyAlignment="true" applyProtection="false">
      <alignment horizontal="right"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70" fontId="5" fillId="0" borderId="0" xfId="0" applyFont="true" applyBorder="false" applyAlignment="true" applyProtection="false">
      <alignment horizontal="right" vertical="center" textRotation="0" wrapText="fals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7" fontId="5" fillId="0" borderId="0" xfId="0" applyFont="true" applyBorder="false" applyAlignment="true" applyProtection="false">
      <alignment horizontal="right" vertical="center" textRotation="0" wrapText="false" indent="0" shrinkToFit="false"/>
      <protection locked="true" hidden="false"/>
    </xf>
    <xf numFmtId="165" fontId="10"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9" fontId="5"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9C0006"/>
      </font>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6E8BB5"/>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investor.atmeta.com/investor-news/press-release-details/2026/Meta-Announces-Pricing-of-Offering-of-Depositary-Shares-Representing-Series-A-Mandatory-Convertible-Preferred-Stock-and-Offering-of-Class-A-Common-Stock-in-Connection-with-Forward-Sale-Agreements/default.aspx" TargetMode="External"/><Relationship Id="rId2" Type="http://schemas.openxmlformats.org/officeDocument/2006/relationships/hyperlink" Target="https://investor.atmeta.com/investor-news/press-release-details/2026/Meta-Announces-Launch-of-Offering-of-Depositary-Shares-Representing-Series-A-Mandatory-Convertible-Preferred-Stock-and-Offering-of-Class-A-Common-Stock-in-Connection-with-Forward-Sale-Agreements/default.aspx" TargetMode="External"/><Relationship Id="rId3" Type="http://schemas.openxmlformats.org/officeDocument/2006/relationships/hyperlink" Target="https://investor.atmeta.com/investor-news/press-release-details/2026/Meta-Reports-Third-Quarter-2026-Results/default.aspx" TargetMode="External"/><Relationship Id="rId4" Type="http://schemas.openxmlformats.org/officeDocument/2006/relationships/hyperlink" Target="https://www.sec.gov/Archives/edgar/data/1326801/000162828026050705/meta-20260630.ht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C2: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0</v>
      </c>
      <c r="H2" s="2"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3</v>
      </c>
      <c r="D5" s="5" t="s">
        <v>4</v>
      </c>
    </row>
    <row r="6" customFormat="false" ht="15" hidden="false" customHeight="false" outlineLevel="0" collapsed="false">
      <c r="C6" s="2" t="s">
        <v>5</v>
      </c>
      <c r="D6" s="6" t="s">
        <v>6</v>
      </c>
      <c r="E6" s="6"/>
      <c r="F6" s="6"/>
      <c r="G6" s="6"/>
    </row>
    <row r="8" customFormat="false" ht="15" hidden="false" customHeight="false" outlineLevel="0" collapsed="false">
      <c r="C8" s="2" t="s">
        <v>7</v>
      </c>
      <c r="D8" s="7" t="n">
        <f aca="false">Funding!D10</f>
        <v>37500</v>
      </c>
    </row>
    <row r="9" customFormat="false" ht="15" hidden="false" customHeight="false" outlineLevel="0" collapsed="false">
      <c r="C9" s="2" t="s">
        <v>8</v>
      </c>
      <c r="D9" s="7" t="n">
        <f aca="false">Funding!D16</f>
        <v>12475</v>
      </c>
    </row>
    <row r="10" customFormat="false" ht="15" hidden="false" customHeight="false" outlineLevel="0" collapsed="false">
      <c r="C10" s="2" t="s">
        <v>9</v>
      </c>
      <c r="D10" s="7" t="n">
        <f aca="false">Funding!D14</f>
        <v>24906.8</v>
      </c>
    </row>
    <row r="11" customFormat="false" ht="15" hidden="false" customHeight="false" outlineLevel="0" collapsed="false">
      <c r="C11" s="2" t="s">
        <v>10</v>
      </c>
      <c r="D11" s="7" t="n">
        <f aca="false">Funding!D19</f>
        <v>812.5</v>
      </c>
    </row>
    <row r="12" customFormat="false" ht="15" hidden="false" customHeight="false" outlineLevel="0" collapsed="false">
      <c r="C12" s="2" t="s">
        <v>11</v>
      </c>
      <c r="D12" s="7" t="n">
        <f aca="false">Funding!D22</f>
        <v>1242.84590810959</v>
      </c>
    </row>
    <row r="13" customFormat="false" ht="15" hidden="false" customHeight="false" outlineLevel="0" collapsed="false">
      <c r="C13" s="2" t="s">
        <v>12</v>
      </c>
      <c r="D13" s="7" t="n">
        <f aca="false">Alternatives!F10</f>
        <v>1632.4012160804</v>
      </c>
    </row>
    <row r="14" customFormat="false" ht="15" hidden="false" customHeight="false" outlineLevel="0" collapsed="false">
      <c r="C14" s="2" t="s">
        <v>13</v>
      </c>
      <c r="D14" s="7" t="n">
        <f aca="false">Funding!D18</f>
        <v>60000</v>
      </c>
    </row>
    <row r="17" customFormat="false" ht="30" hidden="false" customHeight="true" outlineLevel="0" collapsed="false">
      <c r="C17" s="8" t="s">
        <v>14</v>
      </c>
      <c r="D17" s="8"/>
      <c r="E17" s="8"/>
      <c r="F17" s="8"/>
      <c r="G17" s="8"/>
      <c r="H17" s="8"/>
      <c r="I17" s="8"/>
    </row>
    <row r="19" customFormat="false" ht="30" hidden="false" customHeight="true" outlineLevel="0" collapsed="false">
      <c r="C19" s="8" t="s">
        <v>15</v>
      </c>
      <c r="D19" s="8"/>
      <c r="E19" s="8"/>
      <c r="F19" s="8"/>
      <c r="G19" s="8"/>
      <c r="H19" s="8"/>
      <c r="I19" s="8"/>
    </row>
  </sheetData>
  <mergeCells count="4">
    <mergeCell ref="C3:I3"/>
    <mergeCell ref="D6:G6"/>
    <mergeCell ref="C17:I17"/>
    <mergeCell ref="C19:I19"/>
  </mergeCells>
  <conditionalFormatting sqref="D6:I19">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E8BB5"/>
    <pageSetUpPr fitToPage="true"/>
  </sheetPr>
  <dimension ref="C2: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6" min="4" style="0" width="19"/>
    <col collapsed="false" customWidth="true" hidden="false" outlineLevel="0" max="7" min="7" style="0" width="88"/>
    <col collapsed="false" customWidth="true" hidden="false" outlineLevel="0" max="9" min="8" style="0" width="19"/>
  </cols>
  <sheetData>
    <row r="2" customFormat="false" ht="19.7" hidden="false" customHeight="false" outlineLevel="0" collapsed="false">
      <c r="C2" s="1" t="s">
        <v>16</v>
      </c>
    </row>
    <row r="3" customFormat="false" ht="15" hidden="false" customHeight="false" outlineLevel="0" collapsed="false">
      <c r="C3" s="4" t="s">
        <v>2</v>
      </c>
      <c r="D3" s="4"/>
      <c r="E3" s="4"/>
      <c r="F3" s="4"/>
      <c r="G3" s="4"/>
      <c r="H3" s="4"/>
      <c r="I3" s="4"/>
    </row>
    <row r="5" customFormat="false" ht="15" hidden="false" customHeight="false" outlineLevel="0" collapsed="false">
      <c r="C5" s="5" t="s">
        <v>17</v>
      </c>
      <c r="D5" s="5" t="s">
        <v>18</v>
      </c>
      <c r="E5" s="5" t="s">
        <v>19</v>
      </c>
      <c r="F5" s="5" t="s">
        <v>20</v>
      </c>
      <c r="G5" s="5" t="s">
        <v>21</v>
      </c>
    </row>
    <row r="6" customFormat="false" ht="30" hidden="false" customHeight="true" outlineLevel="0" collapsed="false">
      <c r="C6" s="9" t="s">
        <v>22</v>
      </c>
      <c r="D6" s="10" t="n">
        <v>250</v>
      </c>
      <c r="E6" s="9" t="s">
        <v>23</v>
      </c>
      <c r="F6" s="9" t="s">
        <v>24</v>
      </c>
      <c r="G6" s="11" t="s">
        <v>25</v>
      </c>
    </row>
    <row r="7" customFormat="false" ht="30" hidden="false" customHeight="true" outlineLevel="0" collapsed="false">
      <c r="C7" s="9" t="s">
        <v>26</v>
      </c>
      <c r="D7" s="10" t="n">
        <v>50</v>
      </c>
      <c r="E7" s="9" t="s">
        <v>27</v>
      </c>
      <c r="F7" s="9" t="s">
        <v>24</v>
      </c>
      <c r="G7" s="11" t="s">
        <v>28</v>
      </c>
    </row>
    <row r="8" customFormat="false" ht="30" hidden="false" customHeight="true" outlineLevel="0" collapsed="false">
      <c r="C8" s="9" t="s">
        <v>29</v>
      </c>
      <c r="D8" s="10" t="n">
        <v>20</v>
      </c>
      <c r="E8" s="9" t="s">
        <v>30</v>
      </c>
      <c r="F8" s="9" t="s">
        <v>24</v>
      </c>
      <c r="G8" s="11" t="s">
        <v>31</v>
      </c>
    </row>
    <row r="9" customFormat="false" ht="30" hidden="false" customHeight="true" outlineLevel="0" collapsed="false">
      <c r="C9" s="9" t="s">
        <v>32</v>
      </c>
      <c r="D9" s="10" t="n">
        <v>1000</v>
      </c>
      <c r="E9" s="9" t="s">
        <v>27</v>
      </c>
      <c r="F9" s="9" t="s">
        <v>24</v>
      </c>
      <c r="G9" s="11" t="s">
        <v>28</v>
      </c>
    </row>
    <row r="10" customFormat="false" ht="30" hidden="false" customHeight="true" outlineLevel="0" collapsed="false">
      <c r="C10" s="9" t="s">
        <v>33</v>
      </c>
      <c r="D10" s="12" t="n">
        <v>0.065</v>
      </c>
      <c r="E10" s="9" t="s">
        <v>34</v>
      </c>
      <c r="F10" s="9" t="s">
        <v>24</v>
      </c>
      <c r="G10" s="11" t="s">
        <v>35</v>
      </c>
    </row>
    <row r="11" customFormat="false" ht="30" hidden="false" customHeight="true" outlineLevel="0" collapsed="false">
      <c r="C11" s="9" t="s">
        <v>36</v>
      </c>
      <c r="D11" s="13" t="n">
        <v>1.362</v>
      </c>
      <c r="E11" s="9" t="s">
        <v>37</v>
      </c>
      <c r="F11" s="9" t="s">
        <v>24</v>
      </c>
      <c r="G11" s="11" t="s">
        <v>38</v>
      </c>
    </row>
    <row r="12" customFormat="false" ht="30" hidden="false" customHeight="true" outlineLevel="0" collapsed="false">
      <c r="C12" s="9" t="s">
        <v>39</v>
      </c>
      <c r="D12" s="13" t="n">
        <v>1.6</v>
      </c>
      <c r="E12" s="9" t="s">
        <v>37</v>
      </c>
      <c r="F12" s="9" t="s">
        <v>24</v>
      </c>
      <c r="G12" s="11" t="s">
        <v>38</v>
      </c>
    </row>
    <row r="13" customFormat="false" ht="30" hidden="false" customHeight="true" outlineLevel="0" collapsed="false">
      <c r="C13" s="9" t="s">
        <v>40</v>
      </c>
      <c r="D13" s="10" t="n">
        <v>40</v>
      </c>
      <c r="E13" s="9" t="s">
        <v>23</v>
      </c>
      <c r="F13" s="9" t="s">
        <v>24</v>
      </c>
      <c r="G13" s="11" t="s">
        <v>41</v>
      </c>
    </row>
    <row r="14" customFormat="false" ht="30" hidden="false" customHeight="true" outlineLevel="0" collapsed="false">
      <c r="C14" s="9" t="s">
        <v>42</v>
      </c>
      <c r="D14" s="10" t="n">
        <v>625</v>
      </c>
      <c r="E14" s="9" t="s">
        <v>27</v>
      </c>
      <c r="F14" s="9" t="s">
        <v>24</v>
      </c>
      <c r="G14" s="11" t="s">
        <v>43</v>
      </c>
    </row>
    <row r="15" customFormat="false" ht="30" hidden="false" customHeight="true" outlineLevel="0" collapsed="false">
      <c r="C15" s="9" t="s">
        <v>44</v>
      </c>
      <c r="D15" s="10" t="n">
        <v>622.92</v>
      </c>
      <c r="E15" s="9" t="s">
        <v>27</v>
      </c>
      <c r="F15" s="9" t="s">
        <v>24</v>
      </c>
      <c r="G15" s="11" t="s">
        <v>45</v>
      </c>
    </row>
    <row r="16" customFormat="false" ht="30" hidden="false" customHeight="true" outlineLevel="0" collapsed="false">
      <c r="C16" s="9" t="s">
        <v>46</v>
      </c>
      <c r="D16" s="10" t="n">
        <v>60000</v>
      </c>
      <c r="E16" s="9" t="s">
        <v>47</v>
      </c>
      <c r="F16" s="9" t="s">
        <v>24</v>
      </c>
      <c r="G16" s="11" t="s">
        <v>48</v>
      </c>
    </row>
    <row r="17" customFormat="false" ht="30" hidden="false" customHeight="true" outlineLevel="0" collapsed="false">
      <c r="C17" s="9" t="s">
        <v>49</v>
      </c>
      <c r="D17" s="10" t="n">
        <v>11222</v>
      </c>
      <c r="E17" s="9" t="s">
        <v>47</v>
      </c>
      <c r="F17" s="9" t="s">
        <v>24</v>
      </c>
      <c r="G17" s="11" t="s">
        <v>50</v>
      </c>
    </row>
    <row r="18" customFormat="false" ht="30" hidden="false" customHeight="true" outlineLevel="0" collapsed="false">
      <c r="C18" s="9" t="s">
        <v>51</v>
      </c>
      <c r="D18" s="10" t="n">
        <v>71227</v>
      </c>
      <c r="E18" s="9" t="s">
        <v>47</v>
      </c>
      <c r="F18" s="9" t="s">
        <v>24</v>
      </c>
      <c r="G18" s="11" t="s">
        <v>52</v>
      </c>
    </row>
    <row r="19" customFormat="false" ht="30" hidden="false" customHeight="true" outlineLevel="0" collapsed="false">
      <c r="C19" s="9" t="s">
        <v>53</v>
      </c>
      <c r="D19" s="10" t="n">
        <v>478836</v>
      </c>
      <c r="E19" s="9" t="s">
        <v>47</v>
      </c>
      <c r="F19" s="9" t="s">
        <v>24</v>
      </c>
      <c r="G19" s="11" t="s">
        <v>54</v>
      </c>
    </row>
    <row r="20" customFormat="false" ht="30" hidden="false" customHeight="true" outlineLevel="0" collapsed="false">
      <c r="C20" s="9" t="s">
        <v>55</v>
      </c>
      <c r="D20" s="10" t="n">
        <v>206450</v>
      </c>
      <c r="E20" s="9" t="s">
        <v>47</v>
      </c>
      <c r="F20" s="9" t="s">
        <v>24</v>
      </c>
      <c r="G20" s="11" t="s">
        <v>54</v>
      </c>
    </row>
    <row r="21" customFormat="false" ht="30" hidden="false" customHeight="true" outlineLevel="0" collapsed="false">
      <c r="C21" s="9" t="s">
        <v>56</v>
      </c>
      <c r="D21" s="10" t="n">
        <v>272386</v>
      </c>
      <c r="E21" s="9" t="s">
        <v>47</v>
      </c>
      <c r="F21" s="9" t="s">
        <v>24</v>
      </c>
      <c r="G21" s="11" t="s">
        <v>54</v>
      </c>
    </row>
    <row r="22" customFormat="false" ht="30" hidden="false" customHeight="true" outlineLevel="0" collapsed="false">
      <c r="C22" s="9" t="s">
        <v>57</v>
      </c>
      <c r="D22" s="10" t="n">
        <v>96873</v>
      </c>
      <c r="E22" s="9" t="s">
        <v>47</v>
      </c>
      <c r="F22" s="9" t="s">
        <v>24</v>
      </c>
      <c r="G22" s="11" t="s">
        <v>58</v>
      </c>
    </row>
    <row r="23" customFormat="false" ht="30" hidden="false" customHeight="true" outlineLevel="0" collapsed="false">
      <c r="C23" s="9" t="s">
        <v>59</v>
      </c>
      <c r="D23" s="10" t="n">
        <v>83055</v>
      </c>
      <c r="E23" s="9" t="s">
        <v>47</v>
      </c>
      <c r="F23" s="9" t="s">
        <v>24</v>
      </c>
      <c r="G23" s="11" t="s">
        <v>58</v>
      </c>
    </row>
    <row r="24" customFormat="false" ht="30" hidden="false" customHeight="true" outlineLevel="0" collapsed="false">
      <c r="C24" s="9" t="s">
        <v>60</v>
      </c>
      <c r="D24" s="10" t="n">
        <v>2769</v>
      </c>
      <c r="E24" s="9" t="s">
        <v>47</v>
      </c>
      <c r="F24" s="9" t="s">
        <v>24</v>
      </c>
      <c r="G24" s="11" t="s">
        <v>58</v>
      </c>
    </row>
    <row r="25" customFormat="false" ht="30" hidden="false" customHeight="true" outlineLevel="0" collapsed="false">
      <c r="C25" s="9" t="s">
        <v>61</v>
      </c>
      <c r="D25" s="10" t="n">
        <v>135000</v>
      </c>
      <c r="E25" s="9" t="s">
        <v>47</v>
      </c>
      <c r="F25" s="9" t="s">
        <v>24</v>
      </c>
      <c r="G25" s="11" t="s">
        <v>62</v>
      </c>
    </row>
    <row r="26" customFormat="false" ht="30" hidden="false" customHeight="true" outlineLevel="0" collapsed="false">
      <c r="C26" s="9" t="s">
        <v>63</v>
      </c>
      <c r="D26" s="10" t="n">
        <v>145000</v>
      </c>
      <c r="E26" s="9" t="s">
        <v>47</v>
      </c>
      <c r="F26" s="9" t="s">
        <v>24</v>
      </c>
      <c r="G26" s="11" t="s">
        <v>64</v>
      </c>
    </row>
    <row r="27" customFormat="false" ht="30" hidden="false" customHeight="true" outlineLevel="0" collapsed="false">
      <c r="C27" s="9" t="s">
        <v>65</v>
      </c>
      <c r="D27" s="12" t="n">
        <v>0.002</v>
      </c>
      <c r="E27" s="9" t="s">
        <v>34</v>
      </c>
      <c r="F27" s="9" t="s">
        <v>66</v>
      </c>
      <c r="G27" s="11" t="s">
        <v>67</v>
      </c>
    </row>
    <row r="28" customFormat="false" ht="30" hidden="false" customHeight="true" outlineLevel="0" collapsed="false">
      <c r="C28" s="9" t="s">
        <v>68</v>
      </c>
      <c r="D28" s="10" t="n">
        <v>10</v>
      </c>
      <c r="E28" s="9" t="s">
        <v>47</v>
      </c>
      <c r="F28" s="9" t="s">
        <v>66</v>
      </c>
      <c r="G28" s="11" t="s">
        <v>69</v>
      </c>
    </row>
    <row r="29" customFormat="false" ht="30" hidden="false" customHeight="true" outlineLevel="0" collapsed="false">
      <c r="C29" s="9" t="s">
        <v>70</v>
      </c>
      <c r="D29" s="12" t="n">
        <v>0</v>
      </c>
      <c r="E29" s="9" t="s">
        <v>34</v>
      </c>
      <c r="F29" s="9" t="s">
        <v>66</v>
      </c>
      <c r="G29" s="11" t="s">
        <v>71</v>
      </c>
    </row>
    <row r="30" customFormat="false" ht="30" hidden="false" customHeight="true" outlineLevel="0" collapsed="false">
      <c r="C30" s="9" t="s">
        <v>72</v>
      </c>
      <c r="D30" s="12" t="n">
        <v>0.003328</v>
      </c>
      <c r="E30" s="9" t="s">
        <v>34</v>
      </c>
      <c r="F30" s="9" t="s">
        <v>66</v>
      </c>
      <c r="G30" s="11" t="s">
        <v>73</v>
      </c>
    </row>
    <row r="31" customFormat="false" ht="30" hidden="false" customHeight="true" outlineLevel="0" collapsed="false">
      <c r="C31" s="9" t="s">
        <v>74</v>
      </c>
      <c r="D31" s="12" t="n">
        <v>0.005</v>
      </c>
      <c r="E31" s="9" t="s">
        <v>34</v>
      </c>
      <c r="F31" s="9" t="s">
        <v>66</v>
      </c>
      <c r="G31" s="11" t="s">
        <v>75</v>
      </c>
    </row>
    <row r="32" customFormat="false" ht="30" hidden="false" customHeight="true" outlineLevel="0" collapsed="false">
      <c r="C32" s="9" t="s">
        <v>76</v>
      </c>
      <c r="D32" s="12" t="n">
        <v>0.055</v>
      </c>
      <c r="E32" s="9" t="s">
        <v>34</v>
      </c>
      <c r="F32" s="9" t="s">
        <v>66</v>
      </c>
      <c r="G32" s="11" t="s">
        <v>77</v>
      </c>
    </row>
    <row r="33" customFormat="false" ht="30" hidden="false" customHeight="true" outlineLevel="0" collapsed="false">
      <c r="C33" s="9" t="s">
        <v>78</v>
      </c>
      <c r="D33" s="12" t="n">
        <v>0.055</v>
      </c>
      <c r="E33" s="9" t="s">
        <v>34</v>
      </c>
      <c r="F33" s="9" t="s">
        <v>66</v>
      </c>
      <c r="G33" s="11" t="s">
        <v>79</v>
      </c>
    </row>
    <row r="34" customFormat="false" ht="30" hidden="false" customHeight="true" outlineLevel="0" collapsed="false">
      <c r="C34" s="9" t="s">
        <v>80</v>
      </c>
      <c r="D34" s="10" t="n">
        <v>5</v>
      </c>
      <c r="E34" s="9" t="s">
        <v>81</v>
      </c>
      <c r="F34" s="9" t="s">
        <v>66</v>
      </c>
      <c r="G34" s="11" t="s">
        <v>82</v>
      </c>
    </row>
    <row r="35" customFormat="false" ht="30" hidden="false" customHeight="true" outlineLevel="0" collapsed="false">
      <c r="C35" s="9" t="s">
        <v>83</v>
      </c>
      <c r="D35" s="12" t="n">
        <v>0.21</v>
      </c>
      <c r="E35" s="9" t="s">
        <v>34</v>
      </c>
      <c r="F35" s="9" t="s">
        <v>66</v>
      </c>
      <c r="G35" s="11" t="s">
        <v>84</v>
      </c>
    </row>
    <row r="36" customFormat="false" ht="30" hidden="false" customHeight="true" outlineLevel="0" collapsed="false">
      <c r="C36" s="9" t="s">
        <v>85</v>
      </c>
      <c r="D36" s="12" t="n">
        <v>0.055</v>
      </c>
      <c r="E36" s="9" t="s">
        <v>34</v>
      </c>
      <c r="F36" s="9" t="s">
        <v>66</v>
      </c>
      <c r="G36" s="11" t="s">
        <v>86</v>
      </c>
    </row>
    <row r="37" customFormat="false" ht="30" hidden="false" customHeight="true" outlineLevel="0" collapsed="false">
      <c r="C37" s="9" t="s">
        <v>87</v>
      </c>
      <c r="D37" s="12" t="n">
        <v>0.005</v>
      </c>
      <c r="E37" s="9" t="s">
        <v>34</v>
      </c>
      <c r="F37" s="9" t="s">
        <v>66</v>
      </c>
      <c r="G37" s="11" t="s">
        <v>88</v>
      </c>
    </row>
    <row r="38" customFormat="false" ht="30" hidden="false" customHeight="true" outlineLevel="0" collapsed="false">
      <c r="C38" s="9" t="s">
        <v>89</v>
      </c>
      <c r="D38" s="12" t="n">
        <v>0.08</v>
      </c>
      <c r="E38" s="9" t="s">
        <v>34</v>
      </c>
      <c r="F38" s="9" t="s">
        <v>66</v>
      </c>
      <c r="G38" s="11" t="s">
        <v>90</v>
      </c>
    </row>
    <row r="39" customFormat="false" ht="30" hidden="false" customHeight="true" outlineLevel="0" collapsed="false">
      <c r="C39" s="9" t="s">
        <v>91</v>
      </c>
      <c r="D39" s="10" t="n">
        <v>2</v>
      </c>
      <c r="E39" s="9" t="s">
        <v>92</v>
      </c>
      <c r="F39" s="9" t="s">
        <v>66</v>
      </c>
      <c r="G39" s="11" t="s">
        <v>93</v>
      </c>
    </row>
    <row r="40" customFormat="false" ht="30" hidden="false" customHeight="true" outlineLevel="0" collapsed="false">
      <c r="C40" s="9" t="s">
        <v>94</v>
      </c>
      <c r="D40" s="10" t="n">
        <v>400</v>
      </c>
      <c r="E40" s="9" t="s">
        <v>27</v>
      </c>
      <c r="F40" s="9" t="s">
        <v>66</v>
      </c>
      <c r="G40" s="11" t="s">
        <v>95</v>
      </c>
    </row>
    <row r="41" customFormat="false" ht="30" hidden="false" customHeight="true" outlineLevel="0" collapsed="false">
      <c r="C41" s="9" t="s">
        <v>96</v>
      </c>
      <c r="D41" s="10" t="n">
        <v>625</v>
      </c>
      <c r="E41" s="9" t="s">
        <v>27</v>
      </c>
      <c r="F41" s="9" t="s">
        <v>66</v>
      </c>
      <c r="G41" s="11" t="s">
        <v>97</v>
      </c>
    </row>
    <row r="42" customFormat="false" ht="30" hidden="false" customHeight="true" outlineLevel="0" collapsed="false">
      <c r="C42" s="9" t="s">
        <v>98</v>
      </c>
      <c r="D42" s="10" t="n">
        <v>850</v>
      </c>
      <c r="E42" s="9" t="s">
        <v>27</v>
      </c>
      <c r="F42" s="9" t="s">
        <v>66</v>
      </c>
      <c r="G42" s="11" t="s">
        <v>95</v>
      </c>
    </row>
    <row r="45" customFormat="false" ht="15" hidden="false" customHeight="false" outlineLevel="0" collapsed="false">
      <c r="C45" s="9" t="s">
        <v>99</v>
      </c>
      <c r="D45" s="14" t="n">
        <v>46324</v>
      </c>
    </row>
    <row r="46" customFormat="false" ht="15" hidden="false" customHeight="false" outlineLevel="0" collapsed="false">
      <c r="C46" s="9" t="s">
        <v>100</v>
      </c>
      <c r="D46" s="14" t="n">
        <v>46710</v>
      </c>
    </row>
    <row r="47" customFormat="false" ht="15" hidden="false" customHeight="false" outlineLevel="0" collapsed="false">
      <c r="C47" s="9" t="s">
        <v>101</v>
      </c>
      <c r="D47" s="14" t="n">
        <v>47345</v>
      </c>
    </row>
    <row r="49" customFormat="false" ht="15" hidden="false" customHeight="false" outlineLevel="0" collapsed="false">
      <c r="C49" s="9" t="s">
        <v>102</v>
      </c>
      <c r="D49" s="15" t="n">
        <f aca="false">CHOOSE(Inputs!$D$39,Inputs!$D$40,Inputs!$D$41,Inputs!$D$42)</f>
        <v>625</v>
      </c>
    </row>
    <row r="50" customFormat="false" ht="15" hidden="false" customHeight="false" outlineLevel="0" collapsed="false">
      <c r="C50" s="9" t="s">
        <v>1</v>
      </c>
      <c r="D50" s="15" t="str">
        <f aca="false">CHOOSE(Inputs!$D$39,"Down","Base","Up")</f>
        <v>Base</v>
      </c>
    </row>
  </sheetData>
  <mergeCells count="1">
    <mergeCell ref="C3:I3"/>
  </mergeCells>
  <conditionalFormatting sqref="D6:I50">
    <cfRule type="cellIs" priority="2" operator="lessThan" aboveAverage="0" equalAverage="0" bottom="0" percent="0" rank="0" text="" dxfId="0">
      <formula>-0.00001</formula>
    </cfRule>
  </conditionalFormatting>
  <dataValidations count="2">
    <dataValidation allowBlank="false" errorStyle="stop" operator="between" showDropDown="false" showErrorMessage="true" showInputMessage="false" sqref="D39" type="whole">
      <formula1>1</formula1>
      <formula2>3</formula2>
    </dataValidation>
    <dataValidation allowBlank="false" errorStyle="stop" operator="equal" showDropDown="false" showErrorMessage="true" showInputMessage="false" sqref="D34" type="whole">
      <formula1>5</formula1>
      <formula2>0</formula2>
    </dataValidation>
  </dataValidation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103</v>
      </c>
      <c r="H2" s="9"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104</v>
      </c>
      <c r="D5" s="5" t="s">
        <v>47</v>
      </c>
    </row>
    <row r="6" customFormat="false" ht="15" hidden="false" customHeight="false" outlineLevel="0" collapsed="false">
      <c r="C6" s="9" t="s">
        <v>105</v>
      </c>
      <c r="D6" s="15" t="n">
        <f aca="false">Inputs!$D$6*Inputs!$D$7</f>
        <v>12500</v>
      </c>
    </row>
    <row r="7" customFormat="false" ht="15" hidden="false" customHeight="false" outlineLevel="0" collapsed="false">
      <c r="C7" s="9" t="s">
        <v>65</v>
      </c>
      <c r="D7" s="15" t="n">
        <f aca="false">D6*Inputs!$D$27</f>
        <v>25</v>
      </c>
    </row>
    <row r="8" customFormat="false" ht="15" hidden="false" customHeight="false" outlineLevel="0" collapsed="false">
      <c r="C8" s="9" t="s">
        <v>106</v>
      </c>
      <c r="D8" s="7" t="n">
        <f aca="false">D6-D7</f>
        <v>12475</v>
      </c>
    </row>
    <row r="9" customFormat="false" ht="15" hidden="false" customHeight="false" outlineLevel="0" collapsed="false">
      <c r="C9" s="9" t="s">
        <v>107</v>
      </c>
      <c r="D9" s="15" t="n">
        <f aca="false">Inputs!$D$13*Inputs!$D$14</f>
        <v>25000</v>
      </c>
    </row>
    <row r="10" customFormat="false" ht="15" hidden="false" customHeight="false" outlineLevel="0" collapsed="false">
      <c r="C10" s="9" t="s">
        <v>108</v>
      </c>
      <c r="D10" s="7" t="n">
        <f aca="false">D6+D9</f>
        <v>37500</v>
      </c>
    </row>
    <row r="11" customFormat="false" ht="15" hidden="false" customHeight="false" outlineLevel="0" collapsed="false">
      <c r="C11" s="9" t="s">
        <v>109</v>
      </c>
      <c r="D11" s="15" t="n">
        <f aca="false">Inputs!$D$13*Inputs!$D$15</f>
        <v>24916.8</v>
      </c>
    </row>
    <row r="12" customFormat="false" ht="15" hidden="false" customHeight="false" outlineLevel="0" collapsed="false">
      <c r="C12" s="9" t="s">
        <v>110</v>
      </c>
      <c r="D12" s="15" t="n">
        <f aca="false">D11*Inputs!$D$29</f>
        <v>0</v>
      </c>
    </row>
    <row r="13" customFormat="false" ht="15" hidden="false" customHeight="false" outlineLevel="0" collapsed="false">
      <c r="C13" s="9" t="s">
        <v>111</v>
      </c>
      <c r="D13" s="15" t="n">
        <f aca="false">Inputs!$D$28</f>
        <v>10</v>
      </c>
    </row>
    <row r="14" customFormat="false" ht="15" hidden="false" customHeight="false" outlineLevel="0" collapsed="false">
      <c r="C14" s="9" t="s">
        <v>112</v>
      </c>
      <c r="D14" s="7" t="n">
        <f aca="false">D11+D12-D13</f>
        <v>24906.8</v>
      </c>
    </row>
    <row r="15" customFormat="false" ht="15" hidden="false" customHeight="false" outlineLevel="0" collapsed="false">
      <c r="C15" s="9" t="s">
        <v>113</v>
      </c>
      <c r="D15" s="7" t="n">
        <f aca="false">D8+D14</f>
        <v>37381.8</v>
      </c>
    </row>
    <row r="16" customFormat="false" ht="15" hidden="false" customHeight="false" outlineLevel="0" collapsed="false">
      <c r="C16" s="9" t="s">
        <v>114</v>
      </c>
      <c r="D16" s="7" t="n">
        <f aca="false">D8</f>
        <v>12475</v>
      </c>
    </row>
    <row r="17" customFormat="false" ht="15" hidden="false" customHeight="false" outlineLevel="0" collapsed="false">
      <c r="C17" s="9" t="s">
        <v>115</v>
      </c>
      <c r="D17" s="16" t="n">
        <f aca="false">D14/D15</f>
        <v>0.666281452471524</v>
      </c>
    </row>
    <row r="18" customFormat="false" ht="15" hidden="false" customHeight="false" outlineLevel="0" collapsed="false">
      <c r="C18" s="9" t="s">
        <v>116</v>
      </c>
      <c r="D18" s="15" t="n">
        <f aca="false">Inputs!$D$16</f>
        <v>60000</v>
      </c>
    </row>
    <row r="19" customFormat="false" ht="15" hidden="false" customHeight="false" outlineLevel="0" collapsed="false">
      <c r="C19" s="9" t="s">
        <v>117</v>
      </c>
      <c r="D19" s="15" t="n">
        <f aca="false">Conversion!D6*Inputs!$D$9*Inputs!$D$10</f>
        <v>812.5</v>
      </c>
    </row>
    <row r="20" customFormat="false" ht="15" hidden="false" customHeight="false" outlineLevel="0" collapsed="false">
      <c r="C20" s="9" t="s">
        <v>118</v>
      </c>
      <c r="D20" s="15" t="n">
        <f aca="false">D14*Inputs!$D$36*(Inputs!$D$46-Inputs!$D$45)/365</f>
        <v>1448.68866849315</v>
      </c>
    </row>
    <row r="21" customFormat="false" ht="15" hidden="false" customHeight="false" outlineLevel="0" collapsed="false">
      <c r="C21" s="9" t="s">
        <v>119</v>
      </c>
      <c r="D21" s="15" t="n">
        <f aca="false">D14*Inputs!$D$37</f>
        <v>124.534</v>
      </c>
    </row>
    <row r="22" customFormat="false" ht="15" hidden="false" customHeight="false" outlineLevel="0" collapsed="false">
      <c r="C22" s="9" t="s">
        <v>120</v>
      </c>
      <c r="D22" s="15" t="n">
        <f aca="false">SUM(D20:D21)*(1-Inputs!$D$35)</f>
        <v>1242.84590810959</v>
      </c>
    </row>
    <row r="24" customFormat="false" ht="15" hidden="false" customHeight="false" outlineLevel="0" collapsed="false">
      <c r="C24" s="9" t="s">
        <v>121</v>
      </c>
      <c r="D24" s="15" t="n">
        <f aca="false">Inputs!$D$22-Inputs!$D$23-Inputs!$D$24</f>
        <v>11049</v>
      </c>
    </row>
    <row r="25" customFormat="false" ht="15" hidden="false" customHeight="false" outlineLevel="0" collapsed="false">
      <c r="C25" s="9" t="s">
        <v>122</v>
      </c>
      <c r="D25" s="15" t="n">
        <f aca="false">Inputs!$D$17+Inputs!$D$18</f>
        <v>82449</v>
      </c>
    </row>
    <row r="26" customFormat="false" ht="15" hidden="false" customHeight="false" outlineLevel="0" collapsed="false">
      <c r="C26" s="9" t="s">
        <v>123</v>
      </c>
      <c r="D26" s="15" t="n">
        <f aca="false">Inputs!$D$25-Inputs!$D$23-Inputs!$D$24</f>
        <v>49176</v>
      </c>
    </row>
    <row r="27" customFormat="false" ht="15" hidden="false" customHeight="false" outlineLevel="0" collapsed="false">
      <c r="C27" s="9" t="s">
        <v>124</v>
      </c>
      <c r="D27" s="15" t="n">
        <f aca="false">Inputs!$D$26-Inputs!$D$23-Inputs!$D$24</f>
        <v>59176</v>
      </c>
    </row>
    <row r="30" customFormat="false" ht="30" hidden="false" customHeight="true" outlineLevel="0" collapsed="false">
      <c r="C30" s="17" t="s">
        <v>125</v>
      </c>
      <c r="D30" s="17"/>
      <c r="E30" s="17"/>
      <c r="F30" s="17"/>
      <c r="G30" s="17"/>
      <c r="H30" s="17"/>
      <c r="I30" s="17"/>
    </row>
    <row r="32" customFormat="false" ht="30" hidden="false" customHeight="true" outlineLevel="0" collapsed="false">
      <c r="C32" s="17" t="s">
        <v>126</v>
      </c>
      <c r="D32" s="17"/>
      <c r="E32" s="17"/>
      <c r="F32" s="17"/>
      <c r="G32" s="17"/>
      <c r="H32" s="17"/>
      <c r="I32" s="17"/>
    </row>
    <row r="34" customFormat="false" ht="30" hidden="false" customHeight="true" outlineLevel="0" collapsed="false">
      <c r="C34" s="17" t="s">
        <v>127</v>
      </c>
      <c r="D34" s="17"/>
      <c r="E34" s="17"/>
      <c r="F34" s="17"/>
      <c r="G34" s="17"/>
      <c r="H34" s="17"/>
      <c r="I34" s="17"/>
    </row>
  </sheetData>
  <mergeCells count="4">
    <mergeCell ref="C3:I3"/>
    <mergeCell ref="C30:I30"/>
    <mergeCell ref="C32:I32"/>
    <mergeCell ref="C34:I34"/>
  </mergeCells>
  <conditionalFormatting sqref="D6:I34">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128</v>
      </c>
      <c r="H2" s="9"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129</v>
      </c>
      <c r="D5" s="5" t="s">
        <v>130</v>
      </c>
      <c r="E5" s="5" t="s">
        <v>131</v>
      </c>
      <c r="F5" s="5" t="s">
        <v>132</v>
      </c>
    </row>
    <row r="6" customFormat="false" ht="15" hidden="false" customHeight="false" outlineLevel="0" collapsed="false">
      <c r="C6" s="9" t="s">
        <v>133</v>
      </c>
      <c r="D6" s="15" t="n">
        <f aca="false">Funding!D8</f>
        <v>12475</v>
      </c>
      <c r="E6" s="15" t="n">
        <f aca="false">Funding!D15</f>
        <v>37381.8</v>
      </c>
      <c r="F6" s="15" t="n">
        <f aca="false">Funding!D15</f>
        <v>37381.8</v>
      </c>
    </row>
    <row r="7" customFormat="false" ht="15" hidden="false" customHeight="false" outlineLevel="0" collapsed="false">
      <c r="C7" s="9" t="s">
        <v>134</v>
      </c>
      <c r="D7" s="15" t="n">
        <f aca="false">Funding!D14</f>
        <v>24906.8</v>
      </c>
      <c r="E7" s="7" t="n">
        <f aca="false">0</f>
        <v>0</v>
      </c>
      <c r="F7" s="7" t="n">
        <f aca="false">0</f>
        <v>0</v>
      </c>
    </row>
    <row r="8" customFormat="false" ht="15" hidden="false" customHeight="false" outlineLevel="0" collapsed="false">
      <c r="C8" s="9" t="s">
        <v>135</v>
      </c>
      <c r="D8" s="7" t="n">
        <f aca="false">SUM(D6:D7)</f>
        <v>37381.8</v>
      </c>
      <c r="E8" s="7" t="n">
        <f aca="false">SUM(E6:E7)</f>
        <v>37381.8</v>
      </c>
      <c r="F8" s="7" t="n">
        <f aca="false">SUM(F6:F7)</f>
        <v>37381.8</v>
      </c>
    </row>
    <row r="9" customFormat="false" ht="15" hidden="false" customHeight="false" outlineLevel="0" collapsed="false">
      <c r="C9" s="9" t="s">
        <v>136</v>
      </c>
      <c r="D9" s="7" t="n">
        <f aca="false">D8-D6</f>
        <v>24906.8</v>
      </c>
      <c r="E9" s="7" t="n">
        <f aca="false">E8-E6</f>
        <v>0</v>
      </c>
      <c r="F9" s="7" t="n">
        <f aca="false">F8-F6</f>
        <v>0</v>
      </c>
    </row>
    <row r="10" customFormat="false" ht="15" hidden="false" customHeight="false" outlineLevel="0" collapsed="false">
      <c r="C10" s="9" t="s">
        <v>137</v>
      </c>
      <c r="D10" s="15" t="n">
        <f aca="false">Funding!D19</f>
        <v>812.5</v>
      </c>
      <c r="E10" s="7" t="n">
        <f aca="false">0</f>
        <v>0</v>
      </c>
      <c r="F10" s="15" t="n">
        <f aca="false">Bond!D7*(1-Inputs!$D$35)</f>
        <v>1632.4012160804</v>
      </c>
    </row>
    <row r="11" customFormat="false" ht="15" hidden="false" customHeight="false" outlineLevel="0" collapsed="false">
      <c r="C11" s="9" t="s">
        <v>138</v>
      </c>
      <c r="D11" s="15" t="n">
        <f aca="false">Inputs!$D$13</f>
        <v>40</v>
      </c>
      <c r="E11" s="15" t="n">
        <f aca="false">E6/(1-Inputs!$D$30 )/Inputs!$D$14</f>
        <v>60.0105952610287</v>
      </c>
      <c r="F11" s="7" t="n">
        <f aca="false">0</f>
        <v>0</v>
      </c>
    </row>
    <row r="12" customFormat="false" ht="15" hidden="false" customHeight="false" outlineLevel="0" collapsed="false">
      <c r="C12" s="9" t="s">
        <v>139</v>
      </c>
      <c r="D12" s="15" t="n">
        <f aca="false">Conversion!D10</f>
        <v>20</v>
      </c>
      <c r="E12" s="7" t="n">
        <f aca="false">0</f>
        <v>0</v>
      </c>
      <c r="F12" s="7" t="n">
        <f aca="false">0</f>
        <v>0</v>
      </c>
    </row>
    <row r="13" customFormat="false" ht="15" hidden="false" customHeight="false" outlineLevel="0" collapsed="false">
      <c r="C13" s="9" t="s">
        <v>140</v>
      </c>
      <c r="D13" s="7" t="n">
        <f aca="false">0</f>
        <v>0</v>
      </c>
      <c r="E13" s="7" t="n">
        <f aca="false">0</f>
        <v>0</v>
      </c>
      <c r="F13" s="15" t="n">
        <f aca="false">Bond!D6</f>
        <v>37569.648241206</v>
      </c>
    </row>
    <row r="14" customFormat="false" ht="15" hidden="false" customHeight="false" outlineLevel="0" collapsed="false">
      <c r="C14" s="9" t="s">
        <v>141</v>
      </c>
      <c r="D14" s="7" t="n">
        <f aca="false">0</f>
        <v>0</v>
      </c>
      <c r="E14" s="7" t="n">
        <f aca="false">0</f>
        <v>0</v>
      </c>
      <c r="F14" s="15" t="n">
        <f aca="false">Bond!D6</f>
        <v>37569.648241206</v>
      </c>
    </row>
    <row r="15" customFormat="false" ht="15" hidden="false" customHeight="false" outlineLevel="0" collapsed="false">
      <c r="C15" s="9" t="s">
        <v>142</v>
      </c>
      <c r="D15" s="18" t="n">
        <f aca="false">Position!D11</f>
        <v>0</v>
      </c>
      <c r="E15" s="18" t="n">
        <f aca="false">Position!F11</f>
        <v>0</v>
      </c>
      <c r="F15" s="18" t="n">
        <f aca="false">Position!G11</f>
        <v>0</v>
      </c>
    </row>
    <row r="18" customFormat="false" ht="30" hidden="false" customHeight="true" outlineLevel="0" collapsed="false">
      <c r="C18" s="17" t="s">
        <v>143</v>
      </c>
      <c r="D18" s="17"/>
      <c r="E18" s="17"/>
      <c r="F18" s="17"/>
      <c r="G18" s="17"/>
      <c r="H18" s="17"/>
      <c r="I18" s="17"/>
    </row>
    <row r="20" customFormat="false" ht="30" hidden="false" customHeight="true" outlineLevel="0" collapsed="false">
      <c r="C20" s="17" t="s">
        <v>144</v>
      </c>
      <c r="D20" s="17"/>
      <c r="E20" s="17"/>
      <c r="F20" s="17"/>
      <c r="G20" s="17"/>
      <c r="H20" s="17"/>
      <c r="I20" s="17"/>
    </row>
  </sheetData>
  <mergeCells count="3">
    <mergeCell ref="C3:I3"/>
    <mergeCell ref="C18:I18"/>
    <mergeCell ref="C20:I20"/>
  </mergeCells>
  <conditionalFormatting sqref="D6:I20">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145</v>
      </c>
      <c r="H2" s="9"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146</v>
      </c>
      <c r="D5" s="5" t="s">
        <v>18</v>
      </c>
    </row>
    <row r="6" customFormat="false" ht="15" hidden="false" customHeight="false" outlineLevel="0" collapsed="false">
      <c r="C6" s="9" t="s">
        <v>147</v>
      </c>
      <c r="D6" s="15" t="n">
        <f aca="false">Inputs!$D$6/Inputs!$D$8</f>
        <v>12.5</v>
      </c>
    </row>
    <row r="7" customFormat="false" ht="15" hidden="false" customHeight="false" outlineLevel="0" collapsed="false">
      <c r="C7" s="9" t="s">
        <v>148</v>
      </c>
      <c r="D7" s="15" t="n">
        <f aca="false">Inputs!$D$9/Inputs!$D$12</f>
        <v>625</v>
      </c>
    </row>
    <row r="8" customFormat="false" ht="15" hidden="false" customHeight="false" outlineLevel="0" collapsed="false">
      <c r="C8" s="9" t="s">
        <v>149</v>
      </c>
      <c r="D8" s="15" t="n">
        <f aca="false">Inputs!$D$9/Inputs!$D$11</f>
        <v>734.214390602056</v>
      </c>
    </row>
    <row r="9" customFormat="false" ht="15" hidden="false" customHeight="false" outlineLevel="0" collapsed="false">
      <c r="C9" s="9" t="s">
        <v>150</v>
      </c>
      <c r="D9" s="19" t="n">
        <f aca="false">ROUND(MAX(Inputs!$D$11,MIN(Inputs!$D$12,Inputs!$D$9/Inputs!D49)),4)</f>
        <v>1.6</v>
      </c>
    </row>
    <row r="10" customFormat="false" ht="15" hidden="false" customHeight="false" outlineLevel="0" collapsed="false">
      <c r="C10" s="9" t="s">
        <v>151</v>
      </c>
      <c r="D10" s="20" t="n">
        <f aca="false">D6*D9</f>
        <v>20</v>
      </c>
    </row>
    <row r="11" customFormat="false" ht="15" hidden="false" customHeight="false" outlineLevel="0" collapsed="false">
      <c r="C11" s="9" t="s">
        <v>152</v>
      </c>
      <c r="D11" s="15" t="n">
        <f aca="false">D10*Inputs!D49</f>
        <v>12500</v>
      </c>
    </row>
    <row r="12" customFormat="false" ht="15" hidden="false" customHeight="false" outlineLevel="0" collapsed="false">
      <c r="C12" s="9" t="s">
        <v>153</v>
      </c>
      <c r="D12" s="7" t="n">
        <f aca="false">SUM(E20:E30)</f>
        <v>2270.48611111111</v>
      </c>
    </row>
    <row r="13" customFormat="false" ht="15" hidden="false" customHeight="false" outlineLevel="0" collapsed="false">
      <c r="C13" s="9" t="s">
        <v>154</v>
      </c>
      <c r="D13" s="21" t="n">
        <f aca="false">(D11+D12)/Funding!D6-1</f>
        <v>0.181638888888889</v>
      </c>
    </row>
    <row r="15" customFormat="false" ht="30" hidden="false" customHeight="true" outlineLevel="0" collapsed="false">
      <c r="C15" s="17" t="s">
        <v>155</v>
      </c>
      <c r="D15" s="17"/>
      <c r="E15" s="17"/>
      <c r="F15" s="17"/>
      <c r="G15" s="17"/>
      <c r="H15" s="17"/>
      <c r="I15" s="17"/>
    </row>
    <row r="19" customFormat="false" ht="15" hidden="false" customHeight="false" outlineLevel="0" collapsed="false">
      <c r="C19" s="5" t="s">
        <v>156</v>
      </c>
      <c r="D19" s="5" t="s">
        <v>157</v>
      </c>
      <c r="E19" s="5" t="s">
        <v>158</v>
      </c>
      <c r="F19" s="5" t="s">
        <v>159</v>
      </c>
    </row>
    <row r="20" customFormat="false" ht="15" hidden="false" customHeight="false" outlineLevel="0" collapsed="false">
      <c r="C20" s="14" t="n">
        <v>46433</v>
      </c>
      <c r="D20" s="19" t="n">
        <f aca="false">(360*(YEAR(C20)-YEAR(Inputs!$D$45))+30*(MONTH(C20)-MONTH(Inputs!$D$45))+MIN(DAY(C20),30)-MIN(DAY(Inputs!$D$45),30))/360</f>
        <v>0.294444444444444</v>
      </c>
      <c r="E20" s="15" t="n">
        <f aca="false">$D$6*Inputs!$D$9*Inputs!$D$10*D20</f>
        <v>239.236111111111</v>
      </c>
      <c r="F20" s="15" t="n">
        <f aca="false">E20/(1+Inputs!$D$38)^((C20-Inputs!$D$45)/365)</f>
        <v>233.800477319728</v>
      </c>
    </row>
    <row r="21" customFormat="false" ht="15" hidden="false" customHeight="false" outlineLevel="0" collapsed="false">
      <c r="C21" s="14" t="n">
        <v>46522</v>
      </c>
      <c r="D21" s="22" t="n">
        <f aca="false">(360*(YEAR(C21)-YEAR(C20))+30*(MONTH(C21)-MONTH(C20))+MIN(DAY(C21),30)-MIN(DAY(C20),30))/360</f>
        <v>0.25</v>
      </c>
      <c r="E21" s="15" t="n">
        <f aca="false">$D$6*Inputs!$D$9*Inputs!$D$10*D21</f>
        <v>203.125</v>
      </c>
      <c r="F21" s="15" t="n">
        <f aca="false">E21/(1+Inputs!$D$38)^((C21-Inputs!$D$45)/365)</f>
        <v>194.819370455176</v>
      </c>
    </row>
    <row r="22" customFormat="false" ht="15" hidden="false" customHeight="false" outlineLevel="0" collapsed="false">
      <c r="C22" s="14" t="n">
        <v>46614</v>
      </c>
      <c r="D22" s="22" t="n">
        <f aca="false">(360*(YEAR(C22)-YEAR(C21))+30*(MONTH(C22)-MONTH(C21))+MIN(DAY(C22),30)-MIN(DAY(C21),30))/360</f>
        <v>0.25</v>
      </c>
      <c r="E22" s="15" t="n">
        <f aca="false">$D$6*Inputs!$D$9*Inputs!$D$10*D22</f>
        <v>203.125</v>
      </c>
      <c r="F22" s="15" t="n">
        <f aca="false">E22/(1+Inputs!$D$38)^((C22-Inputs!$D$45)/365)</f>
        <v>191.076605682799</v>
      </c>
    </row>
    <row r="23" customFormat="false" ht="15" hidden="false" customHeight="false" outlineLevel="0" collapsed="false">
      <c r="C23" s="14" t="n">
        <v>46706</v>
      </c>
      <c r="D23" s="22" t="n">
        <f aca="false">(360*(YEAR(C23)-YEAR(C22))+30*(MONTH(C23)-MONTH(C22))+MIN(DAY(C23),30)-MIN(DAY(C22),30))/360</f>
        <v>0.25</v>
      </c>
      <c r="E23" s="15" t="n">
        <f aca="false">$D$6*Inputs!$D$9*Inputs!$D$10*D23</f>
        <v>203.125</v>
      </c>
      <c r="F23" s="15" t="n">
        <f aca="false">E23/(1+Inputs!$D$38)^((C23-Inputs!$D$45)/365)</f>
        <v>187.405744890547</v>
      </c>
    </row>
    <row r="24" customFormat="false" ht="15" hidden="false" customHeight="false" outlineLevel="0" collapsed="false">
      <c r="C24" s="14" t="n">
        <v>46798</v>
      </c>
      <c r="D24" s="22" t="n">
        <f aca="false">(360*(YEAR(C24)-YEAR(C23))+30*(MONTH(C24)-MONTH(C23))+MIN(DAY(C24),30)-MIN(DAY(C23),30))/360</f>
        <v>0.25</v>
      </c>
      <c r="E24" s="15" t="n">
        <f aca="false">$D$6*Inputs!$D$9*Inputs!$D$10*D24</f>
        <v>203.125</v>
      </c>
      <c r="F24" s="15" t="n">
        <f aca="false">E24/(1+Inputs!$D$38)^((C24-Inputs!$D$45)/365)</f>
        <v>183.805406697899</v>
      </c>
    </row>
    <row r="25" customFormat="false" ht="15" hidden="false" customHeight="false" outlineLevel="0" collapsed="false">
      <c r="C25" s="14" t="n">
        <v>46888</v>
      </c>
      <c r="D25" s="22" t="n">
        <f aca="false">(360*(YEAR(C25)-YEAR(C24))+30*(MONTH(C25)-MONTH(C24))+MIN(DAY(C25),30)-MIN(DAY(C24),30))/360</f>
        <v>0.25</v>
      </c>
      <c r="E25" s="15" t="n">
        <f aca="false">$D$6*Inputs!$D$9*Inputs!$D$10*D25</f>
        <v>203.125</v>
      </c>
      <c r="F25" s="15" t="n">
        <f aca="false">E25/(1+Inputs!$D$38)^((C25-Inputs!$D$45)/365)</f>
        <v>180.350274721336</v>
      </c>
    </row>
    <row r="26" customFormat="false" ht="15" hidden="false" customHeight="false" outlineLevel="0" collapsed="false">
      <c r="C26" s="14" t="n">
        <v>46980</v>
      </c>
      <c r="D26" s="22" t="n">
        <f aca="false">(360*(YEAR(C26)-YEAR(C25))+30*(MONTH(C26)-MONTH(C25))+MIN(DAY(C26),30)-MIN(DAY(C25),30))/360</f>
        <v>0.25</v>
      </c>
      <c r="E26" s="15" t="n">
        <f aca="false">$D$6*Inputs!$D$9*Inputs!$D$10*D26</f>
        <v>203.125</v>
      </c>
      <c r="F26" s="15" t="n">
        <f aca="false">E26/(1+Inputs!$D$38)^((C26-Inputs!$D$45)/365)</f>
        <v>176.885482419941</v>
      </c>
    </row>
    <row r="27" customFormat="false" ht="15" hidden="false" customHeight="false" outlineLevel="0" collapsed="false">
      <c r="C27" s="14" t="n">
        <v>47072</v>
      </c>
      <c r="D27" s="22" t="n">
        <f aca="false">(360*(YEAR(C27)-YEAR(C26))+30*(MONTH(C27)-MONTH(C26))+MIN(DAY(C27),30)-MIN(DAY(C26),30))/360</f>
        <v>0.25</v>
      </c>
      <c r="E27" s="15" t="n">
        <f aca="false">$D$6*Inputs!$D$9*Inputs!$D$10*D27</f>
        <v>203.125</v>
      </c>
      <c r="F27" s="15" t="n">
        <f aca="false">E27/(1+Inputs!$D$38)^((C27-Inputs!$D$45)/365)</f>
        <v>173.487253841338</v>
      </c>
    </row>
    <row r="28" customFormat="false" ht="15" hidden="false" customHeight="false" outlineLevel="0" collapsed="false">
      <c r="C28" s="14" t="n">
        <v>47164</v>
      </c>
      <c r="D28" s="22" t="n">
        <f aca="false">(360*(YEAR(C28)-YEAR(C27))+30*(MONTH(C28)-MONTH(C27))+MIN(DAY(C28),30)-MIN(DAY(C27),30))/360</f>
        <v>0.25</v>
      </c>
      <c r="E28" s="15" t="n">
        <f aca="false">$D$6*Inputs!$D$9*Inputs!$D$10*D28</f>
        <v>203.125</v>
      </c>
      <c r="F28" s="15" t="n">
        <f aca="false">E28/(1+Inputs!$D$38)^((C28-Inputs!$D$45)/365)</f>
        <v>170.154310199149</v>
      </c>
    </row>
    <row r="29" customFormat="false" ht="15" hidden="false" customHeight="false" outlineLevel="0" collapsed="false">
      <c r="C29" s="14" t="n">
        <v>47253</v>
      </c>
      <c r="D29" s="22" t="n">
        <f aca="false">(360*(YEAR(C29)-YEAR(C28))+30*(MONTH(C29)-MONTH(C28))+MIN(DAY(C29),30)-MIN(DAY(C28),30))/360</f>
        <v>0.25</v>
      </c>
      <c r="E29" s="15" t="n">
        <f aca="false">$D$6*Inputs!$D$9*Inputs!$D$10*D29</f>
        <v>203.125</v>
      </c>
      <c r="F29" s="15" t="n">
        <f aca="false">E29/(1+Inputs!$D$38)^((C29-Inputs!$D$45)/365)</f>
        <v>166.990995112348</v>
      </c>
    </row>
    <row r="30" customFormat="false" ht="15" hidden="false" customHeight="false" outlineLevel="0" collapsed="false">
      <c r="C30" s="14" t="n">
        <v>47345</v>
      </c>
      <c r="D30" s="22" t="n">
        <f aca="false">(360*(YEAR(C30)-YEAR(C29))+30*(MONTH(C30)-MONTH(C29))+MIN(DAY(C30),30)-MIN(DAY(C29),30))/360</f>
        <v>0.25</v>
      </c>
      <c r="E30" s="15" t="n">
        <f aca="false">$D$6*Inputs!$D$9*Inputs!$D$10*D30</f>
        <v>203.125</v>
      </c>
      <c r="F30" s="15" t="n">
        <f aca="false">E30/(1+Inputs!$D$38)^((C30-Inputs!$D$45)/365)</f>
        <v>163.782854092538</v>
      </c>
    </row>
    <row r="32" customFormat="false" ht="30" hidden="false" customHeight="true" outlineLevel="0" collapsed="false">
      <c r="C32" s="17" t="s">
        <v>160</v>
      </c>
      <c r="D32" s="17"/>
      <c r="E32" s="17"/>
      <c r="F32" s="17"/>
      <c r="G32" s="17"/>
      <c r="H32" s="17"/>
      <c r="I32" s="17"/>
    </row>
    <row r="35" customFormat="false" ht="15" hidden="false" customHeight="false" outlineLevel="0" collapsed="false">
      <c r="C35" s="5" t="s">
        <v>161</v>
      </c>
      <c r="D35" s="5" t="s">
        <v>162</v>
      </c>
      <c r="E35" s="5" t="s">
        <v>163</v>
      </c>
      <c r="F35" s="5" t="s">
        <v>164</v>
      </c>
      <c r="G35" s="5" t="s">
        <v>165</v>
      </c>
    </row>
    <row r="36" customFormat="false" ht="15" hidden="false" customHeight="false" outlineLevel="0" collapsed="false">
      <c r="C36" s="23" t="n">
        <v>300</v>
      </c>
      <c r="D36" s="19" t="n">
        <f aca="false">ROUND(MAX(Inputs!$D$11,MIN(Inputs!$D$12,Inputs!$D$9/C36)),4)</f>
        <v>1.6</v>
      </c>
      <c r="E36" s="20" t="n">
        <f aca="false">$D$6*D36</f>
        <v>20</v>
      </c>
      <c r="F36" s="7" t="n">
        <f aca="false">E36*C36</f>
        <v>6000</v>
      </c>
      <c r="G36" s="21" t="n">
        <f aca="false">(F36+$D$12)/Funding!$D$6-1</f>
        <v>-0.338361111111111</v>
      </c>
    </row>
    <row r="37" customFormat="false" ht="15" hidden="false" customHeight="false" outlineLevel="0" collapsed="false">
      <c r="C37" s="23" t="n">
        <v>400</v>
      </c>
      <c r="D37" s="19" t="n">
        <f aca="false">ROUND(MAX(Inputs!$D$11,MIN(Inputs!$D$12,Inputs!$D$9/C37)),4)</f>
        <v>1.6</v>
      </c>
      <c r="E37" s="20" t="n">
        <f aca="false">$D$6*D37</f>
        <v>20</v>
      </c>
      <c r="F37" s="7" t="n">
        <f aca="false">E37*C37</f>
        <v>8000</v>
      </c>
      <c r="G37" s="21" t="n">
        <f aca="false">(F37+$D$12)/Funding!$D$6-1</f>
        <v>-0.178361111111111</v>
      </c>
    </row>
    <row r="38" customFormat="false" ht="15" hidden="false" customHeight="false" outlineLevel="0" collapsed="false">
      <c r="C38" s="23" t="n">
        <v>500</v>
      </c>
      <c r="D38" s="19" t="n">
        <f aca="false">ROUND(MAX(Inputs!$D$11,MIN(Inputs!$D$12,Inputs!$D$9/C38)),4)</f>
        <v>1.6</v>
      </c>
      <c r="E38" s="20" t="n">
        <f aca="false">$D$6*D38</f>
        <v>20</v>
      </c>
      <c r="F38" s="7" t="n">
        <f aca="false">E38*C38</f>
        <v>10000</v>
      </c>
      <c r="G38" s="21" t="n">
        <f aca="false">(F38+$D$12)/Funding!$D$6-1</f>
        <v>-0.0183611111111111</v>
      </c>
    </row>
    <row r="39" customFormat="false" ht="15" hidden="false" customHeight="false" outlineLevel="0" collapsed="false">
      <c r="C39" s="23" t="n">
        <v>625</v>
      </c>
      <c r="D39" s="19" t="n">
        <f aca="false">ROUND(MAX(Inputs!$D$11,MIN(Inputs!$D$12,Inputs!$D$9/C39)),4)</f>
        <v>1.6</v>
      </c>
      <c r="E39" s="20" t="n">
        <f aca="false">$D$6*D39</f>
        <v>20</v>
      </c>
      <c r="F39" s="7" t="n">
        <f aca="false">E39*C39</f>
        <v>12500</v>
      </c>
      <c r="G39" s="21" t="n">
        <f aca="false">(F39+$D$12)/Funding!$D$6-1</f>
        <v>0.181638888888889</v>
      </c>
    </row>
    <row r="40" customFormat="false" ht="15" hidden="false" customHeight="false" outlineLevel="0" collapsed="false">
      <c r="C40" s="23" t="n">
        <v>700</v>
      </c>
      <c r="D40" s="19" t="n">
        <f aca="false">ROUND(MAX(Inputs!$D$11,MIN(Inputs!$D$12,Inputs!$D$9/C40)),4)</f>
        <v>1.4286</v>
      </c>
      <c r="E40" s="20" t="n">
        <f aca="false">$D$6*D40</f>
        <v>17.8575</v>
      </c>
      <c r="F40" s="7" t="n">
        <f aca="false">E40*C40</f>
        <v>12500.25</v>
      </c>
      <c r="G40" s="21" t="n">
        <f aca="false">(F40+$D$12)/Funding!$D$6-1</f>
        <v>0.181658888888889</v>
      </c>
    </row>
    <row r="41" customFormat="false" ht="15" hidden="false" customHeight="false" outlineLevel="0" collapsed="false">
      <c r="C41" s="23" t="n">
        <v>800</v>
      </c>
      <c r="D41" s="19" t="n">
        <f aca="false">ROUND(MAX(Inputs!$D$11,MIN(Inputs!$D$12,Inputs!$D$9/C41)),4)</f>
        <v>1.362</v>
      </c>
      <c r="E41" s="20" t="n">
        <f aca="false">$D$6*D41</f>
        <v>17.025</v>
      </c>
      <c r="F41" s="7" t="n">
        <f aca="false">E41*C41</f>
        <v>13620</v>
      </c>
      <c r="G41" s="21" t="n">
        <f aca="false">(F41+$D$12)/Funding!$D$6-1</f>
        <v>0.271238888888889</v>
      </c>
    </row>
    <row r="42" customFormat="false" ht="15" hidden="false" customHeight="false" outlineLevel="0" collapsed="false">
      <c r="C42" s="23" t="n">
        <v>900</v>
      </c>
      <c r="D42" s="19" t="n">
        <f aca="false">ROUND(MAX(Inputs!$D$11,MIN(Inputs!$D$12,Inputs!$D$9/C42)),4)</f>
        <v>1.362</v>
      </c>
      <c r="E42" s="20" t="n">
        <f aca="false">$D$6*D42</f>
        <v>17.025</v>
      </c>
      <c r="F42" s="7" t="n">
        <f aca="false">E42*C42</f>
        <v>15322.5</v>
      </c>
      <c r="G42" s="21" t="n">
        <f aca="false">(F42+$D$12)/Funding!$D$6-1</f>
        <v>0.407438888888889</v>
      </c>
    </row>
    <row r="45" customFormat="false" ht="15" hidden="false" customHeight="false" outlineLevel="0" collapsed="false">
      <c r="C45" s="9" t="s">
        <v>166</v>
      </c>
      <c r="D45" s="7" t="n">
        <f aca="false">SUM(F20:F30)</f>
        <v>2022.5587754328</v>
      </c>
    </row>
    <row r="46" customFormat="false" ht="15" hidden="false" customHeight="false" outlineLevel="0" collapsed="false">
      <c r="C46" s="9" t="s">
        <v>167</v>
      </c>
      <c r="D46" s="15" t="n">
        <f aca="false">(Funding!D6-D45)*(1+Inputs!$D$38)^((Inputs!$D$47-Inputs!$D$45)/365)</f>
        <v>12994.2188425765</v>
      </c>
    </row>
    <row r="47" customFormat="false" ht="15" hidden="false" customHeight="false" outlineLevel="0" collapsed="false">
      <c r="C47" s="9" t="s">
        <v>168</v>
      </c>
      <c r="D47" s="15" t="n">
        <f aca="false">D46/($D$6*IF(D46&gt;$D$6*Inputs!$D$9,Inputs!$D$11,Inputs!$D$12))</f>
        <v>763.243397508162</v>
      </c>
    </row>
    <row r="49" customFormat="false" ht="30" hidden="false" customHeight="true" outlineLevel="0" collapsed="false">
      <c r="C49" s="17" t="s">
        <v>169</v>
      </c>
      <c r="D49" s="17"/>
      <c r="E49" s="17"/>
      <c r="F49" s="17"/>
      <c r="G49" s="17"/>
      <c r="H49" s="17"/>
      <c r="I49" s="17"/>
    </row>
  </sheetData>
  <mergeCells count="4">
    <mergeCell ref="C3:I3"/>
    <mergeCell ref="C15:I15"/>
    <mergeCell ref="C32:I32"/>
    <mergeCell ref="C49:I49"/>
  </mergeCells>
  <conditionalFormatting sqref="D6:I49">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170</v>
      </c>
      <c r="H2" s="9"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171</v>
      </c>
      <c r="D5" s="5" t="s">
        <v>18</v>
      </c>
    </row>
    <row r="6" customFormat="false" ht="15" hidden="false" customHeight="false" outlineLevel="0" collapsed="false">
      <c r="C6" s="9" t="s">
        <v>172</v>
      </c>
      <c r="D6" s="15" t="n">
        <f aca="false">Funding!D15/(1-Inputs!$D$31)</f>
        <v>37569.648241206</v>
      </c>
    </row>
    <row r="7" customFormat="false" ht="15" hidden="false" customHeight="false" outlineLevel="0" collapsed="false">
      <c r="C7" s="9" t="s">
        <v>173</v>
      </c>
      <c r="D7" s="15" t="n">
        <f aca="false">D6*Inputs!$D$32</f>
        <v>2066.33065326633</v>
      </c>
    </row>
    <row r="8" customFormat="false" ht="15" hidden="false" customHeight="false" outlineLevel="0" collapsed="false">
      <c r="C8" s="9" t="s">
        <v>174</v>
      </c>
      <c r="D8" s="21" t="n">
        <f aca="false">RATE(Inputs!$D$34,-D7,Funding!D15,-D6)</f>
        <v>0.0561746563258418</v>
      </c>
    </row>
    <row r="9" customFormat="false" ht="15" hidden="false" customHeight="false" outlineLevel="0" collapsed="false">
      <c r="C9" s="9" t="s">
        <v>175</v>
      </c>
      <c r="D9" s="15" t="n">
        <f aca="false">-PV(Inputs!$D$33,Inputs!$D$34,Inputs!$D$32*100,100)</f>
        <v>100</v>
      </c>
    </row>
    <row r="10" customFormat="false" ht="15" hidden="false" customHeight="false" outlineLevel="0" collapsed="false">
      <c r="C10" s="9" t="s">
        <v>176</v>
      </c>
      <c r="D10" s="15" t="n">
        <f aca="false">D7*Inputs!$D$34</f>
        <v>10331.6532663317</v>
      </c>
    </row>
    <row r="12" customFormat="false" ht="30" hidden="false" customHeight="true" outlineLevel="0" collapsed="false">
      <c r="C12" s="17" t="s">
        <v>177</v>
      </c>
      <c r="D12" s="17"/>
      <c r="E12" s="17"/>
      <c r="F12" s="17"/>
      <c r="G12" s="17"/>
      <c r="H12" s="17"/>
      <c r="I12" s="17"/>
    </row>
    <row r="15" customFormat="false" ht="15" hidden="false" customHeight="false" outlineLevel="0" collapsed="false">
      <c r="C15" s="5" t="s">
        <v>178</v>
      </c>
      <c r="D15" s="5" t="s">
        <v>179</v>
      </c>
      <c r="E15" s="5" t="s">
        <v>180</v>
      </c>
      <c r="F15" s="5" t="s">
        <v>181</v>
      </c>
      <c r="G15" s="5" t="s">
        <v>182</v>
      </c>
      <c r="H15" s="5" t="s">
        <v>183</v>
      </c>
      <c r="I15" s="5" t="s">
        <v>184</v>
      </c>
    </row>
    <row r="16" customFormat="false" ht="15" hidden="false" customHeight="false" outlineLevel="0" collapsed="false">
      <c r="C16" s="24" t="n">
        <v>1</v>
      </c>
      <c r="D16" s="15" t="n">
        <f aca="false">Funding!D15</f>
        <v>37381.8</v>
      </c>
      <c r="E16" s="7" t="n">
        <f aca="false">$D$7</f>
        <v>2066.33065326633</v>
      </c>
      <c r="F16" s="7" t="n">
        <f aca="false">D16*$D$8</f>
        <v>2099.90976784135</v>
      </c>
      <c r="G16" s="7" t="n">
        <f aca="false">F16-E16</f>
        <v>33.5791145750222</v>
      </c>
      <c r="H16" s="15" t="n">
        <f aca="false">IF(C16=Inputs!$D$34,$D$6,0)</f>
        <v>0</v>
      </c>
      <c r="I16" s="7" t="n">
        <f aca="false">D16+G16-H16</f>
        <v>37415.379114575</v>
      </c>
    </row>
    <row r="17" customFormat="false" ht="15" hidden="false" customHeight="false" outlineLevel="0" collapsed="false">
      <c r="C17" s="24" t="n">
        <v>2</v>
      </c>
      <c r="D17" s="7" t="n">
        <f aca="false">I16</f>
        <v>37415.379114575</v>
      </c>
      <c r="E17" s="7" t="n">
        <f aca="false">$D$7</f>
        <v>2066.33065326633</v>
      </c>
      <c r="F17" s="7" t="n">
        <f aca="false">D17*$D$8</f>
        <v>2101.79606306233</v>
      </c>
      <c r="G17" s="7" t="n">
        <f aca="false">F17-E17</f>
        <v>35.4654097959997</v>
      </c>
      <c r="H17" s="15" t="n">
        <f aca="false">IF(C17=Inputs!$D$34,$D$6,0)</f>
        <v>0</v>
      </c>
      <c r="I17" s="7" t="n">
        <f aca="false">D17+G17-H17</f>
        <v>37450.844524371</v>
      </c>
    </row>
    <row r="18" customFormat="false" ht="15" hidden="false" customHeight="false" outlineLevel="0" collapsed="false">
      <c r="C18" s="24" t="n">
        <v>3</v>
      </c>
      <c r="D18" s="7" t="n">
        <f aca="false">I17</f>
        <v>37450.844524371</v>
      </c>
      <c r="E18" s="7" t="n">
        <f aca="false">$D$7</f>
        <v>2066.33065326633</v>
      </c>
      <c r="F18" s="7" t="n">
        <f aca="false">D18*$D$8</f>
        <v>2103.78832026908</v>
      </c>
      <c r="G18" s="7" t="n">
        <f aca="false">F18-E18</f>
        <v>37.4576670027454</v>
      </c>
      <c r="H18" s="15" t="n">
        <f aca="false">IF(C18=Inputs!$D$34,$D$6,0)</f>
        <v>0</v>
      </c>
      <c r="I18" s="7" t="n">
        <f aca="false">D18+G18-H18</f>
        <v>37488.3021913738</v>
      </c>
    </row>
    <row r="19" customFormat="false" ht="15" hidden="false" customHeight="false" outlineLevel="0" collapsed="false">
      <c r="C19" s="24" t="n">
        <v>4</v>
      </c>
      <c r="D19" s="7" t="n">
        <f aca="false">I18</f>
        <v>37488.3021913738</v>
      </c>
      <c r="E19" s="7" t="n">
        <f aca="false">$D$7</f>
        <v>2066.33065326633</v>
      </c>
      <c r="F19" s="7" t="n">
        <f aca="false">D19*$D$8</f>
        <v>2105.89249183972</v>
      </c>
      <c r="G19" s="7" t="n">
        <f aca="false">F19-E19</f>
        <v>39.5618385733924</v>
      </c>
      <c r="H19" s="15" t="n">
        <f aca="false">IF(C19=Inputs!$D$34,$D$6,0)</f>
        <v>0</v>
      </c>
      <c r="I19" s="7" t="n">
        <f aca="false">D19+G19-H19</f>
        <v>37527.8640299472</v>
      </c>
    </row>
    <row r="20" customFormat="false" ht="15" hidden="false" customHeight="false" outlineLevel="0" collapsed="false">
      <c r="C20" s="24" t="n">
        <v>5</v>
      </c>
      <c r="D20" s="7" t="n">
        <f aca="false">I19</f>
        <v>37527.8640299472</v>
      </c>
      <c r="E20" s="7" t="n">
        <f aca="false">$D$7</f>
        <v>2066.33065326633</v>
      </c>
      <c r="F20" s="7" t="n">
        <f aca="false">D20*$D$8</f>
        <v>2108.1148645252</v>
      </c>
      <c r="G20" s="7" t="n">
        <f aca="false">F20-E20</f>
        <v>41.784211258871</v>
      </c>
      <c r="H20" s="15" t="n">
        <f aca="false">IF(C20=Inputs!$D$34,$D$6,0)</f>
        <v>37569.648241206</v>
      </c>
      <c r="I20" s="7" t="n">
        <f aca="false">ROUND(D20+G20-H20,6)</f>
        <v>0</v>
      </c>
    </row>
    <row r="23" customFormat="false" ht="15" hidden="false" customHeight="false" outlineLevel="0" collapsed="false">
      <c r="C23" s="5" t="s">
        <v>185</v>
      </c>
      <c r="D23" s="5" t="s">
        <v>186</v>
      </c>
    </row>
    <row r="24" customFormat="false" ht="15" hidden="false" customHeight="false" outlineLevel="0" collapsed="false">
      <c r="C24" s="25" t="n">
        <v>0.035</v>
      </c>
      <c r="D24" s="18" t="n">
        <f aca="false">-PV(C24,Inputs!$D$34,Inputs!$D$32*100,100)</f>
        <v>109.030104750941</v>
      </c>
    </row>
    <row r="25" customFormat="false" ht="15" hidden="false" customHeight="false" outlineLevel="0" collapsed="false">
      <c r="C25" s="25" t="n">
        <v>0.045</v>
      </c>
      <c r="D25" s="18" t="n">
        <f aca="false">-PV(C25,Inputs!$D$34,Inputs!$D$32*100,100)</f>
        <v>104.389976744429</v>
      </c>
    </row>
    <row r="26" customFormat="false" ht="15" hidden="false" customHeight="false" outlineLevel="0" collapsed="false">
      <c r="C26" s="25" t="n">
        <v>0.055</v>
      </c>
      <c r="D26" s="18" t="n">
        <f aca="false">-PV(C26,Inputs!$D$34,Inputs!$D$32*100,100)</f>
        <v>100</v>
      </c>
    </row>
    <row r="27" customFormat="false" ht="15" hidden="false" customHeight="false" outlineLevel="0" collapsed="false">
      <c r="C27" s="25" t="n">
        <v>0.065</v>
      </c>
      <c r="D27" s="18" t="n">
        <f aca="false">-PV(C27,Inputs!$D$34,Inputs!$D$32*100,100)</f>
        <v>95.8443205618608</v>
      </c>
    </row>
    <row r="28" customFormat="false" ht="15" hidden="false" customHeight="false" outlineLevel="0" collapsed="false">
      <c r="C28" s="25" t="n">
        <v>0.075</v>
      </c>
      <c r="D28" s="18" t="n">
        <f aca="false">-PV(C28,Inputs!$D$34,Inputs!$D$32*100,100)</f>
        <v>91.9082301960031</v>
      </c>
    </row>
    <row r="30" customFormat="false" ht="30" hidden="false" customHeight="true" outlineLevel="0" collapsed="false">
      <c r="C30" s="17" t="s">
        <v>187</v>
      </c>
      <c r="D30" s="17"/>
      <c r="E30" s="17"/>
      <c r="F30" s="17"/>
      <c r="G30" s="17"/>
      <c r="H30" s="17"/>
      <c r="I30" s="17"/>
    </row>
  </sheetData>
  <mergeCells count="3">
    <mergeCell ref="C3:I3"/>
    <mergeCell ref="C12:I12"/>
    <mergeCell ref="C30:I30"/>
  </mergeCells>
  <conditionalFormatting sqref="D6:I30">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9" min="4" style="0" width="19"/>
  </cols>
  <sheetData>
    <row r="2" customFormat="false" ht="19.7" hidden="false" customHeight="false" outlineLevel="0" collapsed="false">
      <c r="C2" s="1" t="s">
        <v>188</v>
      </c>
      <c r="H2" s="9" t="s">
        <v>1</v>
      </c>
      <c r="I2" s="3" t="str">
        <f aca="false">Inputs!D50</f>
        <v>Base</v>
      </c>
    </row>
    <row r="3" customFormat="false" ht="15" hidden="false" customHeight="false" outlineLevel="0" collapsed="false">
      <c r="C3" s="4" t="s">
        <v>2</v>
      </c>
      <c r="D3" s="4"/>
      <c r="E3" s="4"/>
      <c r="F3" s="4"/>
      <c r="G3" s="4"/>
      <c r="H3" s="4"/>
      <c r="I3" s="4"/>
    </row>
    <row r="5" customFormat="false" ht="15" hidden="false" customHeight="false" outlineLevel="0" collapsed="false">
      <c r="C5" s="5" t="s">
        <v>189</v>
      </c>
      <c r="D5" s="5" t="s">
        <v>190</v>
      </c>
      <c r="E5" s="5" t="s">
        <v>191</v>
      </c>
      <c r="F5" s="5" t="s">
        <v>131</v>
      </c>
      <c r="G5" s="5" t="s">
        <v>132</v>
      </c>
    </row>
    <row r="6" customFormat="false" ht="15" hidden="false" customHeight="false" outlineLevel="0" collapsed="false">
      <c r="C6" s="9" t="s">
        <v>192</v>
      </c>
      <c r="D6" s="15" t="n">
        <f aca="false">Inputs!$D$17</f>
        <v>11222</v>
      </c>
      <c r="E6" s="15" t="n">
        <f aca="false">Inputs!$D$17</f>
        <v>11222</v>
      </c>
      <c r="F6" s="15" t="n">
        <f aca="false">Inputs!$D$17</f>
        <v>11222</v>
      </c>
      <c r="G6" s="15" t="n">
        <f aca="false">Inputs!$D$17</f>
        <v>11222</v>
      </c>
    </row>
    <row r="7" customFormat="false" ht="15" hidden="false" customHeight="false" outlineLevel="0" collapsed="false">
      <c r="C7" s="9" t="s">
        <v>193</v>
      </c>
      <c r="D7" s="15" t="n">
        <f aca="false">Funding!D8</f>
        <v>12475</v>
      </c>
      <c r="E7" s="15" t="n">
        <f aca="false">Funding!D15</f>
        <v>37381.8</v>
      </c>
      <c r="F7" s="15" t="n">
        <f aca="false">Funding!D15</f>
        <v>37381.8</v>
      </c>
      <c r="G7" s="15" t="n">
        <f aca="false">Funding!D15</f>
        <v>37381.8</v>
      </c>
    </row>
    <row r="8" customFormat="false" ht="15" hidden="false" customHeight="false" outlineLevel="0" collapsed="false">
      <c r="C8" s="9" t="s">
        <v>194</v>
      </c>
      <c r="D8" s="7" t="n">
        <f aca="false">SUM(D6:D7)</f>
        <v>23697</v>
      </c>
      <c r="E8" s="7" t="n">
        <f aca="false">SUM(E6:E7)</f>
        <v>48603.8</v>
      </c>
      <c r="F8" s="7" t="n">
        <f aca="false">SUM(F6:F7)</f>
        <v>48603.8</v>
      </c>
      <c r="G8" s="7" t="n">
        <f aca="false">SUM(G6:G7)</f>
        <v>48603.8</v>
      </c>
    </row>
    <row r="9" customFormat="false" ht="15" hidden="false" customHeight="false" outlineLevel="0" collapsed="false">
      <c r="C9" s="9" t="s">
        <v>195</v>
      </c>
      <c r="D9" s="15" t="n">
        <f aca="false">Inputs!$D$19+D7</f>
        <v>491311</v>
      </c>
      <c r="E9" s="15" t="n">
        <f aca="false">Inputs!$D$19+E7</f>
        <v>516217.8</v>
      </c>
      <c r="F9" s="15" t="n">
        <f aca="false">Inputs!$D$19+F7</f>
        <v>516217.8</v>
      </c>
      <c r="G9" s="15" t="n">
        <f aca="false">Inputs!$D$19+G7</f>
        <v>516217.8</v>
      </c>
    </row>
    <row r="10" customFormat="false" ht="15" hidden="false" customHeight="false" outlineLevel="0" collapsed="false">
      <c r="C10" s="9" t="s">
        <v>196</v>
      </c>
      <c r="D10" s="7" t="n">
        <f aca="false">SUM(D13:D14)</f>
        <v>491311</v>
      </c>
      <c r="E10" s="7" t="n">
        <f aca="false">SUM(E13:E14)</f>
        <v>516217.8</v>
      </c>
      <c r="F10" s="7" t="n">
        <f aca="false">SUM(F13:F14)</f>
        <v>516217.8</v>
      </c>
      <c r="G10" s="7" t="n">
        <f aca="false">SUM(G13:G14)</f>
        <v>516217.8</v>
      </c>
    </row>
    <row r="11" customFormat="false" ht="15" hidden="false" customHeight="false" outlineLevel="0" collapsed="false">
      <c r="C11" s="9" t="s">
        <v>197</v>
      </c>
      <c r="D11" s="26" t="n">
        <f aca="false">D9-D10</f>
        <v>0</v>
      </c>
      <c r="E11" s="26" t="n">
        <f aca="false">E9-E10</f>
        <v>0</v>
      </c>
      <c r="F11" s="26" t="n">
        <f aca="false">F9-F10</f>
        <v>0</v>
      </c>
      <c r="G11" s="26" t="n">
        <f aca="false">G9-G10</f>
        <v>0</v>
      </c>
    </row>
    <row r="13" customFormat="false" ht="15" hidden="false" customHeight="false" outlineLevel="0" collapsed="false">
      <c r="C13" s="9" t="s">
        <v>198</v>
      </c>
      <c r="D13" s="15" t="n">
        <f aca="false">Inputs!$D$20</f>
        <v>206450</v>
      </c>
      <c r="E13" s="15" t="n">
        <f aca="false">Inputs!$D$20</f>
        <v>206450</v>
      </c>
      <c r="F13" s="15" t="n">
        <f aca="false">Inputs!$D$20</f>
        <v>206450</v>
      </c>
      <c r="G13" s="15" t="n">
        <f aca="false">Inputs!$D$20+G7</f>
        <v>243831.8</v>
      </c>
    </row>
    <row r="14" customFormat="false" ht="15" hidden="false" customHeight="false" outlineLevel="0" collapsed="false">
      <c r="C14" s="9" t="s">
        <v>199</v>
      </c>
      <c r="D14" s="15" t="n">
        <f aca="false">Inputs!$D$21+D7</f>
        <v>284861</v>
      </c>
      <c r="E14" s="15" t="n">
        <f aca="false">Inputs!$D$21+E7</f>
        <v>309767.8</v>
      </c>
      <c r="F14" s="15" t="n">
        <f aca="false">Inputs!$D$21+F7</f>
        <v>309767.8</v>
      </c>
      <c r="G14" s="15" t="n">
        <f aca="false">Inputs!$D$21</f>
        <v>272386</v>
      </c>
    </row>
    <row r="17" customFormat="false" ht="30" hidden="false" customHeight="true" outlineLevel="0" collapsed="false">
      <c r="C17" s="17" t="s">
        <v>200</v>
      </c>
      <c r="D17" s="17"/>
      <c r="E17" s="17"/>
      <c r="F17" s="17"/>
      <c r="G17" s="17"/>
      <c r="H17" s="17"/>
      <c r="I17" s="17"/>
    </row>
    <row r="19" customFormat="false" ht="30" hidden="false" customHeight="true" outlineLevel="0" collapsed="false">
      <c r="C19" s="17" t="s">
        <v>201</v>
      </c>
      <c r="D19" s="17"/>
      <c r="E19" s="17"/>
      <c r="F19" s="17"/>
      <c r="G19" s="17"/>
      <c r="H19" s="17"/>
      <c r="I19" s="17"/>
    </row>
  </sheetData>
  <mergeCells count="3">
    <mergeCell ref="C3:I3"/>
    <mergeCell ref="C17:I17"/>
    <mergeCell ref="C19:I19"/>
  </mergeCells>
  <conditionalFormatting sqref="D6:I19">
    <cfRule type="cellIs" priority="2" operator="lessThan" aboveAverage="0" equalAverage="0" bottom="0" percent="0" rank="0" text="" dxfId="0">
      <formula>-0.00001</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C2: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
    <col collapsed="false" customWidth="true" hidden="false" outlineLevel="0" max="3" min="3" style="0" width="55"/>
    <col collapsed="false" customWidth="true" hidden="false" outlineLevel="0" max="4" min="4" style="0" width="80"/>
    <col collapsed="false" customWidth="true" hidden="false" outlineLevel="0" max="5" min="5" style="0" width="95"/>
    <col collapsed="false" customWidth="true" hidden="false" outlineLevel="0" max="9" min="6" style="0" width="19"/>
  </cols>
  <sheetData>
    <row r="2" customFormat="false" ht="19.7" hidden="false" customHeight="false" outlineLevel="0" collapsed="false">
      <c r="C2" s="1" t="s">
        <v>202</v>
      </c>
    </row>
    <row r="3" customFormat="false" ht="15" hidden="false" customHeight="false" outlineLevel="0" collapsed="false">
      <c r="C3" s="4" t="s">
        <v>2</v>
      </c>
      <c r="D3" s="4"/>
      <c r="E3" s="4"/>
      <c r="F3" s="4"/>
      <c r="G3" s="4"/>
      <c r="H3" s="4"/>
      <c r="I3" s="4"/>
    </row>
    <row r="5" customFormat="false" ht="15" hidden="false" customHeight="false" outlineLevel="0" collapsed="false">
      <c r="C5" s="5" t="s">
        <v>203</v>
      </c>
      <c r="D5" s="5" t="s">
        <v>204</v>
      </c>
      <c r="E5" s="5" t="s">
        <v>205</v>
      </c>
    </row>
    <row r="6" customFormat="false" ht="75" hidden="false" customHeight="true" outlineLevel="0" collapsed="false">
      <c r="C6" s="9" t="s">
        <v>28</v>
      </c>
      <c r="D6" s="11" t="s">
        <v>206</v>
      </c>
      <c r="E6" s="11" t="s">
        <v>207</v>
      </c>
    </row>
    <row r="7" customFormat="false" ht="75" hidden="false" customHeight="true" outlineLevel="0" collapsed="false">
      <c r="C7" s="9" t="s">
        <v>208</v>
      </c>
      <c r="D7" s="11" t="s">
        <v>209</v>
      </c>
      <c r="E7" s="11" t="s">
        <v>210</v>
      </c>
    </row>
    <row r="8" customFormat="false" ht="75" hidden="false" customHeight="true" outlineLevel="0" collapsed="false">
      <c r="C8" s="9" t="s">
        <v>211</v>
      </c>
      <c r="D8" s="11" t="s">
        <v>212</v>
      </c>
      <c r="E8" s="11" t="s">
        <v>213</v>
      </c>
    </row>
    <row r="9" customFormat="false" ht="75" hidden="false" customHeight="true" outlineLevel="0" collapsed="false">
      <c r="C9" s="9" t="s">
        <v>214</v>
      </c>
      <c r="D9" s="11" t="s">
        <v>215</v>
      </c>
      <c r="E9" s="11" t="s">
        <v>216</v>
      </c>
    </row>
  </sheetData>
  <mergeCells count="1">
    <mergeCell ref="C3:I3"/>
  </mergeCells>
  <conditionalFormatting sqref="D6:I9">
    <cfRule type="cellIs" priority="2" operator="lessThan" aboveAverage="0" equalAverage="0" bottom="0" percent="0" rank="0" text="" dxfId="0">
      <formula>-0.00001</formula>
    </cfRule>
  </conditionalFormatting>
  <hyperlinks>
    <hyperlink ref="E6" r:id="rId1" display="https://investor.atmeta.com/investor-news/press-release-details/2026/Meta-Announces-Pricing-of-Offering-of-Depositary-Shares-Representing-Series-A-Mandatory-Convertible-Preferred-Stock-and-Offering-of-Class-A-Common-Stock-in-Connection-with-Forward-Sale-Agreements/default.aspx"/>
    <hyperlink ref="E7" r:id="rId2" display="https://investor.atmeta.com/investor-news/press-release-details/2026/Meta-Announces-Launch-of-Offering-of-Depositary-Shares-Representing-Series-A-Mandatory-Convertible-Preferred-Stock-and-Offering-of-Class-A-Common-Stock-in-Connection-with-Forward-Sale-Agreements/default.aspx"/>
    <hyperlink ref="E8" r:id="rId3" display="https://investor.atmeta.com/investor-news/press-release-details/2026/Meta-Reports-Third-Quarter-2026-Results/default.aspx"/>
    <hyperlink ref="E9" r:id="rId4" display="https://www.sec.gov/Archives/edgar/data/1326801/000162828026050705/meta-20260630.htm"/>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2026-10-27T21:15:37Z</dcterms:created>
  <dc:creator>openpyxl</dc:creator>
  <dc:description/>
  <dc:language>en-GB</dc:language>
  <cp:lastModifiedBy/>
  <dcterms:modified xsi:type="dcterms:W3CDTF">2026-10-27T21:15:37Z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