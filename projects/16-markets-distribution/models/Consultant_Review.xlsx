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Performance" sheetId="2" state="visible" r:id="rId4"/>
    <sheet name="Exposure" sheetId="3" state="visible" r:id="rId5"/>
    <sheet name="Requests" sheetId="4" state="visible" r:id="rId6"/>
    <sheet name="Inputs" sheetId="5" state="visible" r:id="rId7"/>
    <sheet name="Sourc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<sst xmlns="http://schemas.openxmlformats.org/spreadsheetml/2006/main" count="110" uniqueCount="97">
  <si>
    <t xml:space="preserve">Institutional client review: independent case</t>
  </si>
  <si>
    <t xml:space="preserve">Anchor</t>
  </si>
  <si>
    <t xml:space="preserve">Hypothetical UK pension; US fund used only as a public research proxy</t>
  </si>
  <si>
    <t xml:space="preserve">Call</t>
  </si>
  <si>
    <t xml:space="preserve">ESCALATE for further due diligence; no mandate approval</t>
  </si>
  <si>
    <t xml:space="preserve">Quarter excess, bp</t>
  </si>
  <si>
    <t xml:space="preserve">1-year excess, bp</t>
  </si>
  <si>
    <t xml:space="preserve">Open requests</t>
  </si>
  <si>
    <t xml:space="preserve">Total sample requests</t>
  </si>
  <si>
    <t xml:space="preserve">Scope</t>
  </si>
  <si>
    <t xml:space="preserve">As of30 June2026. No real client meetings, requests or replies are implied</t>
  </si>
  <si>
    <t xml:space="preserve">Gate</t>
  </si>
  <si>
    <t xml:space="preserve">Do not use US fund results as a GBP-hedged institutional mandate record</t>
  </si>
  <si>
    <t xml:space="preserve">Performance: Class I vs benchmark</t>
  </si>
  <si>
    <t xml:space="preserve">Fund %</t>
  </si>
  <si>
    <t xml:space="preserve">Benchmark %</t>
  </si>
  <si>
    <t xml:space="preserve">Arithmetic excess bp</t>
  </si>
  <si>
    <t xml:space="preserve">Convention</t>
  </si>
  <si>
    <t xml:space="preserve">3m/YTD cumulative; 1y and longer annualised. Excess is arithmetic difference, not geometric or risk-adjusted alpha</t>
  </si>
  <si>
    <t xml:space="preserve">Use</t>
  </si>
  <si>
    <t xml:space="preserve">Do not blend these horizons or infer return contributions from sector weights</t>
  </si>
  <si>
    <t xml:space="preserve">Sector</t>
  </si>
  <si>
    <t xml:space="preserve">Active percentage points</t>
  </si>
  <si>
    <t xml:space="preserve">Total</t>
  </si>
  <si>
    <t xml:space="preserve">Benchmark rounding residual</t>
  </si>
  <si>
    <t xml:space="preserve">Caution</t>
  </si>
  <si>
    <t xml:space="preserve">Exposure differences are not measured return attribution. Benchmark source sums99.9%; residual0.1pp is not allocated</t>
  </si>
  <si>
    <t xml:space="preserve">ID</t>
  </si>
  <si>
    <t xml:space="preserve">Consultant question</t>
  </si>
  <si>
    <t xml:space="preserve">Status</t>
  </si>
  <si>
    <t xml:space="preserve">Evidence / gap</t>
  </si>
  <si>
    <t xml:space="preserve">Suggested role owner</t>
  </si>
  <si>
    <t xml:space="preserve">Due day, illustrative</t>
  </si>
  <si>
    <t xml:space="preserve">Q1</t>
  </si>
  <si>
    <t xml:space="preserve">Performance periods and fee basis</t>
  </si>
  <si>
    <t xml:space="preserve">Supported</t>
  </si>
  <si>
    <t xml:space="preserve">Factsheet p1 and commentary p1: Class I net returns, identical 30 Jun 2026 end date</t>
  </si>
  <si>
    <t xml:space="preserve">Research analyst</t>
  </si>
  <si>
    <t xml:space="preserve">Q2</t>
  </si>
  <si>
    <t xml:space="preserve">Benchmark identity</t>
  </si>
  <si>
    <t xml:space="preserve">Bloomberg Global Aggregate Index, factsheet p1</t>
  </si>
  <si>
    <t xml:space="preserve">Q3</t>
  </si>
  <si>
    <t xml:space="preserve">Share-class costs and waiver</t>
  </si>
  <si>
    <t xml:space="preserve">0.67% net and 0.79% gross, waiver 31 Jan 2027, factsheet p1</t>
  </si>
  <si>
    <t xml:space="preserve">Client service</t>
  </si>
  <si>
    <t xml:space="preserve">Q4</t>
  </si>
  <si>
    <t xml:space="preserve">Numerical return attribution</t>
  </si>
  <si>
    <t xml:space="preserve">Open</t>
  </si>
  <si>
    <t xml:space="preserve">Commentary p2 names contributors but does not quantify contributions</t>
  </si>
  <si>
    <t xml:space="preserve">Investment team</t>
  </si>
  <si>
    <t xml:space="preserve">Q5</t>
  </si>
  <si>
    <t xml:space="preserve">GBP-hedged mandate suitability</t>
  </si>
  <si>
    <t xml:space="preserve">US mutual fund snapshot does not establish GBP-hedged institutional mandate terms</t>
  </si>
  <si>
    <t xml:space="preserve">Investment director</t>
  </si>
  <si>
    <t xml:space="preserve">Q6</t>
  </si>
  <si>
    <t xml:space="preserve">Institutional client access</t>
  </si>
  <si>
    <t xml:space="preserve">Hypothetical UK pension eligibility and appropriate vehicle require confirmation</t>
  </si>
  <si>
    <t xml:space="preserve">Q7</t>
  </si>
  <si>
    <t xml:space="preserve">Holdings and process consistency</t>
  </si>
  <si>
    <t xml:space="preserve">Aggregate sectors cannot establish trading decisions or security-level discipline</t>
  </si>
  <si>
    <t xml:space="preserve">Q8</t>
  </si>
  <si>
    <t xml:space="preserve">Class R identifier inconsistency</t>
  </si>
  <si>
    <t xml:space="preserve">Factsheet header LSGBXR differs from fund-facts table LSGLX</t>
  </si>
  <si>
    <t xml:space="preserve">Inputs: 30 June 2026 Class I</t>
  </si>
  <si>
    <t xml:space="preserve">Fund return %</t>
  </si>
  <si>
    <t xml:space="preserve">Benchmark return %</t>
  </si>
  <si>
    <t xml:space="preserve">Fund weight %</t>
  </si>
  <si>
    <t xml:space="preserve">Benchmark weight %</t>
  </si>
  <si>
    <t xml:space="preserve">3 months</t>
  </si>
  <si>
    <t xml:space="preserve">Global Treasuries</t>
  </si>
  <si>
    <t xml:space="preserve">YTD</t>
  </si>
  <si>
    <t xml:space="preserve">Corporates</t>
  </si>
  <si>
    <t xml:space="preserve">1 year</t>
  </si>
  <si>
    <t xml:space="preserve">Securitized</t>
  </si>
  <si>
    <t xml:space="preserve">3 years annualised</t>
  </si>
  <si>
    <t xml:space="preserve">Government Related</t>
  </si>
  <si>
    <t xml:space="preserve">5 years annualised</t>
  </si>
  <si>
    <t xml:space="preserve">Cash &amp; Equivalents</t>
  </si>
  <si>
    <t xml:space="preserve">10 years annualised</t>
  </si>
  <si>
    <t xml:space="preserve">Sources</t>
  </si>
  <si>
    <t xml:space="preserve">Document</t>
  </si>
  <si>
    <t xml:space="preserve">Page/date</t>
  </si>
  <si>
    <t xml:space="preserve">Factsheet</t>
  </si>
  <si>
    <t xml:space="preserve">https://www.loomissayles.com/wp-content/uploads/2026/07/GlobalBondFund-FactSheet.pdf</t>
  </si>
  <si>
    <t xml:space="preserve">p1 returns; p2 sectors, 30 Jun 2026</t>
  </si>
  <si>
    <t xml:space="preserve">Commentary</t>
  </si>
  <si>
    <t xml:space="preserve">https://www.loomissayles.com/wp-content/uploads/2026/07/GlobalBondFund-Commentary.pdf</t>
  </si>
  <si>
    <t xml:space="preserve">p1 return cross-check, p2 qualitative attribution</t>
  </si>
  <si>
    <t xml:space="preserve">Basis</t>
  </si>
  <si>
    <t xml:space="preserve">USD US fund Class I vs Bloomberg Global Aggregate, not a strategy composite</t>
  </si>
  <si>
    <t xml:space="preserve">Same end date</t>
  </si>
  <si>
    <t xml:space="preserve">Assumptions</t>
  </si>
  <si>
    <t xml:space="preserve">Sample questions, owner roles and five-day target are illustrative workflow fields</t>
  </si>
  <si>
    <t xml:space="preserve">No live requests</t>
  </si>
  <si>
    <t xml:space="preserve">Cash benchmark</t>
  </si>
  <si>
    <t xml:space="preserve">Dash interpreted as0 in displayed sector table, source benchmark total99.9 with0.1pp rounding residual</t>
  </si>
  <si>
    <t xml:space="preserve">Explicit interpretation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</si>
</sst>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;[RED]\(0.00\);\-"/>
    <numFmt numFmtId="166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ptos"/>
      <family val="0"/>
      <charset val="1"/>
    </font>
    <font>
      <sz val="10"/>
      <color rgb="FF222222"/>
      <name val="Aptos"/>
      <family val="0"/>
      <charset val="1"/>
    </font>
    <font>
      <sz val="10"/>
      <color rgb="FF008000"/>
      <name val="Aptos"/>
      <family val="0"/>
      <charset val="1"/>
    </font>
    <font>
      <sz val="10"/>
      <color rgb="FF000000"/>
      <name val="Aptos"/>
      <family val="0"/>
      <charset val="1"/>
    </font>
    <font>
      <sz val="10"/>
      <color rgb="FF0000FF"/>
      <name val="Apto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7365D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3"/>
    <col collapsed="false" customWidth="true" hidden="false" outlineLevel="0" max="2" min="2" style="0" width="105"/>
  </cols>
  <sheetData>
    <row r="1" customFormat="false" ht="37.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1</v>
      </c>
      <c r="B2" s="2" t="s">
        <v>2</v>
      </c>
    </row>
    <row r="3" customFormat="false" ht="27.75" hidden="false" customHeight="true" outlineLevel="0" collapsed="false">
      <c r="A3" s="2" t="s">
        <v>3</v>
      </c>
      <c r="B3" s="2" t="s">
        <v>4</v>
      </c>
    </row>
    <row r="4" customFormat="false" ht="27.75" hidden="false" customHeight="true" outlineLevel="0" collapsed="false">
      <c r="A4" s="2" t="s">
        <v>5</v>
      </c>
      <c r="B4" s="3" t="n">
        <f aca="false">Performance!D2</f>
        <v>18</v>
      </c>
    </row>
    <row r="5" customFormat="false" ht="27.75" hidden="false" customHeight="true" outlineLevel="0" collapsed="false">
      <c r="A5" s="2" t="s">
        <v>6</v>
      </c>
      <c r="B5" s="4" t="n">
        <f aca="false">Performance!D4</f>
        <v>-51</v>
      </c>
    </row>
    <row r="6" customFormat="false" ht="27.75" hidden="false" customHeight="true" outlineLevel="0" collapsed="false">
      <c r="A6" s="2" t="s">
        <v>7</v>
      </c>
      <c r="B6" s="4" t="n">
        <f aca="false">COUNTIF(Requests!C2:C9,"Open")</f>
        <v>5</v>
      </c>
    </row>
    <row r="7" customFormat="false" ht="27.75" hidden="false" customHeight="true" outlineLevel="0" collapsed="false">
      <c r="A7" s="2" t="s">
        <v>8</v>
      </c>
      <c r="B7" s="4" t="n">
        <f aca="false">COUNTA(Requests!A2:A9)</f>
        <v>8</v>
      </c>
    </row>
    <row r="8" customFormat="false" ht="27.75" hidden="false" customHeight="true" outlineLevel="0" collapsed="false">
      <c r="A8" s="2" t="s">
        <v>9</v>
      </c>
      <c r="B8" s="2" t="s">
        <v>10</v>
      </c>
    </row>
    <row r="9" customFormat="false" ht="27.75" hidden="false" customHeight="true" outlineLevel="0" collapsed="false">
      <c r="A9" s="2" t="s">
        <v>11</v>
      </c>
      <c r="B9" s="2" t="s">
        <v>12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3"/>
    <col collapsed="false" customWidth="true" hidden="false" outlineLevel="0" max="4" min="2" style="0" width="28"/>
  </cols>
  <sheetData>
    <row r="1" customFormat="false" ht="27.75" hidden="false" customHeight="true" outlineLevel="0" collapsed="false">
      <c r="A1" s="1" t="s">
        <v>13</v>
      </c>
      <c r="B1" s="1" t="s">
        <v>14</v>
      </c>
      <c r="C1" s="1" t="s">
        <v>15</v>
      </c>
      <c r="D1" s="1" t="s">
        <v>16</v>
      </c>
    </row>
    <row r="2" customFormat="false" ht="27.75" hidden="false" customHeight="true" outlineLevel="0" collapsed="false">
      <c r="A2" s="4" t="str">
        <f aca="false">Inputs!A2</f>
        <v>3 months</v>
      </c>
      <c r="B2" s="3" t="n">
        <f aca="false">Inputs!B2</f>
        <v>1.05</v>
      </c>
      <c r="C2" s="3" t="n">
        <f aca="false">Inputs!C2</f>
        <v>0.87</v>
      </c>
      <c r="D2" s="5" t="n">
        <f aca="false">(B2-C2)*100</f>
        <v>18</v>
      </c>
    </row>
    <row r="3" customFormat="false" ht="27.75" hidden="false" customHeight="true" outlineLevel="0" collapsed="false">
      <c r="A3" s="4" t="str">
        <f aca="false">Inputs!A3</f>
        <v>YTD</v>
      </c>
      <c r="B3" s="3" t="n">
        <f aca="false">Inputs!B3</f>
        <v>-0.26</v>
      </c>
      <c r="C3" s="3" t="n">
        <f aca="false">Inputs!C3</f>
        <v>-0.21</v>
      </c>
      <c r="D3" s="5" t="n">
        <f aca="false">(B3-C3)*100</f>
        <v>-5</v>
      </c>
    </row>
    <row r="4" customFormat="false" ht="27.75" hidden="false" customHeight="true" outlineLevel="0" collapsed="false">
      <c r="A4" s="4" t="str">
        <f aca="false">Inputs!A4</f>
        <v>1 year</v>
      </c>
      <c r="B4" s="3" t="n">
        <f aca="false">Inputs!B4</f>
        <v>0.11</v>
      </c>
      <c r="C4" s="3" t="n">
        <f aca="false">Inputs!C4</f>
        <v>0.62</v>
      </c>
      <c r="D4" s="5" t="n">
        <f aca="false">(B4-C4)*100</f>
        <v>-51</v>
      </c>
    </row>
    <row r="5" customFormat="false" ht="27.75" hidden="false" customHeight="true" outlineLevel="0" collapsed="false">
      <c r="A5" s="4" t="str">
        <f aca="false">Inputs!A5</f>
        <v>3 years annualised</v>
      </c>
      <c r="B5" s="3" t="n">
        <f aca="false">Inputs!B5</f>
        <v>3.28</v>
      </c>
      <c r="C5" s="3" t="n">
        <f aca="false">Inputs!C5</f>
        <v>3.41</v>
      </c>
      <c r="D5" s="5" t="n">
        <f aca="false">(B5-C5)*100</f>
        <v>-13</v>
      </c>
    </row>
    <row r="6" customFormat="false" ht="27.75" hidden="false" customHeight="true" outlineLevel="0" collapsed="false">
      <c r="A6" s="4" t="str">
        <f aca="false">Inputs!A6</f>
        <v>5 years annualised</v>
      </c>
      <c r="B6" s="3" t="n">
        <f aca="false">Inputs!B6</f>
        <v>-2.01</v>
      </c>
      <c r="C6" s="3" t="n">
        <f aca="false">Inputs!C6</f>
        <v>-1.55</v>
      </c>
      <c r="D6" s="5" t="n">
        <f aca="false">(B6-C6)*100</f>
        <v>-46</v>
      </c>
    </row>
    <row r="7" customFormat="false" ht="27.75" hidden="false" customHeight="true" outlineLevel="0" collapsed="false">
      <c r="A7" s="4" t="str">
        <f aca="false">Inputs!A7</f>
        <v>10 years annualised</v>
      </c>
      <c r="B7" s="3" t="n">
        <f aca="false">Inputs!B7</f>
        <v>0.72</v>
      </c>
      <c r="C7" s="3" t="n">
        <f aca="false">Inputs!C7</f>
        <v>0.38</v>
      </c>
      <c r="D7" s="5" t="n">
        <f aca="false">(B7-C7)*100</f>
        <v>34</v>
      </c>
    </row>
    <row r="8" customFormat="false" ht="37.5" hidden="false" customHeight="true" outlineLevel="0" collapsed="false">
      <c r="A8" s="2" t="s">
        <v>17</v>
      </c>
      <c r="B8" s="6" t="s">
        <v>18</v>
      </c>
      <c r="C8" s="6"/>
      <c r="D8" s="6"/>
    </row>
    <row r="9" customFormat="false" ht="37.5" hidden="false" customHeight="true" outlineLevel="0" collapsed="false">
      <c r="A9" s="2" t="s">
        <v>19</v>
      </c>
      <c r="B9" s="6" t="s">
        <v>20</v>
      </c>
      <c r="C9" s="6"/>
      <c r="D9" s="6"/>
    </row>
  </sheetData>
  <mergeCells count="2">
    <mergeCell ref="B8:D8"/>
    <mergeCell ref="B9:D9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3"/>
    <col collapsed="false" customWidth="true" hidden="false" outlineLevel="0" max="4" min="2" style="0" width="28"/>
  </cols>
  <sheetData>
    <row r="1" customFormat="false" ht="37.5" hidden="false" customHeight="true" outlineLevel="0" collapsed="false">
      <c r="A1" s="1" t="s">
        <v>21</v>
      </c>
      <c r="B1" s="1" t="s">
        <v>14</v>
      </c>
      <c r="C1" s="1" t="s">
        <v>15</v>
      </c>
      <c r="D1" s="1" t="s">
        <v>22</v>
      </c>
    </row>
    <row r="2" customFormat="false" ht="27.75" hidden="false" customHeight="true" outlineLevel="0" collapsed="false">
      <c r="A2" s="4" t="str">
        <f aca="false">Inputs!E2</f>
        <v>Global Treasuries</v>
      </c>
      <c r="B2" s="3" t="n">
        <f aca="false">Inputs!F2</f>
        <v>40.7</v>
      </c>
      <c r="C2" s="3" t="n">
        <f aca="false">Inputs!G2</f>
        <v>53.7</v>
      </c>
      <c r="D2" s="5" t="n">
        <f aca="false">B2-C2</f>
        <v>-13</v>
      </c>
    </row>
    <row r="3" customFormat="false" ht="27.75" hidden="false" customHeight="true" outlineLevel="0" collapsed="false">
      <c r="A3" s="4" t="str">
        <f aca="false">Inputs!E3</f>
        <v>Corporates</v>
      </c>
      <c r="B3" s="3" t="n">
        <f aca="false">Inputs!F3</f>
        <v>31.9</v>
      </c>
      <c r="C3" s="3" t="n">
        <f aca="false">Inputs!G3</f>
        <v>18.4</v>
      </c>
      <c r="D3" s="5" t="n">
        <f aca="false">B3-C3</f>
        <v>13.5</v>
      </c>
    </row>
    <row r="4" customFormat="false" ht="27.75" hidden="false" customHeight="true" outlineLevel="0" collapsed="false">
      <c r="A4" s="4" t="str">
        <f aca="false">Inputs!E4</f>
        <v>Securitized</v>
      </c>
      <c r="B4" s="3" t="n">
        <f aca="false">Inputs!F4</f>
        <v>12.8</v>
      </c>
      <c r="C4" s="3" t="n">
        <f aca="false">Inputs!G4</f>
        <v>12.7</v>
      </c>
      <c r="D4" s="5" t="n">
        <f aca="false">B4-C4</f>
        <v>0.100000000000001</v>
      </c>
    </row>
    <row r="5" customFormat="false" ht="27.75" hidden="false" customHeight="true" outlineLevel="0" collapsed="false">
      <c r="A5" s="4" t="str">
        <f aca="false">Inputs!E5</f>
        <v>Government Related</v>
      </c>
      <c r="B5" s="3" t="n">
        <f aca="false">Inputs!F5</f>
        <v>10.9</v>
      </c>
      <c r="C5" s="3" t="n">
        <f aca="false">Inputs!G5</f>
        <v>15.1</v>
      </c>
      <c r="D5" s="5" t="n">
        <f aca="false">B5-C5</f>
        <v>-4.2</v>
      </c>
    </row>
    <row r="6" customFormat="false" ht="27.75" hidden="false" customHeight="true" outlineLevel="0" collapsed="false">
      <c r="A6" s="4" t="str">
        <f aca="false">Inputs!E6</f>
        <v>Cash &amp; Equivalents</v>
      </c>
      <c r="B6" s="3" t="n">
        <f aca="false">Inputs!F6</f>
        <v>3.7</v>
      </c>
      <c r="C6" s="3" t="n">
        <f aca="false">Inputs!G6</f>
        <v>0</v>
      </c>
      <c r="D6" s="5" t="n">
        <f aca="false">B6-C6</f>
        <v>3.7</v>
      </c>
    </row>
    <row r="7" customFormat="false" ht="27.75" hidden="false" customHeight="true" outlineLevel="0" collapsed="false">
      <c r="A7" s="2" t="s">
        <v>23</v>
      </c>
      <c r="B7" s="5" t="n">
        <f aca="false">SUM(B2:B6)</f>
        <v>100</v>
      </c>
      <c r="C7" s="5" t="n">
        <f aca="false">SUM(C2:C6)</f>
        <v>99.9</v>
      </c>
      <c r="D7" s="5" t="n">
        <f aca="false">SUM(D2:D6)</f>
        <v>0.100000000000002</v>
      </c>
    </row>
    <row r="8" customFormat="false" ht="27.75" hidden="false" customHeight="true" outlineLevel="0" collapsed="false">
      <c r="A8" s="2" t="s">
        <v>24</v>
      </c>
      <c r="B8" s="7" t="n">
        <f aca="false">100-C7</f>
        <v>0.0999999999999943</v>
      </c>
      <c r="C8" s="2"/>
      <c r="D8" s="2"/>
    </row>
    <row r="9" customFormat="false" ht="37.5" hidden="false" customHeight="true" outlineLevel="0" collapsed="false">
      <c r="A9" s="2" t="s">
        <v>25</v>
      </c>
      <c r="B9" s="6" t="s">
        <v>26</v>
      </c>
      <c r="C9" s="6"/>
      <c r="D9" s="6"/>
    </row>
  </sheetData>
  <mergeCells count="1">
    <mergeCell ref="B9:D9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3"/>
    <col collapsed="false" customWidth="true" hidden="false" outlineLevel="0" max="6" min="2" style="0" width="28"/>
  </cols>
  <sheetData>
    <row r="1" customFormat="false" ht="27.75" hidden="false" customHeight="true" outlineLevel="0" collapsed="false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</row>
    <row r="2" customFormat="false" ht="66" hidden="false" customHeight="true" outlineLevel="0" collapsed="false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8" t="n">
        <v>5</v>
      </c>
    </row>
    <row r="3" customFormat="false" ht="37.5" hidden="false" customHeight="true" outlineLevel="0" collapsed="false">
      <c r="A3" s="2" t="s">
        <v>38</v>
      </c>
      <c r="B3" s="2" t="s">
        <v>39</v>
      </c>
      <c r="C3" s="2" t="s">
        <v>35</v>
      </c>
      <c r="D3" s="2" t="s">
        <v>40</v>
      </c>
      <c r="E3" s="2" t="s">
        <v>37</v>
      </c>
      <c r="F3" s="8" t="n">
        <v>5</v>
      </c>
    </row>
    <row r="4" customFormat="false" ht="51.75" hidden="false" customHeight="true" outlineLevel="0" collapsed="false">
      <c r="A4" s="2" t="s">
        <v>41</v>
      </c>
      <c r="B4" s="2" t="s">
        <v>42</v>
      </c>
      <c r="C4" s="2" t="s">
        <v>35</v>
      </c>
      <c r="D4" s="2" t="s">
        <v>43</v>
      </c>
      <c r="E4" s="2" t="s">
        <v>44</v>
      </c>
      <c r="F4" s="8" t="n">
        <v>5</v>
      </c>
    </row>
    <row r="5" customFormat="false" ht="51.75" hidden="false" customHeight="true" outlineLevel="0" collapsed="false">
      <c r="A5" s="2" t="s">
        <v>45</v>
      </c>
      <c r="B5" s="2" t="s">
        <v>46</v>
      </c>
      <c r="C5" s="2" t="s">
        <v>47</v>
      </c>
      <c r="D5" s="2" t="s">
        <v>48</v>
      </c>
      <c r="E5" s="2" t="s">
        <v>49</v>
      </c>
      <c r="F5" s="8" t="n">
        <v>5</v>
      </c>
    </row>
    <row r="6" customFormat="false" ht="66" hidden="false" customHeight="true" outlineLevel="0" collapsed="false">
      <c r="A6" s="2" t="s">
        <v>50</v>
      </c>
      <c r="B6" s="2" t="s">
        <v>51</v>
      </c>
      <c r="C6" s="2" t="s">
        <v>47</v>
      </c>
      <c r="D6" s="2" t="s">
        <v>52</v>
      </c>
      <c r="E6" s="2" t="s">
        <v>53</v>
      </c>
      <c r="F6" s="8" t="n">
        <v>5</v>
      </c>
    </row>
    <row r="7" customFormat="false" ht="66" hidden="false" customHeight="true" outlineLevel="0" collapsed="false">
      <c r="A7" s="2" t="s">
        <v>54</v>
      </c>
      <c r="B7" s="2" t="s">
        <v>55</v>
      </c>
      <c r="C7" s="2" t="s">
        <v>47</v>
      </c>
      <c r="D7" s="2" t="s">
        <v>56</v>
      </c>
      <c r="E7" s="2" t="s">
        <v>44</v>
      </c>
      <c r="F7" s="8" t="n">
        <v>5</v>
      </c>
    </row>
    <row r="8" customFormat="false" ht="66" hidden="false" customHeight="true" outlineLevel="0" collapsed="false">
      <c r="A8" s="2" t="s">
        <v>57</v>
      </c>
      <c r="B8" s="2" t="s">
        <v>58</v>
      </c>
      <c r="C8" s="2" t="s">
        <v>47</v>
      </c>
      <c r="D8" s="2" t="s">
        <v>59</v>
      </c>
      <c r="E8" s="2" t="s">
        <v>49</v>
      </c>
      <c r="F8" s="8" t="n">
        <v>5</v>
      </c>
    </row>
    <row r="9" customFormat="false" ht="51.75" hidden="false" customHeight="true" outlineLevel="0" collapsed="false">
      <c r="A9" s="2" t="s">
        <v>60</v>
      </c>
      <c r="B9" s="2" t="s">
        <v>61</v>
      </c>
      <c r="C9" s="2" t="s">
        <v>47</v>
      </c>
      <c r="D9" s="2" t="s">
        <v>62</v>
      </c>
      <c r="E9" s="2" t="s">
        <v>44</v>
      </c>
      <c r="F9" s="8" t="n">
        <v>5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3"/>
    <col collapsed="false" customWidth="true" hidden="false" outlineLevel="0" max="7" min="2" style="0" width="28"/>
  </cols>
  <sheetData>
    <row r="1" customFormat="false" ht="27.75" hidden="false" customHeight="true" outlineLevel="0" collapsed="false">
      <c r="A1" s="1" t="s">
        <v>63</v>
      </c>
      <c r="B1" s="1" t="s">
        <v>64</v>
      </c>
      <c r="C1" s="1" t="s">
        <v>65</v>
      </c>
      <c r="D1" s="1"/>
      <c r="E1" s="1" t="s">
        <v>21</v>
      </c>
      <c r="F1" s="1" t="s">
        <v>66</v>
      </c>
      <c r="G1" s="1" t="s">
        <v>67</v>
      </c>
    </row>
    <row r="2" customFormat="false" ht="27.75" hidden="false" customHeight="true" outlineLevel="0" collapsed="false">
      <c r="A2" s="2" t="s">
        <v>68</v>
      </c>
      <c r="B2" s="8" t="n">
        <v>1.05</v>
      </c>
      <c r="C2" s="8" t="n">
        <v>0.87</v>
      </c>
      <c r="D2" s="2"/>
      <c r="E2" s="2" t="s">
        <v>69</v>
      </c>
      <c r="F2" s="8" t="n">
        <v>40.7</v>
      </c>
      <c r="G2" s="8" t="n">
        <v>53.7</v>
      </c>
    </row>
    <row r="3" customFormat="false" ht="27.75" hidden="false" customHeight="true" outlineLevel="0" collapsed="false">
      <c r="A3" s="2" t="s">
        <v>70</v>
      </c>
      <c r="B3" s="8" t="n">
        <v>-0.26</v>
      </c>
      <c r="C3" s="8" t="n">
        <v>-0.21</v>
      </c>
      <c r="D3" s="2"/>
      <c r="E3" s="2" t="s">
        <v>71</v>
      </c>
      <c r="F3" s="8" t="n">
        <v>31.9</v>
      </c>
      <c r="G3" s="8" t="n">
        <v>18.4</v>
      </c>
    </row>
    <row r="4" customFormat="false" ht="27.75" hidden="false" customHeight="true" outlineLevel="0" collapsed="false">
      <c r="A4" s="2" t="s">
        <v>72</v>
      </c>
      <c r="B4" s="8" t="n">
        <v>0.11</v>
      </c>
      <c r="C4" s="8" t="n">
        <v>0.62</v>
      </c>
      <c r="D4" s="2"/>
      <c r="E4" s="2" t="s">
        <v>73</v>
      </c>
      <c r="F4" s="8" t="n">
        <v>12.8</v>
      </c>
      <c r="G4" s="8" t="n">
        <v>12.7</v>
      </c>
    </row>
    <row r="5" customFormat="false" ht="27.75" hidden="false" customHeight="true" outlineLevel="0" collapsed="false">
      <c r="A5" s="2" t="s">
        <v>74</v>
      </c>
      <c r="B5" s="8" t="n">
        <v>3.28</v>
      </c>
      <c r="C5" s="8" t="n">
        <v>3.41</v>
      </c>
      <c r="D5" s="2"/>
      <c r="E5" s="2" t="s">
        <v>75</v>
      </c>
      <c r="F5" s="8" t="n">
        <v>10.9</v>
      </c>
      <c r="G5" s="8" t="n">
        <v>15.1</v>
      </c>
    </row>
    <row r="6" customFormat="false" ht="27.75" hidden="false" customHeight="true" outlineLevel="0" collapsed="false">
      <c r="A6" s="2" t="s">
        <v>76</v>
      </c>
      <c r="B6" s="8" t="n">
        <v>-2.01</v>
      </c>
      <c r="C6" s="8" t="n">
        <v>-1.55</v>
      </c>
      <c r="D6" s="2"/>
      <c r="E6" s="2" t="s">
        <v>77</v>
      </c>
      <c r="F6" s="8" t="n">
        <v>3.7</v>
      </c>
      <c r="G6" s="8" t="n">
        <v>0</v>
      </c>
    </row>
    <row r="7" customFormat="false" ht="27.75" hidden="false" customHeight="true" outlineLevel="0" collapsed="false">
      <c r="A7" s="2" t="s">
        <v>78</v>
      </c>
      <c r="B7" s="8" t="n">
        <v>0.72</v>
      </c>
      <c r="C7" s="8" t="n">
        <v>0.38</v>
      </c>
      <c r="D7" s="2"/>
      <c r="E7" s="2"/>
      <c r="F7" s="2"/>
      <c r="G7" s="2"/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3"/>
    <col collapsed="false" customWidth="true" hidden="false" outlineLevel="0" max="2" min="2" style="0" width="105"/>
    <col collapsed="false" customWidth="true" hidden="false" outlineLevel="0" max="3" min="3" style="0" width="28"/>
  </cols>
  <sheetData>
    <row r="1" customFormat="false" ht="27.75" hidden="false" customHeight="true" outlineLevel="0" collapsed="false">
      <c r="A1" s="1" t="s">
        <v>79</v>
      </c>
      <c r="B1" s="1" t="s">
        <v>80</v>
      </c>
      <c r="C1" s="1" t="s">
        <v>81</v>
      </c>
    </row>
    <row r="2" customFormat="false" ht="37.5" hidden="false" customHeight="true" outlineLevel="0" collapsed="false">
      <c r="A2" s="2" t="s">
        <v>82</v>
      </c>
      <c r="B2" s="2" t="s">
        <v>83</v>
      </c>
      <c r="C2" s="2" t="s">
        <v>84</v>
      </c>
    </row>
    <row r="3" customFormat="false" ht="51.75" hidden="false" customHeight="true" outlineLevel="0" collapsed="false">
      <c r="A3" s="2" t="s">
        <v>85</v>
      </c>
      <c r="B3" s="2" t="s">
        <v>86</v>
      </c>
      <c r="C3" s="2" t="s">
        <v>87</v>
      </c>
    </row>
    <row r="4" customFormat="false" ht="27.75" hidden="false" customHeight="true" outlineLevel="0" collapsed="false">
      <c r="A4" s="2" t="s">
        <v>88</v>
      </c>
      <c r="B4" s="2" t="s">
        <v>89</v>
      </c>
      <c r="C4" s="2" t="s">
        <v>90</v>
      </c>
    </row>
    <row r="5" customFormat="false" ht="27.75" hidden="false" customHeight="true" outlineLevel="0" collapsed="false">
      <c r="A5" s="2" t="s">
        <v>91</v>
      </c>
      <c r="B5" s="2" t="s">
        <v>92</v>
      </c>
      <c r="C5" s="2" t="s">
        <v>93</v>
      </c>
    </row>
    <row r="6" customFormat="false" ht="37.5" hidden="false" customHeight="true" outlineLevel="0" collapsed="false">
      <c r="A6" s="2" t="s">
        <v>94</v>
      </c>
      <c r="B6" s="2" t="s">
        <v>95</v>
      </c>
      <c r="C6" s="2" t="s">
        <v>96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2026-10-27T16:35:24Z</dcterms:created>
  <dc:creator>openpyxl</dc:creator>
  <dc:description/>
  <dc:language>en-GB</dc:language>
  <cp:lastModifiedBy/>
  <dcterms:modified xsi:type="dcterms:W3CDTF">2026-10-27T16:35:24Z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