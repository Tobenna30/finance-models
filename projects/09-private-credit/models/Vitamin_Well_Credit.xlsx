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ver" sheetId="1" state="visible" r:id="rId3"/>
    <sheet name="Inputs" sheetId="2" state="visible" r:id="rId4"/>
    <sheet name="Forecast" sheetId="3" state="visible" r:id="rId5"/>
    <sheet name="Capacity" sheetId="4" state="visible" r:id="rId6"/>
    <sheet name="Recovery" sheetId="5" state="visible" r:id="rId7"/>
    <sheet name="Sensitivity" sheetId="6" state="visible" r:id="rId8"/>
    <sheet name="Source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<sst xmlns="http://schemas.openxmlformats.org/spreadsheetml/2006/main" count="279" uniqueCount="195">
  <si>
    <t xml:space="preserve">Vitamin Well / Vital Bidco credit review</t>
  </si>
  <si>
    <t xml:space="preserve">27 October 2026. Public-information model of the 2026 refinancing; no verified contractual covenant test.</t>
  </si>
  <si>
    <t xml:space="preserve">Case selected</t>
  </si>
  <si>
    <t xml:space="preserve">Metric</t>
  </si>
  <si>
    <t xml:space="preserve">Value</t>
  </si>
  <si>
    <t xml:space="preserve">Term loan, EURm equivalent</t>
  </si>
  <si>
    <t xml:space="preserve">Term loan translated, SEKm</t>
  </si>
  <si>
    <t xml:space="preserve">Capacity under assumed policy, SEKm</t>
  </si>
  <si>
    <t xml:space="preserve">Requested less capacity, SEKm</t>
  </si>
  <si>
    <t xml:space="preserve">2026 gross leverage / cash EBITDA</t>
  </si>
  <si>
    <t xml:space="preserve">2026 cash interest cover</t>
  </si>
  <si>
    <t xml:space="preserve">2026 FCF, SEKm</t>
  </si>
  <si>
    <t xml:space="preserve">Peak revolver, SEKm</t>
  </si>
  <si>
    <t xml:space="preserve">Minimum cash plus undrawn RCF, SEKm</t>
  </si>
  <si>
    <t xml:space="preserve">Peak unfunded cash gap, SEKm</t>
  </si>
  <si>
    <t xml:space="preserve">2030 gross leverage / cash EBITDA</t>
  </si>
  <si>
    <t xml:space="preserve">Default first-lien recovery</t>
  </si>
  <si>
    <t xml:space="preserve">Actual contractual covenant compliance</t>
  </si>
  <si>
    <t xml:space="preserve">Not established: loan agreement missing</t>
  </si>
  <si>
    <t xml:space="preserve">Selected-case policy screen</t>
  </si>
  <si>
    <t xml:space="preserve">Recorded credit-memo verdict</t>
  </si>
  <si>
    <t xml:space="preserve">Reject pending downside protection and evidence</t>
  </si>
  <si>
    <t xml:space="preserve">No purchase-price or sources-and-uses bridge: transaction consideration is undisclosed.</t>
  </si>
  <si>
    <t xml:space="preserve">No audited full balance sheet: cash and debt rollforwards reconcile separately.</t>
  </si>
  <si>
    <t xml:space="preserve">2026 is a full-year pro forma proxy, not remaining cash flow after the review date.</t>
  </si>
  <si>
    <t xml:space="preserve">Vitamin Well: underwriting inputs</t>
  </si>
  <si>
    <t xml:space="preserve">SEKm unless labelled. S: source/agency forecast. A: assumption. D: derived. No audited borrower accounts.</t>
  </si>
  <si>
    <t xml:space="preserve">Case number: 1 Downside, 2 Base, 3 Bull</t>
  </si>
  <si>
    <t xml:space="preserve">Selected case</t>
  </si>
  <si>
    <t xml:space="preserve">Input</t>
  </si>
  <si>
    <t xml:space="preserve">Unit</t>
  </si>
  <si>
    <t xml:space="preserve">Tag</t>
  </si>
  <si>
    <t xml:space="preserve">Source / reason</t>
  </si>
  <si>
    <t xml:space="preserve">New term loan, EURm equivalent</t>
  </si>
  <si>
    <t xml:space="preserve">EURm</t>
  </si>
  <si>
    <t xml:space="preserve">S</t>
  </si>
  <si>
    <t xml:space="preserve">SP26: agency reports issuance; final agreement unverified</t>
  </si>
  <si>
    <t xml:space="preserve">Revolver commitment, EURm equivalent</t>
  </si>
  <si>
    <t xml:space="preserve">SP26: reported undrawn commitment</t>
  </si>
  <si>
    <t xml:space="preserve">Term loan maturity year</t>
  </si>
  <si>
    <t xml:space="preserve">year</t>
  </si>
  <si>
    <t xml:space="preserve">SP26; exact date unverified</t>
  </si>
  <si>
    <t xml:space="preserve">SEK per EUR, constant translation proxy</t>
  </si>
  <si>
    <t xml:space="preserve">SEK/EUR</t>
  </si>
  <si>
    <t xml:space="preserve">A</t>
  </si>
  <si>
    <t xml:space="preserve">Round common currency proxy; not an observed spot or FX hedge</t>
  </si>
  <si>
    <t xml:space="preserve">2026 agency EBITDA forecast low</t>
  </si>
  <si>
    <t xml:space="preserve">SEKm</t>
  </si>
  <si>
    <t xml:space="preserve">SP26: adjusted pro forma forecast</t>
  </si>
  <si>
    <t xml:space="preserve">2026 agency EBITDA forecast high</t>
  </si>
  <si>
    <t xml:space="preserve">Starting EBITDA margin proxy</t>
  </si>
  <si>
    <t xml:space="preserve">%</t>
  </si>
  <si>
    <t xml:space="preserve">Middle of agency's 25-27% outlook; not reported margin</t>
  </si>
  <si>
    <t xml:space="preserve">Adjusted EBITDA to cash EBITDA haircut</t>
  </si>
  <si>
    <t xml:space="preserve">5% reserve for noncash/addback leakage; requires reconciliation</t>
  </si>
  <si>
    <t xml:space="preserve">Opening cash proxy</t>
  </si>
  <si>
    <t xml:space="preserve">Unverified opening liquidity; sensitise before any approval</t>
  </si>
  <si>
    <t xml:space="preserve">Minimum operating cash</t>
  </si>
  <si>
    <t xml:space="preserve">Analyst buffer, not a covenant</t>
  </si>
  <si>
    <t xml:space="preserve">Reference rate proxy</t>
  </si>
  <si>
    <t xml:space="preserve">Constant illustrative blended funding rate; not current EURIBOR/SOFR</t>
  </si>
  <si>
    <t xml:space="preserve">New term-loan spread proxy</t>
  </si>
  <si>
    <t xml:space="preserve">Illustrative 400bp; not carried from the legacy loan or verified pricing</t>
  </si>
  <si>
    <t xml:space="preserve">Revolver spread proxy</t>
  </si>
  <si>
    <t xml:space="preserve">Illustrative 450bp; not verified pricing</t>
  </si>
  <si>
    <t xml:space="preserve">Undrawn revolver fee</t>
  </si>
  <si>
    <t xml:space="preserve">50bp annual assumed commitment fee</t>
  </si>
  <si>
    <t xml:space="preserve">Annual term-loan amortisation</t>
  </si>
  <si>
    <t xml:space="preserve">1% of original principal; loan documentation required</t>
  </si>
  <si>
    <t xml:space="preserve">Excess cash sweep</t>
  </si>
  <si>
    <t xml:space="preserve">Repay RCF first; sweep half residual above cash buffer to TLB</t>
  </si>
  <si>
    <t xml:space="preserve">Illustrative blended cash tax rate</t>
  </si>
  <si>
    <t xml:space="preserve">Simplified 22% cash tax; not legal tax advice or group effective tax rate</t>
  </si>
  <si>
    <t xml:space="preserve">D&amp;A as percentage of revenue</t>
  </si>
  <si>
    <t xml:space="preserve">Proxy for acquired manufacturing assets</t>
  </si>
  <si>
    <t xml:space="preserve">2026 agency capex forecast low</t>
  </si>
  <si>
    <t xml:space="preserve">SP26: capacity expansion forecast</t>
  </si>
  <si>
    <t xml:space="preserve">2026 agency capex forecast high</t>
  </si>
  <si>
    <t xml:space="preserve">Capex after expansion, revenue share</t>
  </si>
  <si>
    <t xml:space="preserve">Normalised maintenance and growth investment</t>
  </si>
  <si>
    <t xml:space="preserve">2026 agency transaction-cost forecast</t>
  </si>
  <si>
    <t xml:space="preserve">SP26: one-off costs; deducted once in 2026</t>
  </si>
  <si>
    <t xml:space="preserve">Working capital investment / revenue change</t>
  </si>
  <si>
    <t xml:space="preserve">Inventory/receivable funding; release allowed on falling sales</t>
  </si>
  <si>
    <t xml:space="preserve">Underwriting gross leverage ceiling</t>
  </si>
  <si>
    <t xml:space="preserve">x</t>
  </si>
  <si>
    <t xml:space="preserve">Credit policy proxy, not a contractual covenant</t>
  </si>
  <si>
    <t xml:space="preserve">Underwriting cash interest cover floor</t>
  </si>
  <si>
    <t xml:space="preserve">Cash EBITDA / interest plus commitment fee</t>
  </si>
  <si>
    <t xml:space="preserve">Default EBITDA haircut</t>
  </si>
  <si>
    <t xml:space="preserve">35% stress to starting cash EBITDA, independent of sponsor forecasts</t>
  </si>
  <si>
    <t xml:space="preserve">Default enterprise-value multiple</t>
  </si>
  <si>
    <t xml:space="preserve">6x stressed cash EBITDA; no clean trading comp set obtained</t>
  </si>
  <si>
    <t xml:space="preserve">Enforcement costs / stressed EV</t>
  </si>
  <si>
    <t xml:space="preserve">10% cost reserve, not a legal priority opinion</t>
  </si>
  <si>
    <t xml:space="preserve">Other priority claims</t>
  </si>
  <si>
    <t xml:space="preserve">Illustrative reserve; actual claims unverified</t>
  </si>
  <si>
    <t xml:space="preserve">Revolver drawn at default</t>
  </si>
  <si>
    <t xml:space="preserve">Full draw; assume pari passu with term loan</t>
  </si>
  <si>
    <t xml:space="preserve">Revenue growth</t>
  </si>
  <si>
    <t xml:space="preserve">Active revenue growth</t>
  </si>
  <si>
    <t xml:space="preserve">Downside</t>
  </si>
  <si>
    <t xml:space="preserve">Base</t>
  </si>
  <si>
    <t xml:space="preserve">Bull</t>
  </si>
  <si>
    <t xml:space="preserve">EBITDA margin</t>
  </si>
  <si>
    <t xml:space="preserve">Active ebitda margin</t>
  </si>
  <si>
    <t xml:space="preserve">Rate shock</t>
  </si>
  <si>
    <t xml:space="preserve">Active rate shock</t>
  </si>
  <si>
    <t xml:space="preserve">Capex multiplier</t>
  </si>
  <si>
    <t xml:space="preserve">Active capex multiplier</t>
  </si>
  <si>
    <t xml:space="preserve">Cash flow and debt forecast</t>
  </si>
  <si>
    <t xml:space="preserve">Full-year pro forma proxies; opening-balance interest; no acquisition completion claim.</t>
  </si>
  <si>
    <t xml:space="preserve">Adjusted EBITDA margin</t>
  </si>
  <si>
    <t xml:space="preserve">Opening cash</t>
  </si>
  <si>
    <t xml:space="preserve">Opening term loan</t>
  </si>
  <si>
    <t xml:space="preserve">Opening revolver</t>
  </si>
  <si>
    <t xml:space="preserve">Revenue</t>
  </si>
  <si>
    <t xml:space="preserve">Adjusted EBITDA</t>
  </si>
  <si>
    <t xml:space="preserve">Cash EBITDA</t>
  </si>
  <si>
    <t xml:space="preserve">Interest on opening balances</t>
  </si>
  <si>
    <t xml:space="preserve">Undrawn commitment fee</t>
  </si>
  <si>
    <t xml:space="preserve">D&amp;A proxy</t>
  </si>
  <si>
    <t xml:space="preserve">Cash tax proxy</t>
  </si>
  <si>
    <t xml:space="preserve">Capex</t>
  </si>
  <si>
    <t xml:space="preserve">Working capital investment</t>
  </si>
  <si>
    <t xml:space="preserve">Transaction costs</t>
  </si>
  <si>
    <t xml:space="preserve">FCF after interest and tax</t>
  </si>
  <si>
    <t xml:space="preserve">Mandatory term-loan amortisation</t>
  </si>
  <si>
    <t xml:space="preserve">Cash before discretionary financing</t>
  </si>
  <si>
    <t xml:space="preserve">Revolver draw</t>
  </si>
  <si>
    <t xml:space="preserve">Revolver repayment</t>
  </si>
  <si>
    <t xml:space="preserve">Term-loan cash sweep</t>
  </si>
  <si>
    <t xml:space="preserve">Closing term loan</t>
  </si>
  <si>
    <t xml:space="preserve">Closing revolver</t>
  </si>
  <si>
    <t xml:space="preserve">Closing cash</t>
  </si>
  <si>
    <t xml:space="preserve">Gross funded debt</t>
  </si>
  <si>
    <t xml:space="preserve">Net funded debt</t>
  </si>
  <si>
    <t xml:space="preserve">Cash plus undrawn revolver</t>
  </si>
  <si>
    <t xml:space="preserve">Gross leverage / cash EBITDA</t>
  </si>
  <si>
    <t xml:space="preserve">Cash interest cover</t>
  </si>
  <si>
    <t xml:space="preserve">Headroom to assumed leverage ceiling</t>
  </si>
  <si>
    <t xml:space="preserve">Headroom above assumed cover floor</t>
  </si>
  <si>
    <t xml:space="preserve">Unfunded cash-minimum gap</t>
  </si>
  <si>
    <t xml:space="preserve">Cash rollforward check</t>
  </si>
  <si>
    <t xml:space="preserve">Debt rollforward check</t>
  </si>
  <si>
    <t xml:space="preserve">Debt capacity under assumed credit policy</t>
  </si>
  <si>
    <t xml:space="preserve">Entry capacity only. These are underwriting limits, not contractual covenants.</t>
  </si>
  <si>
    <t xml:space="preserve">Term loan translated to SEKm</t>
  </si>
  <si>
    <t xml:space="preserve">Revolver translated to SEKm</t>
  </si>
  <si>
    <t xml:space="preserve">2026 adjusted EBITDA forecast midpoint</t>
  </si>
  <si>
    <t xml:space="preserve">Inferred revenue proxy</t>
  </si>
  <si>
    <t xml:space="preserve">Cash EBITDA after haircut</t>
  </si>
  <si>
    <t xml:space="preserve">Assumed all-in term-loan rate</t>
  </si>
  <si>
    <t xml:space="preserve">Debt capacity: leverage limit</t>
  </si>
  <si>
    <t xml:space="preserve">Debt capacity: cover limit</t>
  </si>
  <si>
    <t xml:space="preserve">Capacity: binding policy limit</t>
  </si>
  <si>
    <t xml:space="preserve">Requested debt less capacity</t>
  </si>
  <si>
    <t xml:space="preserve">Adjusted EBITDA needed at leverage limit</t>
  </si>
  <si>
    <t xml:space="preserve">EBITDA fall to entry leverage ceiling</t>
  </si>
  <si>
    <t xml:space="preserve">Default recovery waterfall</t>
  </si>
  <si>
    <t xml:space="preserve">Assumed pari passu first lien; no legal opinion. No unrestricted cash credited at default.</t>
  </si>
  <si>
    <t xml:space="preserve">Default cash EBITDA</t>
  </si>
  <si>
    <t xml:space="preserve">Default enterprise value</t>
  </si>
  <si>
    <t xml:space="preserve">Enforcement cost reserve</t>
  </si>
  <si>
    <t xml:space="preserve">Available first-lien pool</t>
  </si>
  <si>
    <t xml:space="preserve">Term-loan claim</t>
  </si>
  <si>
    <t xml:space="preserve">Revolver claim at default</t>
  </si>
  <si>
    <t xml:space="preserve">Total pari passu claims</t>
  </si>
  <si>
    <t xml:space="preserve">First-lien recovery</t>
  </si>
  <si>
    <t xml:space="preserve">Term-loan proceeds</t>
  </si>
  <si>
    <t xml:space="preserve">Revolver proceeds</t>
  </si>
  <si>
    <t xml:space="preserve">Unrecovered first-lien claim</t>
  </si>
  <si>
    <t xml:space="preserve">Residual equity</t>
  </si>
  <si>
    <t xml:space="preserve">Recovery and debt-capacity sensitivities</t>
  </si>
  <si>
    <t xml:space="preserve">Direct scalar calculations; fixed current policy and default assumptions. No duplicated cash-flow model.</t>
  </si>
  <si>
    <t xml:space="preserve">Recovery: EBITDA haircut / EV multiple</t>
  </si>
  <si>
    <t xml:space="preserve">Debt capacity: EBITDA / all-in rate</t>
  </si>
  <si>
    <t xml:space="preserve">Sources and evidence boundaries</t>
  </si>
  <si>
    <t xml:space="preserve">Agency forecasts are not audited borrower financials. Accessed 27 October 2026.</t>
  </si>
  <si>
    <t xml:space="preserve">Key</t>
  </si>
  <si>
    <t xml:space="preserve">Document / section</t>
  </si>
  <si>
    <t xml:space="preserve">URL</t>
  </si>
  <si>
    <t xml:space="preserve">SP26</t>
  </si>
  <si>
    <t xml:space="preserve">S&amp;P rating action, 7 Sep 2026, Vital Holdco assigned B+; opening bullets and financial outlook. Agency forecasts, not audited actuals.</t>
  </si>
  <si>
    <t xml:space="preserve">https://www.spglobal.com/ratings/en/regulatory/article/-/view/type/HTML/id/3623391</t>
  </si>
  <si>
    <t xml:space="preserve">CIN26</t>
  </si>
  <si>
    <t xml:space="preserve">Cinven, 2 Jul 2026, Vitamin Well Group to combine with EMPWR. Financial terms undisclosed; subject to approvals.</t>
  </si>
  <si>
    <t xml:space="preserve">https://www.cinven.com/news-insights/vitamin-well-group-empwr/</t>
  </si>
  <si>
    <t xml:space="preserve">CIN24</t>
  </si>
  <si>
    <t xml:space="preserve">Cinven, 6 Aug 2024, agreement to become lead investor; Bridgepoint retains minority; financial terms undisclosed.</t>
  </si>
  <si>
    <t xml:space="preserve">https://www.cinven.com/news-insights/cinven-to-become-lead-investor-in-vitamin-well/</t>
  </si>
  <si>
    <t xml:space="preserve">OBDC25</t>
  </si>
  <si>
    <t xml:space="preserve">Blue Owl 10-Q, 30 Sep 2025, Vital Bidco investment rows: legacy first lien S+450bp, Oct 2031. Lender holding, not total borrower debt.</t>
  </si>
  <si>
    <t xml:space="preserve">https://www.sec.gov/Archives/edgar/data/1655888/000165588825000024/obdc-20250930.htm</t>
  </si>
  <si>
    <t xml:space="preserve">Missing: final agreement, audited group accounts, closing cash/debt bridge, security and ranking, pricing, covenants.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</si>
</sst>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;\(#,##0.0\);\-"/>
    <numFmt numFmtId="166" formatCode="0.00\x"/>
    <numFmt numFmtId="167" formatCode="0.0%;\(0.0%\);\-"/>
    <numFmt numFmtId="168" formatCode="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CE4D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CE4D6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7EBB"/>
      <rgbColor rgb="FF708AB0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Gross leverage / cash EBITDA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Forecast!$B$4:$F$4</c:f>
              <c:strCache>
                <c:ptCount val="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</c:strCache>
            </c:strRef>
          </c:cat>
          <c:val>
            <c:numRef>
              <c:f>Forecast!$B$32:$F$32</c:f>
              <c:numCache>
                <c:formatCode>0.00\x</c:formatCode>
                <c:ptCount val="5"/>
                <c:pt idx="0">
                  <c:v>5.33989453935025</c:v>
                </c:pt>
                <c:pt idx="1">
                  <c:v>4.26598181388667</c:v>
                </c:pt>
                <c:pt idx="2">
                  <c:v>3.53119823275547</c:v>
                </c:pt>
                <c:pt idx="3">
                  <c:v>2.86641952968824</c:v>
                </c:pt>
                <c:pt idx="4">
                  <c:v>2.25725751825573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0300014"/>
        <c:axId val="50531918"/>
      </c:lineChart>
      <c:catAx>
        <c:axId val="1030001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0531918"/>
        <c:crosses val="autoZero"/>
        <c:auto val="1"/>
        <c:lblAlgn val="ctr"/>
        <c:lblOffset val="100"/>
        <c:noMultiLvlLbl val="0"/>
      </c:catAx>
      <c:valAx>
        <c:axId val="5053191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\x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0300014"/>
        <c:crosses val="autoZero"/>
        <c:crossBetween val="between"/>
      </c:valAx>
      <c:spPr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40</xdr:row>
      <xdr:rowOff>0</xdr:rowOff>
    </xdr:from>
    <xdr:to>
      <xdr:col>3</xdr:col>
      <xdr:colOff>918720</xdr:colOff>
      <xdr:row>55</xdr:row>
      <xdr:rowOff>22320</xdr:rowOff>
    </xdr:to>
    <xdr:graphicFrame>
      <xdr:nvGraphicFramePr>
        <xdr:cNvPr id="1" name="Chart 1"/>
        <xdr:cNvGraphicFramePr/>
      </xdr:nvGraphicFramePr>
      <xdr:xfrm>
        <a:off x="0" y="7840440"/>
        <a:ext cx="68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A1:B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3"/>
    <col collapsed="false" customWidth="true" hidden="false" outlineLevel="0" max="2" min="2" style="0" width="56"/>
    <col collapsed="false" customWidth="true" hidden="false" outlineLevel="0" max="8" min="3" style="0" width="1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  <c r="B3" s="4" t="str">
        <f aca="false">Inputs!C5</f>
        <v>Base</v>
      </c>
    </row>
    <row r="5" customFormat="false" ht="30" hidden="false" customHeight="true" outlineLevel="0" collapsed="false">
      <c r="A5" s="5" t="s">
        <v>3</v>
      </c>
      <c r="B5" s="5" t="s">
        <v>4</v>
      </c>
    </row>
    <row r="6" customFormat="false" ht="15" hidden="false" customHeight="false" outlineLevel="0" collapsed="false">
      <c r="A6" s="3" t="s">
        <v>5</v>
      </c>
      <c r="B6" s="6" t="n">
        <f aca="false">Inputs!$C$9</f>
        <v>1900</v>
      </c>
    </row>
    <row r="7" customFormat="false" ht="15" hidden="false" customHeight="false" outlineLevel="0" collapsed="false">
      <c r="A7" s="3" t="s">
        <v>6</v>
      </c>
      <c r="B7" s="6" t="n">
        <f aca="false">Capacity!B5</f>
        <v>20900</v>
      </c>
    </row>
    <row r="8" customFormat="false" ht="15" hidden="false" customHeight="false" outlineLevel="0" collapsed="false">
      <c r="A8" s="3" t="s">
        <v>7</v>
      </c>
      <c r="B8" s="6" t="n">
        <f aca="false">Capacity!B13</f>
        <v>21422.5</v>
      </c>
    </row>
    <row r="9" customFormat="false" ht="15" hidden="false" customHeight="false" outlineLevel="0" collapsed="false">
      <c r="A9" s="3" t="s">
        <v>8</v>
      </c>
      <c r="B9" s="6" t="n">
        <f aca="false">Capacity!B14</f>
        <v>-522.5</v>
      </c>
    </row>
    <row r="10" customFormat="false" ht="15" hidden="false" customHeight="false" outlineLevel="0" collapsed="false">
      <c r="A10" s="3" t="s">
        <v>9</v>
      </c>
      <c r="B10" s="7" t="n">
        <f aca="false">Forecast!B32</f>
        <v>5.33989453935025</v>
      </c>
    </row>
    <row r="11" customFormat="false" ht="15" hidden="false" customHeight="false" outlineLevel="0" collapsed="false">
      <c r="A11" s="3" t="s">
        <v>10</v>
      </c>
      <c r="B11" s="7" t="n">
        <f aca="false">Forecast!B33</f>
        <v>2.64246947082768</v>
      </c>
    </row>
    <row r="12" customFormat="false" ht="15" hidden="false" customHeight="false" outlineLevel="0" collapsed="false">
      <c r="A12" s="3" t="s">
        <v>11</v>
      </c>
      <c r="B12" s="6" t="n">
        <f aca="false">Forecast!B20</f>
        <v>-98.8892307692306</v>
      </c>
    </row>
    <row r="13" customFormat="false" ht="15" hidden="false" customHeight="false" outlineLevel="0" collapsed="false">
      <c r="A13" s="3" t="s">
        <v>12</v>
      </c>
      <c r="B13" s="6" t="n">
        <f aca="false">MAX(Forecast!B27:F27)</f>
        <v>107.889230769231</v>
      </c>
    </row>
    <row r="14" customFormat="false" ht="15" hidden="false" customHeight="false" outlineLevel="0" collapsed="false">
      <c r="A14" s="3" t="s">
        <v>13</v>
      </c>
      <c r="B14" s="6" t="n">
        <f aca="false">MIN(Forecast!B31:F31)</f>
        <v>2392.11076923077</v>
      </c>
    </row>
    <row r="15" customFormat="false" ht="15" hidden="false" customHeight="false" outlineLevel="0" collapsed="false">
      <c r="A15" s="3" t="s">
        <v>14</v>
      </c>
      <c r="B15" s="6" t="n">
        <f aca="false">MAX(Forecast!B36:F36)</f>
        <v>0</v>
      </c>
    </row>
    <row r="16" customFormat="false" ht="15" hidden="false" customHeight="false" outlineLevel="0" collapsed="false">
      <c r="A16" s="3" t="s">
        <v>15</v>
      </c>
      <c r="B16" s="7" t="n">
        <f aca="false">Forecast!F32</f>
        <v>2.25725751825573</v>
      </c>
    </row>
    <row r="17" customFormat="false" ht="15" hidden="false" customHeight="false" outlineLevel="0" collapsed="false">
      <c r="A17" s="3" t="s">
        <v>16</v>
      </c>
      <c r="B17" s="8" t="n">
        <f aca="false">Recovery!B13</f>
        <v>0.587508658008658</v>
      </c>
    </row>
    <row r="18" customFormat="false" ht="15" hidden="false" customHeight="false" outlineLevel="0" collapsed="false">
      <c r="A18" s="3" t="s">
        <v>17</v>
      </c>
      <c r="B18" s="9" t="s">
        <v>18</v>
      </c>
    </row>
    <row r="19" customFormat="false" ht="15" hidden="false" customHeight="false" outlineLevel="0" collapsed="false">
      <c r="A19" s="3" t="s">
        <v>19</v>
      </c>
      <c r="B19" s="9" t="str">
        <f aca="false">IF(OR(Capacity!B14&gt;0,MAX(Forecast!B36:F36)&gt;0,MIN(Forecast!B34:F34)&lt;0,MIN(Forecast!B35:F35)&lt;0),"REJECT at assumed policy limits","PASS policy screen; evidence still required")</f>
        <v>PASS policy screen; evidence still required</v>
      </c>
    </row>
    <row r="20" customFormat="false" ht="15" hidden="false" customHeight="false" outlineLevel="0" collapsed="false">
      <c r="A20" s="3" t="s">
        <v>20</v>
      </c>
      <c r="B20" s="3" t="s">
        <v>21</v>
      </c>
    </row>
    <row r="22" customFormat="false" ht="15" hidden="false" customHeight="false" outlineLevel="0" collapsed="false">
      <c r="A22" s="3" t="s">
        <v>22</v>
      </c>
    </row>
    <row r="23" customFormat="false" ht="15" hidden="false" customHeight="false" outlineLevel="0" collapsed="false">
      <c r="A23" s="3" t="s">
        <v>23</v>
      </c>
    </row>
    <row r="24" customFormat="false" ht="15" hidden="false" customHeight="false" outlineLevel="0" collapsed="false">
      <c r="A24" s="3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8AB0"/>
    <pageSetUpPr fitToPage="true"/>
  </sheetPr>
  <dimension ref="A1:H6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9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8"/>
    <col collapsed="false" customWidth="true" hidden="false" outlineLevel="0" max="5" min="5" style="0" width="105"/>
    <col collapsed="false" customWidth="true" hidden="false" outlineLevel="0" max="8" min="6" style="0" width="18"/>
  </cols>
  <sheetData>
    <row r="1" customFormat="false" ht="17.35" hidden="false" customHeight="false" outlineLevel="0" collapsed="false">
      <c r="A1" s="1" t="s">
        <v>25</v>
      </c>
    </row>
    <row r="2" customFormat="false" ht="15" hidden="false" customHeight="false" outlineLevel="0" collapsed="false">
      <c r="A2" s="2" t="s">
        <v>26</v>
      </c>
    </row>
    <row r="4" customFormat="false" ht="15" hidden="false" customHeight="false" outlineLevel="0" collapsed="false">
      <c r="A4" s="3" t="s">
        <v>27</v>
      </c>
      <c r="C4" s="10" t="n">
        <v>2</v>
      </c>
    </row>
    <row r="5" customFormat="false" ht="15" hidden="false" customHeight="false" outlineLevel="0" collapsed="false">
      <c r="A5" s="3" t="s">
        <v>28</v>
      </c>
      <c r="C5" s="3" t="str">
        <f aca="false">CHOOSE(C4,"Downside","Base","Bull")</f>
        <v>Base</v>
      </c>
    </row>
    <row r="8" customFormat="false" ht="30" hidden="false" customHeight="true" outlineLevel="0" collapsed="false">
      <c r="A8" s="5" t="s">
        <v>29</v>
      </c>
      <c r="B8" s="5" t="s">
        <v>30</v>
      </c>
      <c r="C8" s="5" t="s">
        <v>4</v>
      </c>
      <c r="D8" s="5" t="s">
        <v>31</v>
      </c>
      <c r="E8" s="5" t="s">
        <v>32</v>
      </c>
    </row>
    <row r="9" customFormat="false" ht="15" hidden="false" customHeight="false" outlineLevel="0" collapsed="false">
      <c r="A9" s="3" t="s">
        <v>33</v>
      </c>
      <c r="B9" s="3" t="s">
        <v>34</v>
      </c>
      <c r="C9" s="11" t="n">
        <v>1900</v>
      </c>
      <c r="D9" s="3" t="s">
        <v>35</v>
      </c>
      <c r="E9" s="3" t="s">
        <v>36</v>
      </c>
    </row>
    <row r="10" customFormat="false" ht="15" hidden="false" customHeight="false" outlineLevel="0" collapsed="false">
      <c r="A10" s="3" t="s">
        <v>37</v>
      </c>
      <c r="B10" s="3" t="s">
        <v>34</v>
      </c>
      <c r="C10" s="11" t="n">
        <v>200</v>
      </c>
      <c r="D10" s="3" t="s">
        <v>35</v>
      </c>
      <c r="E10" s="3" t="s">
        <v>38</v>
      </c>
    </row>
    <row r="11" customFormat="false" ht="15" hidden="false" customHeight="false" outlineLevel="0" collapsed="false">
      <c r="A11" s="3" t="s">
        <v>39</v>
      </c>
      <c r="B11" s="3" t="s">
        <v>40</v>
      </c>
      <c r="C11" s="12" t="n">
        <v>2033</v>
      </c>
      <c r="D11" s="3" t="s">
        <v>35</v>
      </c>
      <c r="E11" s="3" t="s">
        <v>41</v>
      </c>
    </row>
    <row r="12" customFormat="false" ht="15" hidden="false" customHeight="false" outlineLevel="0" collapsed="false">
      <c r="A12" s="3" t="s">
        <v>42</v>
      </c>
      <c r="B12" s="3" t="s">
        <v>43</v>
      </c>
      <c r="C12" s="11" t="n">
        <v>11</v>
      </c>
      <c r="D12" s="3" t="s">
        <v>44</v>
      </c>
      <c r="E12" s="3" t="s">
        <v>45</v>
      </c>
    </row>
    <row r="13" customFormat="false" ht="15" hidden="false" customHeight="false" outlineLevel="0" collapsed="false">
      <c r="A13" s="3" t="s">
        <v>46</v>
      </c>
      <c r="B13" s="3" t="s">
        <v>47</v>
      </c>
      <c r="C13" s="11" t="n">
        <v>4000</v>
      </c>
      <c r="D13" s="3" t="s">
        <v>35</v>
      </c>
      <c r="E13" s="3" t="s">
        <v>48</v>
      </c>
    </row>
    <row r="14" customFormat="false" ht="15" hidden="false" customHeight="false" outlineLevel="0" collapsed="false">
      <c r="A14" s="3" t="s">
        <v>49</v>
      </c>
      <c r="B14" s="3" t="s">
        <v>47</v>
      </c>
      <c r="C14" s="11" t="n">
        <v>4200</v>
      </c>
      <c r="D14" s="3" t="s">
        <v>35</v>
      </c>
      <c r="E14" s="3" t="s">
        <v>48</v>
      </c>
    </row>
    <row r="15" customFormat="false" ht="15" hidden="false" customHeight="false" outlineLevel="0" collapsed="false">
      <c r="A15" s="3" t="s">
        <v>50</v>
      </c>
      <c r="B15" s="3" t="s">
        <v>51</v>
      </c>
      <c r="C15" s="13" t="n">
        <v>0.26</v>
      </c>
      <c r="D15" s="3" t="s">
        <v>44</v>
      </c>
      <c r="E15" s="3" t="s">
        <v>52</v>
      </c>
    </row>
    <row r="16" customFormat="false" ht="15" hidden="false" customHeight="false" outlineLevel="0" collapsed="false">
      <c r="A16" s="3" t="s">
        <v>53</v>
      </c>
      <c r="B16" s="3" t="s">
        <v>51</v>
      </c>
      <c r="C16" s="13" t="n">
        <v>0.05</v>
      </c>
      <c r="D16" s="3" t="s">
        <v>44</v>
      </c>
      <c r="E16" s="3" t="s">
        <v>54</v>
      </c>
    </row>
    <row r="17" customFormat="false" ht="15" hidden="false" customHeight="false" outlineLevel="0" collapsed="false">
      <c r="A17" s="3" t="s">
        <v>55</v>
      </c>
      <c r="B17" s="3" t="s">
        <v>47</v>
      </c>
      <c r="C17" s="11" t="n">
        <v>500</v>
      </c>
      <c r="D17" s="3" t="s">
        <v>44</v>
      </c>
      <c r="E17" s="3" t="s">
        <v>56</v>
      </c>
    </row>
    <row r="18" customFormat="false" ht="15" hidden="false" customHeight="false" outlineLevel="0" collapsed="false">
      <c r="A18" s="3" t="s">
        <v>57</v>
      </c>
      <c r="B18" s="3" t="s">
        <v>47</v>
      </c>
      <c r="C18" s="11" t="n">
        <v>300</v>
      </c>
      <c r="D18" s="3" t="s">
        <v>44</v>
      </c>
      <c r="E18" s="3" t="s">
        <v>58</v>
      </c>
    </row>
    <row r="19" customFormat="false" ht="15" hidden="false" customHeight="false" outlineLevel="0" collapsed="false">
      <c r="A19" s="3" t="s">
        <v>59</v>
      </c>
      <c r="B19" s="3" t="s">
        <v>51</v>
      </c>
      <c r="C19" s="13" t="n">
        <v>0.03</v>
      </c>
      <c r="D19" s="3" t="s">
        <v>44</v>
      </c>
      <c r="E19" s="3" t="s">
        <v>60</v>
      </c>
    </row>
    <row r="20" customFormat="false" ht="15" hidden="false" customHeight="false" outlineLevel="0" collapsed="false">
      <c r="A20" s="3" t="s">
        <v>61</v>
      </c>
      <c r="B20" s="3" t="s">
        <v>51</v>
      </c>
      <c r="C20" s="13" t="n">
        <v>0.04</v>
      </c>
      <c r="D20" s="3" t="s">
        <v>44</v>
      </c>
      <c r="E20" s="3" t="s">
        <v>62</v>
      </c>
    </row>
    <row r="21" customFormat="false" ht="15" hidden="false" customHeight="false" outlineLevel="0" collapsed="false">
      <c r="A21" s="3" t="s">
        <v>63</v>
      </c>
      <c r="B21" s="3" t="s">
        <v>51</v>
      </c>
      <c r="C21" s="13" t="n">
        <v>0.045</v>
      </c>
      <c r="D21" s="3" t="s">
        <v>44</v>
      </c>
      <c r="E21" s="3" t="s">
        <v>64</v>
      </c>
    </row>
    <row r="22" customFormat="false" ht="15" hidden="false" customHeight="false" outlineLevel="0" collapsed="false">
      <c r="A22" s="3" t="s">
        <v>65</v>
      </c>
      <c r="B22" s="3" t="s">
        <v>51</v>
      </c>
      <c r="C22" s="13" t="n">
        <v>0.005</v>
      </c>
      <c r="D22" s="3" t="s">
        <v>44</v>
      </c>
      <c r="E22" s="3" t="s">
        <v>66</v>
      </c>
    </row>
    <row r="23" customFormat="false" ht="15" hidden="false" customHeight="false" outlineLevel="0" collapsed="false">
      <c r="A23" s="3" t="s">
        <v>67</v>
      </c>
      <c r="B23" s="3" t="s">
        <v>51</v>
      </c>
      <c r="C23" s="13" t="n">
        <v>0.01</v>
      </c>
      <c r="D23" s="3" t="s">
        <v>44</v>
      </c>
      <c r="E23" s="3" t="s">
        <v>68</v>
      </c>
    </row>
    <row r="24" customFormat="false" ht="15" hidden="false" customHeight="false" outlineLevel="0" collapsed="false">
      <c r="A24" s="3" t="s">
        <v>69</v>
      </c>
      <c r="B24" s="3" t="s">
        <v>51</v>
      </c>
      <c r="C24" s="13" t="n">
        <v>0.5</v>
      </c>
      <c r="D24" s="3" t="s">
        <v>44</v>
      </c>
      <c r="E24" s="3" t="s">
        <v>70</v>
      </c>
    </row>
    <row r="25" customFormat="false" ht="15" hidden="false" customHeight="false" outlineLevel="0" collapsed="false">
      <c r="A25" s="3" t="s">
        <v>71</v>
      </c>
      <c r="B25" s="3" t="s">
        <v>51</v>
      </c>
      <c r="C25" s="13" t="n">
        <v>0.22</v>
      </c>
      <c r="D25" s="3" t="s">
        <v>44</v>
      </c>
      <c r="E25" s="3" t="s">
        <v>72</v>
      </c>
    </row>
    <row r="26" customFormat="false" ht="15" hidden="false" customHeight="false" outlineLevel="0" collapsed="false">
      <c r="A26" s="3" t="s">
        <v>73</v>
      </c>
      <c r="B26" s="3" t="s">
        <v>51</v>
      </c>
      <c r="C26" s="13" t="n">
        <v>0.025</v>
      </c>
      <c r="D26" s="3" t="s">
        <v>44</v>
      </c>
      <c r="E26" s="3" t="s">
        <v>74</v>
      </c>
    </row>
    <row r="27" customFormat="false" ht="15" hidden="false" customHeight="false" outlineLevel="0" collapsed="false">
      <c r="A27" s="3" t="s">
        <v>75</v>
      </c>
      <c r="B27" s="3" t="s">
        <v>47</v>
      </c>
      <c r="C27" s="11" t="n">
        <v>1200</v>
      </c>
      <c r="D27" s="3" t="s">
        <v>35</v>
      </c>
      <c r="E27" s="3" t="s">
        <v>76</v>
      </c>
    </row>
    <row r="28" customFormat="false" ht="15" hidden="false" customHeight="false" outlineLevel="0" collapsed="false">
      <c r="A28" s="3" t="s">
        <v>77</v>
      </c>
      <c r="B28" s="3" t="s">
        <v>47</v>
      </c>
      <c r="C28" s="11" t="n">
        <v>1300</v>
      </c>
      <c r="D28" s="3" t="s">
        <v>35</v>
      </c>
      <c r="E28" s="3" t="s">
        <v>76</v>
      </c>
    </row>
    <row r="29" customFormat="false" ht="15" hidden="false" customHeight="false" outlineLevel="0" collapsed="false">
      <c r="A29" s="3" t="s">
        <v>78</v>
      </c>
      <c r="B29" s="3" t="s">
        <v>51</v>
      </c>
      <c r="C29" s="13" t="n">
        <v>0.035</v>
      </c>
      <c r="D29" s="3" t="s">
        <v>44</v>
      </c>
      <c r="E29" s="3" t="s">
        <v>79</v>
      </c>
    </row>
    <row r="30" customFormat="false" ht="15" hidden="false" customHeight="false" outlineLevel="0" collapsed="false">
      <c r="A30" s="3" t="s">
        <v>80</v>
      </c>
      <c r="B30" s="3" t="s">
        <v>47</v>
      </c>
      <c r="C30" s="11" t="n">
        <v>824</v>
      </c>
      <c r="D30" s="3" t="s">
        <v>35</v>
      </c>
      <c r="E30" s="3" t="s">
        <v>81</v>
      </c>
    </row>
    <row r="31" customFormat="false" ht="15" hidden="false" customHeight="false" outlineLevel="0" collapsed="false">
      <c r="A31" s="3" t="s">
        <v>82</v>
      </c>
      <c r="B31" s="3" t="s">
        <v>51</v>
      </c>
      <c r="C31" s="13" t="n">
        <v>0.15</v>
      </c>
      <c r="D31" s="3" t="s">
        <v>44</v>
      </c>
      <c r="E31" s="3" t="s">
        <v>83</v>
      </c>
    </row>
    <row r="32" customFormat="false" ht="15" hidden="false" customHeight="false" outlineLevel="0" collapsed="false">
      <c r="A32" s="3" t="s">
        <v>84</v>
      </c>
      <c r="B32" s="3" t="s">
        <v>85</v>
      </c>
      <c r="C32" s="14" t="n">
        <v>5.5</v>
      </c>
      <c r="D32" s="3" t="s">
        <v>44</v>
      </c>
      <c r="E32" s="3" t="s">
        <v>86</v>
      </c>
    </row>
    <row r="33" customFormat="false" ht="15" hidden="false" customHeight="false" outlineLevel="0" collapsed="false">
      <c r="A33" s="3" t="s">
        <v>87</v>
      </c>
      <c r="B33" s="3" t="s">
        <v>85</v>
      </c>
      <c r="C33" s="14" t="n">
        <v>2</v>
      </c>
      <c r="D33" s="3" t="s">
        <v>44</v>
      </c>
      <c r="E33" s="3" t="s">
        <v>88</v>
      </c>
    </row>
    <row r="34" customFormat="false" ht="15" hidden="false" customHeight="false" outlineLevel="0" collapsed="false">
      <c r="A34" s="3" t="s">
        <v>89</v>
      </c>
      <c r="B34" s="3" t="s">
        <v>51</v>
      </c>
      <c r="C34" s="13" t="n">
        <v>0.35</v>
      </c>
      <c r="D34" s="3" t="s">
        <v>44</v>
      </c>
      <c r="E34" s="3" t="s">
        <v>90</v>
      </c>
    </row>
    <row r="35" customFormat="false" ht="15" hidden="false" customHeight="false" outlineLevel="0" collapsed="false">
      <c r="A35" s="3" t="s">
        <v>91</v>
      </c>
      <c r="B35" s="3" t="s">
        <v>85</v>
      </c>
      <c r="C35" s="14" t="n">
        <v>6</v>
      </c>
      <c r="D35" s="3" t="s">
        <v>44</v>
      </c>
      <c r="E35" s="3" t="s">
        <v>92</v>
      </c>
    </row>
    <row r="36" customFormat="false" ht="15" hidden="false" customHeight="false" outlineLevel="0" collapsed="false">
      <c r="A36" s="3" t="s">
        <v>93</v>
      </c>
      <c r="B36" s="3" t="s">
        <v>51</v>
      </c>
      <c r="C36" s="13" t="n">
        <v>0.1</v>
      </c>
      <c r="D36" s="3" t="s">
        <v>44</v>
      </c>
      <c r="E36" s="3" t="s">
        <v>94</v>
      </c>
    </row>
    <row r="37" customFormat="false" ht="15" hidden="false" customHeight="false" outlineLevel="0" collapsed="false">
      <c r="A37" s="3" t="s">
        <v>95</v>
      </c>
      <c r="B37" s="3" t="s">
        <v>47</v>
      </c>
      <c r="C37" s="11" t="n">
        <v>100</v>
      </c>
      <c r="D37" s="3" t="s">
        <v>44</v>
      </c>
      <c r="E37" s="3" t="s">
        <v>96</v>
      </c>
    </row>
    <row r="38" customFormat="false" ht="15" hidden="false" customHeight="false" outlineLevel="0" collapsed="false">
      <c r="A38" s="3" t="s">
        <v>97</v>
      </c>
      <c r="B38" s="3" t="s">
        <v>51</v>
      </c>
      <c r="C38" s="13" t="n">
        <v>1</v>
      </c>
      <c r="D38" s="3" t="s">
        <v>44</v>
      </c>
      <c r="E38" s="3" t="s">
        <v>98</v>
      </c>
    </row>
    <row r="43" customFormat="false" ht="30" hidden="false" customHeight="true" outlineLevel="0" collapsed="false">
      <c r="A43" s="5" t="s">
        <v>99</v>
      </c>
      <c r="B43" s="5"/>
      <c r="C43" s="5"/>
      <c r="D43" s="5" t="n">
        <v>2026</v>
      </c>
      <c r="E43" s="5" t="n">
        <v>2027</v>
      </c>
      <c r="F43" s="5" t="n">
        <v>2028</v>
      </c>
      <c r="G43" s="5" t="n">
        <v>2029</v>
      </c>
      <c r="H43" s="5" t="n">
        <v>2030</v>
      </c>
    </row>
    <row r="44" customFormat="false" ht="15" hidden="false" customHeight="false" outlineLevel="0" collapsed="false">
      <c r="A44" s="3" t="s">
        <v>100</v>
      </c>
      <c r="D44" s="15" t="n">
        <f aca="false">CHOOSE($C$4,D45,D46,D47)</f>
        <v>0</v>
      </c>
      <c r="E44" s="15" t="n">
        <f aca="false">CHOOSE($C$4,E45,E46,E47)</f>
        <v>0.15</v>
      </c>
      <c r="F44" s="15" t="n">
        <f aca="false">CHOOSE($C$4,F45,F46,F47)</f>
        <v>0.12</v>
      </c>
      <c r="G44" s="15" t="n">
        <f aca="false">CHOOSE($C$4,G45,G46,G47)</f>
        <v>0.1</v>
      </c>
      <c r="H44" s="15" t="n">
        <f aca="false">CHOOSE($C$4,H45,H46,H47)</f>
        <v>0.08</v>
      </c>
    </row>
    <row r="45" customFormat="false" ht="15" hidden="false" customHeight="false" outlineLevel="0" collapsed="false">
      <c r="A45" s="3" t="s">
        <v>101</v>
      </c>
      <c r="B45" s="3" t="s">
        <v>44</v>
      </c>
      <c r="D45" s="13" t="n">
        <v>0</v>
      </c>
      <c r="E45" s="13" t="n">
        <v>-0.1</v>
      </c>
      <c r="F45" s="13" t="n">
        <v>0.02</v>
      </c>
      <c r="G45" s="13" t="n">
        <v>0.04</v>
      </c>
      <c r="H45" s="13" t="n">
        <v>0.05</v>
      </c>
    </row>
    <row r="46" customFormat="false" ht="15" hidden="false" customHeight="false" outlineLevel="0" collapsed="false">
      <c r="A46" s="3" t="s">
        <v>102</v>
      </c>
      <c r="B46" s="3" t="s">
        <v>44</v>
      </c>
      <c r="D46" s="13" t="n">
        <v>0</v>
      </c>
      <c r="E46" s="13" t="n">
        <v>0.15</v>
      </c>
      <c r="F46" s="13" t="n">
        <v>0.12</v>
      </c>
      <c r="G46" s="13" t="n">
        <v>0.1</v>
      </c>
      <c r="H46" s="13" t="n">
        <v>0.08</v>
      </c>
    </row>
    <row r="47" customFormat="false" ht="15" hidden="false" customHeight="false" outlineLevel="0" collapsed="false">
      <c r="A47" s="3" t="s">
        <v>103</v>
      </c>
      <c r="B47" s="3" t="s">
        <v>44</v>
      </c>
      <c r="D47" s="13" t="n">
        <v>0</v>
      </c>
      <c r="E47" s="13" t="n">
        <v>0.2</v>
      </c>
      <c r="F47" s="13" t="n">
        <v>0.15</v>
      </c>
      <c r="G47" s="13" t="n">
        <v>0.12</v>
      </c>
      <c r="H47" s="13" t="n">
        <v>0.1</v>
      </c>
    </row>
    <row r="50" customFormat="false" ht="30" hidden="false" customHeight="true" outlineLevel="0" collapsed="false">
      <c r="A50" s="5" t="s">
        <v>104</v>
      </c>
      <c r="B50" s="5"/>
      <c r="C50" s="5"/>
      <c r="D50" s="5" t="n">
        <v>2026</v>
      </c>
      <c r="E50" s="5" t="n">
        <v>2027</v>
      </c>
      <c r="F50" s="5" t="n">
        <v>2028</v>
      </c>
      <c r="G50" s="5" t="n">
        <v>2029</v>
      </c>
      <c r="H50" s="5" t="n">
        <v>2030</v>
      </c>
    </row>
    <row r="51" customFormat="false" ht="15" hidden="false" customHeight="false" outlineLevel="0" collapsed="false">
      <c r="A51" s="3" t="s">
        <v>105</v>
      </c>
      <c r="D51" s="15" t="n">
        <f aca="false">CHOOSE($C$4,D52,D53,D54)</f>
        <v>0.26</v>
      </c>
      <c r="E51" s="15" t="n">
        <f aca="false">CHOOSE($C$4,E52,E53,E54)</f>
        <v>0.27</v>
      </c>
      <c r="F51" s="15" t="n">
        <f aca="false">CHOOSE($C$4,F52,F53,F54)</f>
        <v>0.27</v>
      </c>
      <c r="G51" s="15" t="n">
        <f aca="false">CHOOSE($C$4,G52,G53,G54)</f>
        <v>0.27</v>
      </c>
      <c r="H51" s="15" t="n">
        <f aca="false">CHOOSE($C$4,H52,H53,H54)</f>
        <v>0.27</v>
      </c>
    </row>
    <row r="52" customFormat="false" ht="15" hidden="false" customHeight="false" outlineLevel="0" collapsed="false">
      <c r="A52" s="3" t="s">
        <v>101</v>
      </c>
      <c r="B52" s="3" t="s">
        <v>44</v>
      </c>
      <c r="D52" s="13" t="n">
        <v>0.24</v>
      </c>
      <c r="E52" s="13" t="n">
        <v>0.21</v>
      </c>
      <c r="F52" s="13" t="n">
        <v>0.22</v>
      </c>
      <c r="G52" s="13" t="n">
        <v>0.23</v>
      </c>
      <c r="H52" s="13" t="n">
        <v>0.24</v>
      </c>
    </row>
    <row r="53" customFormat="false" ht="15" hidden="false" customHeight="false" outlineLevel="0" collapsed="false">
      <c r="A53" s="3" t="s">
        <v>102</v>
      </c>
      <c r="B53" s="3" t="s">
        <v>44</v>
      </c>
      <c r="D53" s="13" t="n">
        <v>0.26</v>
      </c>
      <c r="E53" s="13" t="n">
        <v>0.27</v>
      </c>
      <c r="F53" s="13" t="n">
        <v>0.27</v>
      </c>
      <c r="G53" s="13" t="n">
        <v>0.27</v>
      </c>
      <c r="H53" s="13" t="n">
        <v>0.27</v>
      </c>
    </row>
    <row r="54" customFormat="false" ht="15" hidden="false" customHeight="false" outlineLevel="0" collapsed="false">
      <c r="A54" s="3" t="s">
        <v>103</v>
      </c>
      <c r="B54" s="3" t="s">
        <v>44</v>
      </c>
      <c r="D54" s="13" t="n">
        <v>0.27</v>
      </c>
      <c r="E54" s="13" t="n">
        <v>0.28</v>
      </c>
      <c r="F54" s="13" t="n">
        <v>0.285</v>
      </c>
      <c r="G54" s="13" t="n">
        <v>0.285</v>
      </c>
      <c r="H54" s="13" t="n">
        <v>0.285</v>
      </c>
    </row>
    <row r="57" customFormat="false" ht="30" hidden="false" customHeight="true" outlineLevel="0" collapsed="false">
      <c r="A57" s="5" t="s">
        <v>106</v>
      </c>
      <c r="B57" s="5"/>
      <c r="C57" s="5"/>
      <c r="D57" s="5" t="n">
        <v>2026</v>
      </c>
      <c r="E57" s="5" t="n">
        <v>2027</v>
      </c>
      <c r="F57" s="5" t="n">
        <v>2028</v>
      </c>
      <c r="G57" s="5" t="n">
        <v>2029</v>
      </c>
      <c r="H57" s="5" t="n">
        <v>2030</v>
      </c>
    </row>
    <row r="58" customFormat="false" ht="15" hidden="false" customHeight="false" outlineLevel="0" collapsed="false">
      <c r="A58" s="3" t="s">
        <v>107</v>
      </c>
      <c r="D58" s="15" t="n">
        <f aca="false">CHOOSE($C$4,D59,D60,D61)</f>
        <v>0</v>
      </c>
      <c r="E58" s="15" t="n">
        <f aca="false">CHOOSE($C$4,E59,E60,E61)</f>
        <v>0</v>
      </c>
      <c r="F58" s="15" t="n">
        <f aca="false">CHOOSE($C$4,F59,F60,F61)</f>
        <v>0</v>
      </c>
      <c r="G58" s="15" t="n">
        <f aca="false">CHOOSE($C$4,G59,G60,G61)</f>
        <v>0</v>
      </c>
      <c r="H58" s="15" t="n">
        <f aca="false">CHOOSE($C$4,H59,H60,H61)</f>
        <v>0</v>
      </c>
    </row>
    <row r="59" customFormat="false" ht="15" hidden="false" customHeight="false" outlineLevel="0" collapsed="false">
      <c r="A59" s="3" t="s">
        <v>101</v>
      </c>
      <c r="B59" s="3" t="s">
        <v>44</v>
      </c>
      <c r="D59" s="13" t="n">
        <v>0.02</v>
      </c>
      <c r="E59" s="13" t="n">
        <v>0.02</v>
      </c>
      <c r="F59" s="13" t="n">
        <v>0.02</v>
      </c>
      <c r="G59" s="13" t="n">
        <v>0.02</v>
      </c>
      <c r="H59" s="13" t="n">
        <v>0.02</v>
      </c>
    </row>
    <row r="60" customFormat="false" ht="15" hidden="false" customHeight="false" outlineLevel="0" collapsed="false">
      <c r="A60" s="3" t="s">
        <v>102</v>
      </c>
      <c r="B60" s="3" t="s">
        <v>44</v>
      </c>
      <c r="D60" s="13" t="n">
        <v>0</v>
      </c>
      <c r="E60" s="13" t="n">
        <v>0</v>
      </c>
      <c r="F60" s="13" t="n">
        <v>0</v>
      </c>
      <c r="G60" s="13" t="n">
        <v>0</v>
      </c>
      <c r="H60" s="13" t="n">
        <v>0</v>
      </c>
    </row>
    <row r="61" customFormat="false" ht="15" hidden="false" customHeight="false" outlineLevel="0" collapsed="false">
      <c r="A61" s="3" t="s">
        <v>103</v>
      </c>
      <c r="B61" s="3" t="s">
        <v>44</v>
      </c>
      <c r="D61" s="13" t="n">
        <v>-0.005</v>
      </c>
      <c r="E61" s="13" t="n">
        <v>-0.005</v>
      </c>
      <c r="F61" s="13" t="n">
        <v>-0.005</v>
      </c>
      <c r="G61" s="13" t="n">
        <v>-0.005</v>
      </c>
      <c r="H61" s="13" t="n">
        <v>-0.005</v>
      </c>
    </row>
    <row r="64" customFormat="false" ht="30" hidden="false" customHeight="true" outlineLevel="0" collapsed="false">
      <c r="A64" s="5" t="s">
        <v>108</v>
      </c>
      <c r="B64" s="5"/>
      <c r="C64" s="5"/>
      <c r="D64" s="5" t="n">
        <v>2026</v>
      </c>
      <c r="E64" s="5" t="n">
        <v>2027</v>
      </c>
      <c r="F64" s="5" t="n">
        <v>2028</v>
      </c>
      <c r="G64" s="5" t="n">
        <v>2029</v>
      </c>
      <c r="H64" s="5" t="n">
        <v>2030</v>
      </c>
    </row>
    <row r="65" customFormat="false" ht="15" hidden="false" customHeight="false" outlineLevel="0" collapsed="false">
      <c r="A65" s="3" t="s">
        <v>109</v>
      </c>
      <c r="D65" s="16" t="n">
        <f aca="false">CHOOSE($C$4,D66,D67,D68)</f>
        <v>1</v>
      </c>
      <c r="E65" s="16" t="n">
        <f aca="false">CHOOSE($C$4,E66,E67,E68)</f>
        <v>1</v>
      </c>
      <c r="F65" s="16" t="n">
        <f aca="false">CHOOSE($C$4,F66,F67,F68)</f>
        <v>1</v>
      </c>
      <c r="G65" s="16" t="n">
        <f aca="false">CHOOSE($C$4,G66,G67,G68)</f>
        <v>1</v>
      </c>
      <c r="H65" s="16" t="n">
        <f aca="false">CHOOSE($C$4,H66,H67,H68)</f>
        <v>1</v>
      </c>
    </row>
    <row r="66" customFormat="false" ht="15" hidden="false" customHeight="false" outlineLevel="0" collapsed="false">
      <c r="A66" s="3" t="s">
        <v>101</v>
      </c>
      <c r="B66" s="3" t="s">
        <v>44</v>
      </c>
      <c r="D66" s="14" t="n">
        <v>1.25</v>
      </c>
      <c r="E66" s="14" t="n">
        <v>1.25</v>
      </c>
      <c r="F66" s="14" t="n">
        <v>1.25</v>
      </c>
      <c r="G66" s="14" t="n">
        <v>1.25</v>
      </c>
      <c r="H66" s="14" t="n">
        <v>1.25</v>
      </c>
    </row>
    <row r="67" customFormat="false" ht="15" hidden="false" customHeight="false" outlineLevel="0" collapsed="false">
      <c r="A67" s="3" t="s">
        <v>102</v>
      </c>
      <c r="B67" s="3" t="s">
        <v>44</v>
      </c>
      <c r="D67" s="14" t="n">
        <v>1</v>
      </c>
      <c r="E67" s="14" t="n">
        <v>1</v>
      </c>
      <c r="F67" s="14" t="n">
        <v>1</v>
      </c>
      <c r="G67" s="14" t="n">
        <v>1</v>
      </c>
      <c r="H67" s="14" t="n">
        <v>1</v>
      </c>
    </row>
    <row r="68" customFormat="false" ht="15" hidden="false" customHeight="false" outlineLevel="0" collapsed="false">
      <c r="A68" s="3" t="s">
        <v>103</v>
      </c>
      <c r="B68" s="3" t="s">
        <v>44</v>
      </c>
      <c r="D68" s="14" t="n">
        <v>0.9</v>
      </c>
      <c r="E68" s="14" t="n">
        <v>0.9</v>
      </c>
      <c r="F68" s="14" t="n">
        <v>0.9</v>
      </c>
      <c r="G68" s="14" t="n">
        <v>0.9</v>
      </c>
      <c r="H68" s="14" t="n">
        <v>0.9</v>
      </c>
    </row>
  </sheetData>
  <dataValidations count="1">
    <dataValidation allowBlank="false" error="Use the case key" errorStyle="stop" errorTitle="Choose case 1, 2 or 3" operator="between" showDropDown="false" showErrorMessage="true" showInputMessage="false" sqref="C4" type="whole">
      <formula1>1</formula1>
      <formula2>3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8"/>
    <col collapsed="false" customWidth="true" hidden="false" outlineLevel="0" max="8" min="2" style="0" width="18"/>
  </cols>
  <sheetData>
    <row r="1" customFormat="false" ht="17.35" hidden="false" customHeight="false" outlineLevel="0" collapsed="false">
      <c r="A1" s="1" t="s">
        <v>110</v>
      </c>
    </row>
    <row r="2" customFormat="false" ht="15" hidden="false" customHeight="false" outlineLevel="0" collapsed="false">
      <c r="A2" s="2" t="s">
        <v>111</v>
      </c>
    </row>
    <row r="3" customFormat="false" ht="15" hidden="false" customHeight="false" outlineLevel="0" collapsed="false">
      <c r="A3" s="3" t="s">
        <v>2</v>
      </c>
      <c r="B3" s="4" t="str">
        <f aca="false">Inputs!C5</f>
        <v>Base</v>
      </c>
    </row>
    <row r="4" customFormat="false" ht="30" hidden="false" customHeight="true" outlineLevel="0" collapsed="false">
      <c r="A4" s="5" t="s">
        <v>3</v>
      </c>
      <c r="B4" s="5" t="n">
        <v>2026</v>
      </c>
      <c r="C4" s="5" t="n">
        <v>2027</v>
      </c>
      <c r="D4" s="5" t="n">
        <v>2028</v>
      </c>
      <c r="E4" s="5" t="n">
        <v>2029</v>
      </c>
      <c r="F4" s="5" t="n">
        <v>2030</v>
      </c>
    </row>
    <row r="5" customFormat="false" ht="15" hidden="false" customHeight="false" outlineLevel="0" collapsed="false">
      <c r="A5" s="3" t="s">
        <v>99</v>
      </c>
      <c r="B5" s="17" t="n">
        <f aca="false">Inputs!$D$44</f>
        <v>0</v>
      </c>
      <c r="C5" s="17" t="n">
        <f aca="false">Inputs!$E$44</f>
        <v>0.15</v>
      </c>
      <c r="D5" s="17" t="n">
        <f aca="false">Inputs!$F$44</f>
        <v>0.12</v>
      </c>
      <c r="E5" s="17" t="n">
        <f aca="false">Inputs!$G$44</f>
        <v>0.1</v>
      </c>
      <c r="F5" s="17" t="n">
        <f aca="false">Inputs!$H$44</f>
        <v>0.08</v>
      </c>
    </row>
    <row r="6" customFormat="false" ht="15" hidden="false" customHeight="false" outlineLevel="0" collapsed="false">
      <c r="A6" s="3" t="s">
        <v>112</v>
      </c>
      <c r="B6" s="17" t="n">
        <f aca="false">Inputs!$D$51</f>
        <v>0.26</v>
      </c>
      <c r="C6" s="17" t="n">
        <f aca="false">Inputs!$E$51</f>
        <v>0.27</v>
      </c>
      <c r="D6" s="17" t="n">
        <f aca="false">Inputs!$F$51</f>
        <v>0.27</v>
      </c>
      <c r="E6" s="17" t="n">
        <f aca="false">Inputs!$G$51</f>
        <v>0.27</v>
      </c>
      <c r="F6" s="17" t="n">
        <f aca="false">Inputs!$H$51</f>
        <v>0.27</v>
      </c>
    </row>
    <row r="7" customFormat="false" ht="15" hidden="false" customHeight="false" outlineLevel="0" collapsed="false">
      <c r="A7" s="3" t="s">
        <v>113</v>
      </c>
      <c r="B7" s="18" t="n">
        <f aca="false">Inputs!$C$17</f>
        <v>500</v>
      </c>
      <c r="C7" s="19" t="n">
        <f aca="false">B28</f>
        <v>300</v>
      </c>
      <c r="D7" s="19" t="n">
        <f aca="false">C28</f>
        <v>938.662535538462</v>
      </c>
      <c r="E7" s="19" t="n">
        <f aca="false">D28</f>
        <v>1537.81057037405</v>
      </c>
      <c r="F7" s="19" t="n">
        <f aca="false">E28</f>
        <v>2060.98368097843</v>
      </c>
    </row>
    <row r="8" customFormat="false" ht="15" hidden="false" customHeight="false" outlineLevel="0" collapsed="false">
      <c r="A8" s="3" t="s">
        <v>114</v>
      </c>
      <c r="B8" s="18" t="n">
        <f aca="false">Capacity!B5</f>
        <v>20900</v>
      </c>
      <c r="C8" s="19" t="n">
        <f aca="false">B26</f>
        <v>20691</v>
      </c>
      <c r="D8" s="19" t="n">
        <f aca="false">C26</f>
        <v>19843.3374644615</v>
      </c>
      <c r="E8" s="19" t="n">
        <f aca="false">D26</f>
        <v>18396.5268940875</v>
      </c>
      <c r="F8" s="19" t="n">
        <f aca="false">E26</f>
        <v>16426.5432131091</v>
      </c>
    </row>
    <row r="9" customFormat="false" ht="15" hidden="false" customHeight="false" outlineLevel="0" collapsed="false">
      <c r="A9" s="3" t="s">
        <v>115</v>
      </c>
      <c r="B9" s="19" t="n">
        <f aca="false">0</f>
        <v>0</v>
      </c>
      <c r="C9" s="19" t="n">
        <f aca="false">B27</f>
        <v>107.889230769231</v>
      </c>
      <c r="D9" s="19" t="n">
        <f aca="false">C27</f>
        <v>0</v>
      </c>
      <c r="E9" s="19" t="n">
        <f aca="false">D27</f>
        <v>0</v>
      </c>
      <c r="F9" s="19" t="n">
        <f aca="false">E27</f>
        <v>0</v>
      </c>
    </row>
    <row r="10" customFormat="false" ht="15" hidden="false" customHeight="false" outlineLevel="0" collapsed="false">
      <c r="A10" s="3" t="s">
        <v>116</v>
      </c>
      <c r="B10" s="18" t="n">
        <f aca="false">Capacity!B8*(1+B5)</f>
        <v>15769.2307692308</v>
      </c>
      <c r="C10" s="19" t="n">
        <f aca="false">B10*(1+C5)</f>
        <v>18134.6153846154</v>
      </c>
      <c r="D10" s="19" t="n">
        <f aca="false">C10*(1+D5)</f>
        <v>20310.7692307692</v>
      </c>
      <c r="E10" s="19" t="n">
        <f aca="false">D10*(1+E5)</f>
        <v>22341.8461538462</v>
      </c>
      <c r="F10" s="19" t="n">
        <f aca="false">E10*(1+F5)</f>
        <v>24129.1938461539</v>
      </c>
    </row>
    <row r="11" customFormat="false" ht="15" hidden="false" customHeight="false" outlineLevel="0" collapsed="false">
      <c r="A11" s="3" t="s">
        <v>117</v>
      </c>
      <c r="B11" s="19" t="n">
        <f aca="false">B10*B6</f>
        <v>4100</v>
      </c>
      <c r="C11" s="19" t="n">
        <f aca="false">C10*C6</f>
        <v>4896.34615384615</v>
      </c>
      <c r="D11" s="19" t="n">
        <f aca="false">D10*D6</f>
        <v>5483.90769230769</v>
      </c>
      <c r="E11" s="19" t="n">
        <f aca="false">E10*E6</f>
        <v>6032.29846153846</v>
      </c>
      <c r="F11" s="19" t="n">
        <f aca="false">F10*F6</f>
        <v>6514.88233846154</v>
      </c>
    </row>
    <row r="12" customFormat="false" ht="15" hidden="false" customHeight="false" outlineLevel="0" collapsed="false">
      <c r="A12" s="3" t="s">
        <v>118</v>
      </c>
      <c r="B12" s="18" t="n">
        <f aca="false">B11*(1-Inputs!$C$16)</f>
        <v>3895</v>
      </c>
      <c r="C12" s="18" t="n">
        <f aca="false">C11*(1-Inputs!$C$16)</f>
        <v>4651.52884615385</v>
      </c>
      <c r="D12" s="18" t="n">
        <f aca="false">D11*(1-Inputs!$C$16)</f>
        <v>5209.71230769231</v>
      </c>
      <c r="E12" s="18" t="n">
        <f aca="false">E11*(1-Inputs!$C$16)</f>
        <v>5730.68353846154</v>
      </c>
      <c r="F12" s="18" t="n">
        <f aca="false">F11*(1-Inputs!$C$16)</f>
        <v>6189.13822153846</v>
      </c>
    </row>
    <row r="13" customFormat="false" ht="15" hidden="false" customHeight="false" outlineLevel="0" collapsed="false">
      <c r="A13" s="3" t="s">
        <v>119</v>
      </c>
      <c r="B13" s="18" t="n">
        <f aca="false">B8*(Inputs!$C$19+Inputs!$C$20+Inputs!$D$58)+B9*(Inputs!$C$19+Inputs!$C$21+Inputs!$D$58)</f>
        <v>1463</v>
      </c>
      <c r="C13" s="18" t="n">
        <f aca="false">C8*(Inputs!$C$19+Inputs!$C$20+Inputs!$E$58)+C9*(Inputs!$C$19+Inputs!$C$21+Inputs!$E$58)</f>
        <v>1456.46169230769</v>
      </c>
      <c r="D13" s="18" t="n">
        <f aca="false">D8*(Inputs!$C$19+Inputs!$C$20+Inputs!$F$58)+D9*(Inputs!$C$19+Inputs!$C$21+Inputs!$F$58)</f>
        <v>1389.03362251231</v>
      </c>
      <c r="E13" s="18" t="n">
        <f aca="false">E8*(Inputs!$C$19+Inputs!$C$20+Inputs!$G$58)+E9*(Inputs!$C$19+Inputs!$C$21+Inputs!$G$58)</f>
        <v>1287.75688258612</v>
      </c>
      <c r="F13" s="18" t="n">
        <f aca="false">F8*(Inputs!$C$19+Inputs!$C$20+Inputs!$H$58)+F9*(Inputs!$C$19+Inputs!$C$21+Inputs!$H$58)</f>
        <v>1149.85802491763</v>
      </c>
    </row>
    <row r="14" customFormat="false" ht="15" hidden="false" customHeight="false" outlineLevel="0" collapsed="false">
      <c r="A14" s="3" t="s">
        <v>120</v>
      </c>
      <c r="B14" s="18" t="n">
        <f aca="false">(Capacity!$B$6-B9)*Inputs!$C$22</f>
        <v>11</v>
      </c>
      <c r="C14" s="18" t="n">
        <f aca="false">(Capacity!$B$6-C9)*Inputs!$C$22</f>
        <v>10.4605538461538</v>
      </c>
      <c r="D14" s="18" t="n">
        <f aca="false">(Capacity!$B$6-D9)*Inputs!$C$22</f>
        <v>11</v>
      </c>
      <c r="E14" s="18" t="n">
        <f aca="false">(Capacity!$B$6-E9)*Inputs!$C$22</f>
        <v>11</v>
      </c>
      <c r="F14" s="18" t="n">
        <f aca="false">(Capacity!$B$6-F9)*Inputs!$C$22</f>
        <v>11</v>
      </c>
    </row>
    <row r="15" customFormat="false" ht="15" hidden="false" customHeight="false" outlineLevel="0" collapsed="false">
      <c r="A15" s="3" t="s">
        <v>121</v>
      </c>
      <c r="B15" s="18" t="n">
        <f aca="false">B10*Inputs!$C$26</f>
        <v>394.230769230769</v>
      </c>
      <c r="C15" s="18" t="n">
        <f aca="false">C10*Inputs!$C$26</f>
        <v>453.365384615385</v>
      </c>
      <c r="D15" s="18" t="n">
        <f aca="false">D10*Inputs!$C$26</f>
        <v>507.769230769231</v>
      </c>
      <c r="E15" s="18" t="n">
        <f aca="false">E10*Inputs!$C$26</f>
        <v>558.546153846154</v>
      </c>
      <c r="F15" s="18" t="n">
        <f aca="false">F10*Inputs!$C$26</f>
        <v>603.229846153846</v>
      </c>
    </row>
    <row r="16" customFormat="false" ht="15" hidden="false" customHeight="false" outlineLevel="0" collapsed="false">
      <c r="A16" s="3" t="s">
        <v>122</v>
      </c>
      <c r="B16" s="18" t="n">
        <f aca="false">MAX(0,B12-B15-B13-B14)*Inputs!$C$25</f>
        <v>445.889230769231</v>
      </c>
      <c r="C16" s="18" t="n">
        <f aca="false">MAX(0,C12-C15-C13-C14)*Inputs!$C$25</f>
        <v>600.873067384615</v>
      </c>
      <c r="D16" s="18" t="n">
        <f aca="false">MAX(0,D12-D15-D13-D14)*Inputs!$C$25</f>
        <v>726.420079970369</v>
      </c>
      <c r="E16" s="18" t="n">
        <f aca="false">MAX(0,E12-E15-E13-E14)*Inputs!$C$25</f>
        <v>852.143710446437</v>
      </c>
      <c r="F16" s="18" t="n">
        <f aca="false">MAX(0,F12-F15-F13-F14)*Inputs!$C$25</f>
        <v>973.511077102736</v>
      </c>
    </row>
    <row r="17" customFormat="false" ht="15" hidden="false" customHeight="false" outlineLevel="0" collapsed="false">
      <c r="A17" s="3" t="s">
        <v>123</v>
      </c>
      <c r="B17" s="18" t="n">
        <f aca="false">AVERAGE(Inputs!$C$27,Inputs!$C$28)*Inputs!$D$65</f>
        <v>1250</v>
      </c>
      <c r="C17" s="18" t="n">
        <f aca="false">C10*Inputs!$C$29*Inputs!$E$65</f>
        <v>634.711538461539</v>
      </c>
      <c r="D17" s="18" t="n">
        <f aca="false">D10*Inputs!$C$29*Inputs!$F$65</f>
        <v>710.876923076923</v>
      </c>
      <c r="E17" s="18" t="n">
        <f aca="false">E10*Inputs!$C$29*Inputs!$G$65</f>
        <v>781.964615384616</v>
      </c>
      <c r="F17" s="18" t="n">
        <f aca="false">F10*Inputs!$C$29*Inputs!$H$65</f>
        <v>844.521784615385</v>
      </c>
    </row>
    <row r="18" customFormat="false" ht="15" hidden="false" customHeight="false" outlineLevel="0" collapsed="false">
      <c r="A18" s="3" t="s">
        <v>124</v>
      </c>
      <c r="B18" s="18" t="n">
        <f aca="false">(B10-Capacity!$B$8)*Inputs!$C$31</f>
        <v>0</v>
      </c>
      <c r="C18" s="18" t="n">
        <f aca="false">(C10-B10)*Inputs!$C$31</f>
        <v>354.807692307692</v>
      </c>
      <c r="D18" s="18" t="n">
        <f aca="false">(D10-C10)*Inputs!$C$31</f>
        <v>326.423076923077</v>
      </c>
      <c r="E18" s="18" t="n">
        <f aca="false">(E10-D10)*Inputs!$C$31</f>
        <v>304.661538461539</v>
      </c>
      <c r="F18" s="18" t="n">
        <f aca="false">(F10-E10)*Inputs!$C$31</f>
        <v>268.102153846154</v>
      </c>
    </row>
    <row r="19" customFormat="false" ht="15" hidden="false" customHeight="false" outlineLevel="0" collapsed="false">
      <c r="A19" s="3" t="s">
        <v>125</v>
      </c>
      <c r="B19" s="18" t="n">
        <f aca="false">Inputs!$C$30</f>
        <v>824</v>
      </c>
      <c r="C19" s="19" t="n">
        <f aca="false">0</f>
        <v>0</v>
      </c>
      <c r="D19" s="19" t="n">
        <f aca="false">0</f>
        <v>0</v>
      </c>
      <c r="E19" s="19" t="n">
        <f aca="false">0</f>
        <v>0</v>
      </c>
      <c r="F19" s="19" t="n">
        <f aca="false">0</f>
        <v>0</v>
      </c>
    </row>
    <row r="20" customFormat="false" ht="15" hidden="false" customHeight="false" outlineLevel="0" collapsed="false">
      <c r="A20" s="3" t="s">
        <v>126</v>
      </c>
      <c r="B20" s="19" t="n">
        <f aca="false">B12-SUM(B13:B14)-B16-SUM(B17:B19)</f>
        <v>-98.8892307692306</v>
      </c>
      <c r="C20" s="19" t="n">
        <f aca="false">C12-SUM(C13:C14)-C16-SUM(C17:C19)</f>
        <v>1594.21430184615</v>
      </c>
      <c r="D20" s="19" t="n">
        <f aca="false">D12-SUM(D13:D14)-D16-SUM(D17:D19)</f>
        <v>2045.95860520963</v>
      </c>
      <c r="E20" s="19" t="n">
        <f aca="false">E12-SUM(E13:E14)-E16-SUM(E17:E19)</f>
        <v>2493.15679158282</v>
      </c>
      <c r="F20" s="19" t="n">
        <f aca="false">F12-SUM(F13:F14)-F16-SUM(F17:F19)</f>
        <v>2942.14518105655</v>
      </c>
    </row>
    <row r="21" customFormat="false" ht="15" hidden="false" customHeight="false" outlineLevel="0" collapsed="false">
      <c r="A21" s="3" t="s">
        <v>127</v>
      </c>
      <c r="B21" s="18" t="n">
        <f aca="false">MIN(B8,Capacity!$B$5*Inputs!$C$23)</f>
        <v>209</v>
      </c>
      <c r="C21" s="18" t="n">
        <f aca="false">MIN(C8,Capacity!$B$5*Inputs!$C$23)</f>
        <v>209</v>
      </c>
      <c r="D21" s="18" t="n">
        <f aca="false">MIN(D8,Capacity!$B$5*Inputs!$C$23)</f>
        <v>209</v>
      </c>
      <c r="E21" s="18" t="n">
        <f aca="false">MIN(E8,Capacity!$B$5*Inputs!$C$23)</f>
        <v>209</v>
      </c>
      <c r="F21" s="18" t="n">
        <f aca="false">MIN(F8,Capacity!$B$5*Inputs!$C$23)</f>
        <v>209</v>
      </c>
    </row>
    <row r="22" customFormat="false" ht="15" hidden="false" customHeight="false" outlineLevel="0" collapsed="false">
      <c r="A22" s="3" t="s">
        <v>128</v>
      </c>
      <c r="B22" s="19" t="n">
        <f aca="false">B7+B20-B21</f>
        <v>192.110769230769</v>
      </c>
      <c r="C22" s="19" t="n">
        <f aca="false">C7+C20-C21</f>
        <v>1685.21430184615</v>
      </c>
      <c r="D22" s="19" t="n">
        <f aca="false">D7+D20-D21</f>
        <v>2775.62114074809</v>
      </c>
      <c r="E22" s="19" t="n">
        <f aca="false">E7+E20-E21</f>
        <v>3821.96736195687</v>
      </c>
      <c r="F22" s="19" t="n">
        <f aca="false">F7+F20-F21</f>
        <v>4794.12886203499</v>
      </c>
    </row>
    <row r="23" customFormat="false" ht="15" hidden="false" customHeight="false" outlineLevel="0" collapsed="false">
      <c r="A23" s="3" t="s">
        <v>129</v>
      </c>
      <c r="B23" s="18" t="n">
        <f aca="false">MIN(MAX(0,Inputs!$C$18-B22),Capacity!$B$6-B9)</f>
        <v>107.889230769231</v>
      </c>
      <c r="C23" s="18" t="n">
        <f aca="false">MIN(MAX(0,Inputs!$C$18-C22),Capacity!$B$6-C9)</f>
        <v>0</v>
      </c>
      <c r="D23" s="18" t="n">
        <f aca="false">MIN(MAX(0,Inputs!$C$18-D22),Capacity!$B$6-D9)</f>
        <v>0</v>
      </c>
      <c r="E23" s="18" t="n">
        <f aca="false">MIN(MAX(0,Inputs!$C$18-E22),Capacity!$B$6-E9)</f>
        <v>0</v>
      </c>
      <c r="F23" s="18" t="n">
        <f aca="false">MIN(MAX(0,Inputs!$C$18-F22),Capacity!$B$6-F9)</f>
        <v>0</v>
      </c>
    </row>
    <row r="24" customFormat="false" ht="15" hidden="false" customHeight="false" outlineLevel="0" collapsed="false">
      <c r="A24" s="3" t="s">
        <v>130</v>
      </c>
      <c r="B24" s="18" t="n">
        <f aca="false">MIN(MAX(0,B22-Inputs!$C$18),B9)</f>
        <v>0</v>
      </c>
      <c r="C24" s="18" t="n">
        <f aca="false">MIN(MAX(0,C22-Inputs!$C$18),C9)</f>
        <v>107.889230769231</v>
      </c>
      <c r="D24" s="18" t="n">
        <f aca="false">MIN(MAX(0,D22-Inputs!$C$18),D9)</f>
        <v>0</v>
      </c>
      <c r="E24" s="18" t="n">
        <f aca="false">MIN(MAX(0,E22-Inputs!$C$18),E9)</f>
        <v>0</v>
      </c>
      <c r="F24" s="18" t="n">
        <f aca="false">MIN(MAX(0,F22-Inputs!$C$18),F9)</f>
        <v>0</v>
      </c>
    </row>
    <row r="25" customFormat="false" ht="15" hidden="false" customHeight="false" outlineLevel="0" collapsed="false">
      <c r="A25" s="3" t="s">
        <v>131</v>
      </c>
      <c r="B25" s="18" t="n">
        <f aca="false">MIN(MAX(0,B22-B24-Inputs!$C$18)*Inputs!$C$24,B8-B21)</f>
        <v>0</v>
      </c>
      <c r="C25" s="18" t="n">
        <f aca="false">MIN(MAX(0,C22-C24-Inputs!$C$18)*Inputs!$C$24,C8-C21)</f>
        <v>638.662535538462</v>
      </c>
      <c r="D25" s="18" t="n">
        <f aca="false">MIN(MAX(0,D22-D24-Inputs!$C$18)*Inputs!$C$24,D8-D21)</f>
        <v>1237.81057037405</v>
      </c>
      <c r="E25" s="18" t="n">
        <f aca="false">MIN(MAX(0,E22-E24-Inputs!$C$18)*Inputs!$C$24,E8-E21)</f>
        <v>1760.98368097843</v>
      </c>
      <c r="F25" s="18" t="n">
        <f aca="false">MIN(MAX(0,F22-F24-Inputs!$C$18)*Inputs!$C$24,F8-F21)</f>
        <v>2247.06443101749</v>
      </c>
    </row>
    <row r="26" customFormat="false" ht="15" hidden="false" customHeight="false" outlineLevel="0" collapsed="false">
      <c r="A26" s="3" t="s">
        <v>132</v>
      </c>
      <c r="B26" s="19" t="n">
        <f aca="false">B8-B21-B25</f>
        <v>20691</v>
      </c>
      <c r="C26" s="19" t="n">
        <f aca="false">C8-C21-C25</f>
        <v>19843.3374644615</v>
      </c>
      <c r="D26" s="19" t="n">
        <f aca="false">D8-D21-D25</f>
        <v>18396.5268940875</v>
      </c>
      <c r="E26" s="19" t="n">
        <f aca="false">E8-E21-E25</f>
        <v>16426.5432131091</v>
      </c>
      <c r="F26" s="19" t="n">
        <f aca="false">F8-F21-F25</f>
        <v>13970.4787820916</v>
      </c>
    </row>
    <row r="27" customFormat="false" ht="15" hidden="false" customHeight="false" outlineLevel="0" collapsed="false">
      <c r="A27" s="3" t="s">
        <v>133</v>
      </c>
      <c r="B27" s="19" t="n">
        <f aca="false">B9+B23-B24</f>
        <v>107.889230769231</v>
      </c>
      <c r="C27" s="19" t="n">
        <f aca="false">C9+C23-C24</f>
        <v>0</v>
      </c>
      <c r="D27" s="19" t="n">
        <f aca="false">D9+D23-D24</f>
        <v>0</v>
      </c>
      <c r="E27" s="19" t="n">
        <f aca="false">E9+E23-E24</f>
        <v>0</v>
      </c>
      <c r="F27" s="19" t="n">
        <f aca="false">F9+F23-F24</f>
        <v>0</v>
      </c>
    </row>
    <row r="28" customFormat="false" ht="15" hidden="false" customHeight="false" outlineLevel="0" collapsed="false">
      <c r="A28" s="3" t="s">
        <v>134</v>
      </c>
      <c r="B28" s="19" t="n">
        <f aca="false">B22+B23-B24-B25</f>
        <v>300</v>
      </c>
      <c r="C28" s="19" t="n">
        <f aca="false">C22+C23-C24-C25</f>
        <v>938.662535538462</v>
      </c>
      <c r="D28" s="19" t="n">
        <f aca="false">D22+D23-D24-D25</f>
        <v>1537.81057037405</v>
      </c>
      <c r="E28" s="19" t="n">
        <f aca="false">E22+E23-E24-E25</f>
        <v>2060.98368097843</v>
      </c>
      <c r="F28" s="19" t="n">
        <f aca="false">F22+F23-F24-F25</f>
        <v>2547.06443101749</v>
      </c>
    </row>
    <row r="29" customFormat="false" ht="15" hidden="false" customHeight="false" outlineLevel="0" collapsed="false">
      <c r="A29" s="3" t="s">
        <v>135</v>
      </c>
      <c r="B29" s="19" t="n">
        <f aca="false">B26+B27</f>
        <v>20798.8892307692</v>
      </c>
      <c r="C29" s="19" t="n">
        <f aca="false">C26+C27</f>
        <v>19843.3374644615</v>
      </c>
      <c r="D29" s="19" t="n">
        <f aca="false">D26+D27</f>
        <v>18396.5268940875</v>
      </c>
      <c r="E29" s="19" t="n">
        <f aca="false">E26+E27</f>
        <v>16426.5432131091</v>
      </c>
      <c r="F29" s="19" t="n">
        <f aca="false">F26+F27</f>
        <v>13970.4787820916</v>
      </c>
    </row>
    <row r="30" customFormat="false" ht="15" hidden="false" customHeight="false" outlineLevel="0" collapsed="false">
      <c r="A30" s="3" t="s">
        <v>136</v>
      </c>
      <c r="B30" s="19" t="n">
        <f aca="false">B29-B28</f>
        <v>20498.8892307692</v>
      </c>
      <c r="C30" s="19" t="n">
        <f aca="false">C29-C28</f>
        <v>18904.6749289231</v>
      </c>
      <c r="D30" s="19" t="n">
        <f aca="false">D29-D28</f>
        <v>16858.7163237134</v>
      </c>
      <c r="E30" s="19" t="n">
        <f aca="false">E29-E28</f>
        <v>14365.5595321306</v>
      </c>
      <c r="F30" s="19" t="n">
        <f aca="false">F29-F28</f>
        <v>11423.4143510741</v>
      </c>
    </row>
    <row r="31" customFormat="false" ht="15" hidden="false" customHeight="false" outlineLevel="0" collapsed="false">
      <c r="A31" s="3" t="s">
        <v>137</v>
      </c>
      <c r="B31" s="18" t="n">
        <f aca="false">B28+Capacity!$B$6-B27</f>
        <v>2392.11076923077</v>
      </c>
      <c r="C31" s="18" t="n">
        <f aca="false">C28+Capacity!$B$6-C27</f>
        <v>3138.66253553846</v>
      </c>
      <c r="D31" s="18" t="n">
        <f aca="false">D28+Capacity!$B$6-D27</f>
        <v>3737.81057037405</v>
      </c>
      <c r="E31" s="18" t="n">
        <f aca="false">E28+Capacity!$B$6-E27</f>
        <v>4260.98368097844</v>
      </c>
      <c r="F31" s="18" t="n">
        <f aca="false">F28+Capacity!$B$6-F27</f>
        <v>4747.06443101749</v>
      </c>
    </row>
    <row r="32" customFormat="false" ht="15" hidden="false" customHeight="false" outlineLevel="0" collapsed="false">
      <c r="A32" s="3" t="s">
        <v>138</v>
      </c>
      <c r="B32" s="16" t="n">
        <f aca="false">B29/B12</f>
        <v>5.33989453935025</v>
      </c>
      <c r="C32" s="16" t="n">
        <f aca="false">C29/C12</f>
        <v>4.26598181388667</v>
      </c>
      <c r="D32" s="16" t="n">
        <f aca="false">D29/D12</f>
        <v>3.53119823275547</v>
      </c>
      <c r="E32" s="16" t="n">
        <f aca="false">E29/E12</f>
        <v>2.86641952968824</v>
      </c>
      <c r="F32" s="16" t="n">
        <f aca="false">F29/F12</f>
        <v>2.25725751825573</v>
      </c>
    </row>
    <row r="33" customFormat="false" ht="15" hidden="false" customHeight="false" outlineLevel="0" collapsed="false">
      <c r="A33" s="3" t="s">
        <v>139</v>
      </c>
      <c r="B33" s="16" t="n">
        <f aca="false">B12/SUM(B13:B14)</f>
        <v>2.64246947082768</v>
      </c>
      <c r="C33" s="16" t="n">
        <f aca="false">C12/SUM(C13:C14)</f>
        <v>3.17094437578391</v>
      </c>
      <c r="D33" s="16" t="n">
        <f aca="false">D12/SUM(D13:D14)</f>
        <v>3.72113370987739</v>
      </c>
      <c r="E33" s="16" t="n">
        <f aca="false">E12/SUM(E13:E14)</f>
        <v>4.41243747409479</v>
      </c>
      <c r="F33" s="16" t="n">
        <f aca="false">F12/SUM(F13:F14)</f>
        <v>5.33152038293193</v>
      </c>
    </row>
    <row r="34" customFormat="false" ht="15" hidden="false" customHeight="false" outlineLevel="0" collapsed="false">
      <c r="A34" s="3" t="s">
        <v>140</v>
      </c>
      <c r="B34" s="20" t="n">
        <f aca="false">Inputs!$C$32-B32</f>
        <v>0.160105460649748</v>
      </c>
      <c r="C34" s="20" t="n">
        <f aca="false">Inputs!$C$32-C32</f>
        <v>1.23401818611333</v>
      </c>
      <c r="D34" s="20" t="n">
        <f aca="false">Inputs!$C$32-D32</f>
        <v>1.96880176724453</v>
      </c>
      <c r="E34" s="20" t="n">
        <f aca="false">Inputs!$C$32-E32</f>
        <v>2.63358047031176</v>
      </c>
      <c r="F34" s="20" t="n">
        <f aca="false">Inputs!$C$32-F32</f>
        <v>3.24274248174428</v>
      </c>
    </row>
    <row r="35" customFormat="false" ht="15" hidden="false" customHeight="false" outlineLevel="0" collapsed="false">
      <c r="A35" s="3" t="s">
        <v>141</v>
      </c>
      <c r="B35" s="20" t="n">
        <f aca="false">B33-Inputs!$C$33</f>
        <v>0.642469470827679</v>
      </c>
      <c r="C35" s="20" t="n">
        <f aca="false">C33-Inputs!$C$33</f>
        <v>1.17094437578391</v>
      </c>
      <c r="D35" s="20" t="n">
        <f aca="false">D33-Inputs!$C$33</f>
        <v>1.72113370987739</v>
      </c>
      <c r="E35" s="20" t="n">
        <f aca="false">E33-Inputs!$C$33</f>
        <v>2.41243747409479</v>
      </c>
      <c r="F35" s="20" t="n">
        <f aca="false">F33-Inputs!$C$33</f>
        <v>3.33152038293192</v>
      </c>
    </row>
    <row r="36" customFormat="false" ht="15" hidden="false" customHeight="false" outlineLevel="0" collapsed="false">
      <c r="A36" s="3" t="s">
        <v>142</v>
      </c>
      <c r="B36" s="18" t="n">
        <f aca="false">MAX(0,Inputs!$C$18-B28)</f>
        <v>0</v>
      </c>
      <c r="C36" s="18" t="n">
        <f aca="false">MAX(0,Inputs!$C$18-C28)</f>
        <v>0</v>
      </c>
      <c r="D36" s="18" t="n">
        <f aca="false">MAX(0,Inputs!$C$18-D28)</f>
        <v>0</v>
      </c>
      <c r="E36" s="18" t="n">
        <f aca="false">MAX(0,Inputs!$C$18-E28)</f>
        <v>0</v>
      </c>
      <c r="F36" s="18" t="n">
        <f aca="false">MAX(0,Inputs!$C$18-F28)</f>
        <v>0</v>
      </c>
    </row>
    <row r="37" customFormat="false" ht="15" hidden="false" customHeight="false" outlineLevel="0" collapsed="false">
      <c r="A37" s="3" t="s">
        <v>143</v>
      </c>
      <c r="B37" s="19" t="n">
        <f aca="false">B28-B7-B20+B21-B23+B24+B25</f>
        <v>0</v>
      </c>
      <c r="C37" s="19" t="n">
        <f aca="false">C28-C7-C20+C21-C23+C24+C25</f>
        <v>0</v>
      </c>
      <c r="D37" s="19" t="n">
        <f aca="false">D28-D7-D20+D21-D23+D24+D25</f>
        <v>0</v>
      </c>
      <c r="E37" s="19" t="n">
        <f aca="false">E28-E7-E20+E21-E23+E24+E25</f>
        <v>0</v>
      </c>
      <c r="F37" s="19" t="n">
        <f aca="false">F28-F7-F20+F21-F23+F24+F25</f>
        <v>0</v>
      </c>
    </row>
    <row r="38" customFormat="false" ht="15" hidden="false" customHeight="false" outlineLevel="0" collapsed="false">
      <c r="A38" s="3" t="s">
        <v>144</v>
      </c>
      <c r="B38" s="19" t="n">
        <f aca="false">B29-B8-B9+B21+B25-B23+B24</f>
        <v>-1.13686837721616E-012</v>
      </c>
      <c r="C38" s="19" t="n">
        <f aca="false">C29-C8-C9+C21+C25-C23+C24</f>
        <v>1.25055521493778E-012</v>
      </c>
      <c r="D38" s="19" t="n">
        <f aca="false">D29-D8-D9+D21+D25-D23+D24</f>
        <v>0</v>
      </c>
      <c r="E38" s="19" t="n">
        <f aca="false">E29-E8-E9+E21+E25-E23+E24</f>
        <v>0</v>
      </c>
      <c r="F38" s="19" t="n">
        <f aca="false">F29-F8-F9+F21+F25-F23+F24</f>
        <v>0</v>
      </c>
    </row>
  </sheetData>
  <conditionalFormatting sqref="B34:F34">
    <cfRule type="cellIs" priority="2" operator="lessThan" aboveAverage="0" equalAverage="0" bottom="0" percent="0" rank="0" text="" dxfId="0">
      <formula>0</formula>
    </cfRule>
  </conditionalFormatting>
  <conditionalFormatting sqref="B35:F35">
    <cfRule type="cellIs" priority="3" operator="lessThan" aboveAverage="0" equalAverage="0" bottom="0" percent="0" rank="0" text="" dxfId="0">
      <formula>0</formula>
    </cfRule>
  </conditionalFormatting>
  <conditionalFormatting sqref="B36:F36">
    <cfRule type="cellIs" priority="4" operator="greater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4"/>
    <col collapsed="false" customWidth="true" hidden="false" outlineLevel="0" max="8" min="2" style="0" width="18"/>
  </cols>
  <sheetData>
    <row r="1" customFormat="false" ht="17.35" hidden="false" customHeight="false" outlineLevel="0" collapsed="false">
      <c r="A1" s="1" t="s">
        <v>145</v>
      </c>
    </row>
    <row r="2" customFormat="false" ht="15" hidden="false" customHeight="false" outlineLevel="0" collapsed="false">
      <c r="A2" s="2" t="s">
        <v>146</v>
      </c>
    </row>
    <row r="4" customFormat="false" ht="30" hidden="false" customHeight="true" outlineLevel="0" collapsed="false">
      <c r="A4" s="5" t="s">
        <v>3</v>
      </c>
      <c r="B4" s="5" t="s">
        <v>4</v>
      </c>
    </row>
    <row r="5" customFormat="false" ht="15" hidden="false" customHeight="false" outlineLevel="0" collapsed="false">
      <c r="A5" s="3" t="s">
        <v>147</v>
      </c>
      <c r="B5" s="18" t="n">
        <f aca="false">Inputs!$C$9*Inputs!$C$12</f>
        <v>20900</v>
      </c>
    </row>
    <row r="6" customFormat="false" ht="15" hidden="false" customHeight="false" outlineLevel="0" collapsed="false">
      <c r="A6" s="3" t="s">
        <v>148</v>
      </c>
      <c r="B6" s="18" t="n">
        <f aca="false">Inputs!$C$10*Inputs!$C$12</f>
        <v>2200</v>
      </c>
    </row>
    <row r="7" customFormat="false" ht="15" hidden="false" customHeight="false" outlineLevel="0" collapsed="false">
      <c r="A7" s="3" t="s">
        <v>149</v>
      </c>
      <c r="B7" s="18" t="n">
        <f aca="false">AVERAGE(Inputs!$C$13,Inputs!$C$14)</f>
        <v>4100</v>
      </c>
    </row>
    <row r="8" customFormat="false" ht="15" hidden="false" customHeight="false" outlineLevel="0" collapsed="false">
      <c r="A8" s="3" t="s">
        <v>150</v>
      </c>
      <c r="B8" s="18" t="n">
        <f aca="false">B7/Inputs!$C$15</f>
        <v>15769.2307692308</v>
      </c>
    </row>
    <row r="9" customFormat="false" ht="15" hidden="false" customHeight="false" outlineLevel="0" collapsed="false">
      <c r="A9" s="3" t="s">
        <v>151</v>
      </c>
      <c r="B9" s="18" t="n">
        <f aca="false">B7*(1-Inputs!$C$16)</f>
        <v>3895</v>
      </c>
    </row>
    <row r="10" customFormat="false" ht="15" hidden="false" customHeight="false" outlineLevel="0" collapsed="false">
      <c r="A10" s="3" t="s">
        <v>152</v>
      </c>
      <c r="B10" s="17" t="n">
        <f aca="false">Inputs!$C$19+Inputs!$C$20</f>
        <v>0.07</v>
      </c>
    </row>
    <row r="11" customFormat="false" ht="15" hidden="false" customHeight="false" outlineLevel="0" collapsed="false">
      <c r="A11" s="3" t="s">
        <v>153</v>
      </c>
      <c r="B11" s="18" t="n">
        <f aca="false">B9*Inputs!$C$32</f>
        <v>21422.5</v>
      </c>
    </row>
    <row r="12" customFormat="false" ht="15" hidden="false" customHeight="false" outlineLevel="0" collapsed="false">
      <c r="A12" s="3" t="s">
        <v>154</v>
      </c>
      <c r="B12" s="18" t="n">
        <f aca="false">(B9/Inputs!$C$33-B6*Inputs!$C$22)/B10</f>
        <v>27664.2857142857</v>
      </c>
    </row>
    <row r="13" customFormat="false" ht="15" hidden="false" customHeight="false" outlineLevel="0" collapsed="false">
      <c r="A13" s="3" t="s">
        <v>155</v>
      </c>
      <c r="B13" s="19" t="n">
        <f aca="false">MAX(0,MIN(B11:B12))</f>
        <v>21422.5</v>
      </c>
    </row>
    <row r="14" customFormat="false" ht="15" hidden="false" customHeight="false" outlineLevel="0" collapsed="false">
      <c r="A14" s="3" t="s">
        <v>156</v>
      </c>
      <c r="B14" s="19" t="n">
        <f aca="false">B5-B13</f>
        <v>-522.5</v>
      </c>
    </row>
    <row r="15" customFormat="false" ht="15" hidden="false" customHeight="false" outlineLevel="0" collapsed="false">
      <c r="A15" s="3" t="s">
        <v>157</v>
      </c>
      <c r="B15" s="18" t="n">
        <f aca="false">B5/Inputs!$C$32/(1-Inputs!$C$16)</f>
        <v>4000</v>
      </c>
    </row>
    <row r="16" customFormat="false" ht="15" hidden="false" customHeight="false" outlineLevel="0" collapsed="false">
      <c r="A16" s="3" t="s">
        <v>158</v>
      </c>
      <c r="B16" s="15" t="n">
        <f aca="false">1-B15/B7</f>
        <v>0.024390243902439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8"/>
    <col collapsed="false" customWidth="true" hidden="false" outlineLevel="0" max="8" min="2" style="0" width="18"/>
  </cols>
  <sheetData>
    <row r="1" customFormat="false" ht="17.35" hidden="false" customHeight="false" outlineLevel="0" collapsed="false">
      <c r="A1" s="1" t="s">
        <v>159</v>
      </c>
    </row>
    <row r="2" customFormat="false" ht="15" hidden="false" customHeight="false" outlineLevel="0" collapsed="false">
      <c r="A2" s="2" t="s">
        <v>160</v>
      </c>
    </row>
    <row r="4" customFormat="false" ht="30" hidden="false" customHeight="true" outlineLevel="0" collapsed="false">
      <c r="A4" s="5" t="s">
        <v>3</v>
      </c>
      <c r="B4" s="5" t="s">
        <v>4</v>
      </c>
    </row>
    <row r="5" customFormat="false" ht="15" hidden="false" customHeight="false" outlineLevel="0" collapsed="false">
      <c r="A5" s="3" t="s">
        <v>161</v>
      </c>
      <c r="B5" s="18" t="n">
        <f aca="false">Capacity!B9*(1-Inputs!$C$34)</f>
        <v>2531.75</v>
      </c>
    </row>
    <row r="6" customFormat="false" ht="15" hidden="false" customHeight="false" outlineLevel="0" collapsed="false">
      <c r="A6" s="3" t="s">
        <v>162</v>
      </c>
      <c r="B6" s="18" t="n">
        <f aca="false">B5*Inputs!$C$35</f>
        <v>15190.5</v>
      </c>
    </row>
    <row r="7" customFormat="false" ht="15" hidden="false" customHeight="false" outlineLevel="0" collapsed="false">
      <c r="A7" s="3" t="s">
        <v>163</v>
      </c>
      <c r="B7" s="18" t="n">
        <f aca="false">B6*Inputs!$C$36</f>
        <v>1519.05</v>
      </c>
    </row>
    <row r="8" customFormat="false" ht="15" hidden="false" customHeight="false" outlineLevel="0" collapsed="false">
      <c r="A8" s="3" t="s">
        <v>95</v>
      </c>
      <c r="B8" s="18" t="n">
        <f aca="false">Inputs!$C$37</f>
        <v>100</v>
      </c>
    </row>
    <row r="9" customFormat="false" ht="15" hidden="false" customHeight="false" outlineLevel="0" collapsed="false">
      <c r="A9" s="3" t="s">
        <v>164</v>
      </c>
      <c r="B9" s="19" t="n">
        <f aca="false">MAX(0,B6-B7-B8)</f>
        <v>13571.45</v>
      </c>
    </row>
    <row r="10" customFormat="false" ht="15" hidden="false" customHeight="false" outlineLevel="0" collapsed="false">
      <c r="A10" s="3" t="s">
        <v>165</v>
      </c>
      <c r="B10" s="18" t="n">
        <f aca="false">Capacity!B5</f>
        <v>20900</v>
      </c>
    </row>
    <row r="11" customFormat="false" ht="15" hidden="false" customHeight="false" outlineLevel="0" collapsed="false">
      <c r="A11" s="3" t="s">
        <v>166</v>
      </c>
      <c r="B11" s="18" t="n">
        <f aca="false">Capacity!B6*Inputs!$C$38</f>
        <v>2200</v>
      </c>
    </row>
    <row r="12" customFormat="false" ht="15" hidden="false" customHeight="false" outlineLevel="0" collapsed="false">
      <c r="A12" s="3" t="s">
        <v>167</v>
      </c>
      <c r="B12" s="19" t="n">
        <f aca="false">SUM(B10:B11)</f>
        <v>23100</v>
      </c>
    </row>
    <row r="13" customFormat="false" ht="15" hidden="false" customHeight="false" outlineLevel="0" collapsed="false">
      <c r="A13" s="3" t="s">
        <v>168</v>
      </c>
      <c r="B13" s="15" t="n">
        <f aca="false">MIN(1,B9/B12)</f>
        <v>0.587508658008658</v>
      </c>
    </row>
    <row r="14" customFormat="false" ht="15" hidden="false" customHeight="false" outlineLevel="0" collapsed="false">
      <c r="A14" s="3" t="s">
        <v>169</v>
      </c>
      <c r="B14" s="19" t="n">
        <f aca="false">B10*B13</f>
        <v>12278.930952381</v>
      </c>
    </row>
    <row r="15" customFormat="false" ht="15" hidden="false" customHeight="false" outlineLevel="0" collapsed="false">
      <c r="A15" s="3" t="s">
        <v>170</v>
      </c>
      <c r="B15" s="19" t="n">
        <f aca="false">B11*B13</f>
        <v>1292.51904761905</v>
      </c>
    </row>
    <row r="16" customFormat="false" ht="15" hidden="false" customHeight="false" outlineLevel="0" collapsed="false">
      <c r="A16" s="3" t="s">
        <v>171</v>
      </c>
      <c r="B16" s="19" t="n">
        <f aca="false">B12-SUM(B14:B15)</f>
        <v>9528.55</v>
      </c>
    </row>
    <row r="17" customFormat="false" ht="15" hidden="false" customHeight="false" outlineLevel="0" collapsed="false">
      <c r="A17" s="3" t="s">
        <v>172</v>
      </c>
      <c r="B17" s="19" t="n">
        <f aca="false">MAX(0,B9-B12)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8"/>
    <col collapsed="false" customWidth="true" hidden="false" outlineLevel="0" max="8" min="2" style="0" width="18"/>
  </cols>
  <sheetData>
    <row r="1" customFormat="false" ht="17.35" hidden="false" customHeight="false" outlineLevel="0" collapsed="false">
      <c r="A1" s="1" t="s">
        <v>173</v>
      </c>
    </row>
    <row r="2" customFormat="false" ht="15" hidden="false" customHeight="false" outlineLevel="0" collapsed="false">
      <c r="A2" s="2" t="s">
        <v>174</v>
      </c>
    </row>
    <row r="4" customFormat="false" ht="30" hidden="false" customHeight="true" outlineLevel="0" collapsed="false">
      <c r="A4" s="5" t="s">
        <v>175</v>
      </c>
      <c r="B4" s="5" t="n">
        <v>4</v>
      </c>
      <c r="C4" s="5" t="n">
        <v>5</v>
      </c>
      <c r="D4" s="5" t="n">
        <v>6</v>
      </c>
      <c r="E4" s="5" t="n">
        <v>7</v>
      </c>
      <c r="F4" s="5" t="n">
        <v>8</v>
      </c>
    </row>
    <row r="5" customFormat="false" ht="15" hidden="false" customHeight="false" outlineLevel="0" collapsed="false">
      <c r="A5" s="13" t="n">
        <v>0.15</v>
      </c>
      <c r="B5" s="17" t="n">
        <f aca="false">MIN(1,MAX(0,Capacity!$B$9*(1-$A5)*B$4*(1-Inputs!$C$36)-Inputs!$C$37)/Recovery!$B$12)</f>
        <v>0.511632034632035</v>
      </c>
      <c r="C5" s="17" t="n">
        <f aca="false">MIN(1,MAX(0,Capacity!$B$9*(1-$A5)*C$4*(1-Inputs!$C$36)-Inputs!$C$37)/Recovery!$B$12)</f>
        <v>0.640622294372294</v>
      </c>
      <c r="D5" s="17" t="n">
        <f aca="false">MIN(1,MAX(0,Capacity!$B$9*(1-$A5)*D$4*(1-Inputs!$C$36)-Inputs!$C$37)/Recovery!$B$12)</f>
        <v>0.769612554112554</v>
      </c>
      <c r="E5" s="17" t="n">
        <f aca="false">MIN(1,MAX(0,Capacity!$B$9*(1-$A5)*E$4*(1-Inputs!$C$36)-Inputs!$C$37)/Recovery!$B$12)</f>
        <v>0.898602813852814</v>
      </c>
      <c r="F5" s="17" t="n">
        <f aca="false">MIN(1,MAX(0,Capacity!$B$9*(1-$A5)*F$4*(1-Inputs!$C$36)-Inputs!$C$37)/Recovery!$B$12)</f>
        <v>1</v>
      </c>
    </row>
    <row r="6" customFormat="false" ht="15" hidden="false" customHeight="false" outlineLevel="0" collapsed="false">
      <c r="A6" s="13" t="n">
        <v>0.25</v>
      </c>
      <c r="B6" s="17" t="n">
        <f aca="false">MIN(1,MAX(0,Capacity!$B$9*(1-$A6)*B$4*(1-Inputs!$C$36)-Inputs!$C$37)/Recovery!$B$12)</f>
        <v>0.450930735930736</v>
      </c>
      <c r="C6" s="17" t="n">
        <f aca="false">MIN(1,MAX(0,Capacity!$B$9*(1-$A6)*C$4*(1-Inputs!$C$36)-Inputs!$C$37)/Recovery!$B$12)</f>
        <v>0.564745670995671</v>
      </c>
      <c r="D6" s="17" t="n">
        <f aca="false">MIN(1,MAX(0,Capacity!$B$9*(1-$A6)*D$4*(1-Inputs!$C$36)-Inputs!$C$37)/Recovery!$B$12)</f>
        <v>0.678560606060606</v>
      </c>
      <c r="E6" s="17" t="n">
        <f aca="false">MIN(1,MAX(0,Capacity!$B$9*(1-$A6)*E$4*(1-Inputs!$C$36)-Inputs!$C$37)/Recovery!$B$12)</f>
        <v>0.792375541125541</v>
      </c>
      <c r="F6" s="17" t="n">
        <f aca="false">MIN(1,MAX(0,Capacity!$B$9*(1-$A6)*F$4*(1-Inputs!$C$36)-Inputs!$C$37)/Recovery!$B$12)</f>
        <v>0.906190476190476</v>
      </c>
    </row>
    <row r="7" customFormat="false" ht="15" hidden="false" customHeight="false" outlineLevel="0" collapsed="false">
      <c r="A7" s="13" t="n">
        <v>0.35</v>
      </c>
      <c r="B7" s="17" t="n">
        <f aca="false">MIN(1,MAX(0,Capacity!$B$9*(1-$A7)*B$4*(1-Inputs!$C$36)-Inputs!$C$37)/Recovery!$B$12)</f>
        <v>0.390229437229437</v>
      </c>
      <c r="C7" s="17" t="n">
        <f aca="false">MIN(1,MAX(0,Capacity!$B$9*(1-$A7)*C$4*(1-Inputs!$C$36)-Inputs!$C$37)/Recovery!$B$12)</f>
        <v>0.488869047619048</v>
      </c>
      <c r="D7" s="17" t="n">
        <f aca="false">MIN(1,MAX(0,Capacity!$B$9*(1-$A7)*D$4*(1-Inputs!$C$36)-Inputs!$C$37)/Recovery!$B$12)</f>
        <v>0.587508658008658</v>
      </c>
      <c r="E7" s="17" t="n">
        <f aca="false">MIN(1,MAX(0,Capacity!$B$9*(1-$A7)*E$4*(1-Inputs!$C$36)-Inputs!$C$37)/Recovery!$B$12)</f>
        <v>0.686148268398268</v>
      </c>
      <c r="F7" s="17" t="n">
        <f aca="false">MIN(1,MAX(0,Capacity!$B$9*(1-$A7)*F$4*(1-Inputs!$C$36)-Inputs!$C$37)/Recovery!$B$12)</f>
        <v>0.784787878787879</v>
      </c>
    </row>
    <row r="8" customFormat="false" ht="15" hidden="false" customHeight="false" outlineLevel="0" collapsed="false">
      <c r="A8" s="13" t="n">
        <v>0.45</v>
      </c>
      <c r="B8" s="17" t="n">
        <f aca="false">MIN(1,MAX(0,Capacity!$B$9*(1-$A8)*B$4*(1-Inputs!$C$36)-Inputs!$C$37)/Recovery!$B$12)</f>
        <v>0.329528138528139</v>
      </c>
      <c r="C8" s="17" t="n">
        <f aca="false">MIN(1,MAX(0,Capacity!$B$9*(1-$A8)*C$4*(1-Inputs!$C$36)-Inputs!$C$37)/Recovery!$B$12)</f>
        <v>0.412992424242424</v>
      </c>
      <c r="D8" s="17" t="n">
        <f aca="false">MIN(1,MAX(0,Capacity!$B$9*(1-$A8)*D$4*(1-Inputs!$C$36)-Inputs!$C$37)/Recovery!$B$12)</f>
        <v>0.49645670995671</v>
      </c>
      <c r="E8" s="17" t="n">
        <f aca="false">MIN(1,MAX(0,Capacity!$B$9*(1-$A8)*E$4*(1-Inputs!$C$36)-Inputs!$C$37)/Recovery!$B$12)</f>
        <v>0.579920995670996</v>
      </c>
      <c r="F8" s="17" t="n">
        <f aca="false">MIN(1,MAX(0,Capacity!$B$9*(1-$A8)*F$4*(1-Inputs!$C$36)-Inputs!$C$37)/Recovery!$B$12)</f>
        <v>0.663385281385281</v>
      </c>
    </row>
    <row r="9" customFormat="false" ht="15" hidden="false" customHeight="false" outlineLevel="0" collapsed="false">
      <c r="A9" s="13" t="n">
        <v>0.55</v>
      </c>
      <c r="B9" s="17" t="n">
        <f aca="false">MIN(1,MAX(0,Capacity!$B$9*(1-$A9)*B$4*(1-Inputs!$C$36)-Inputs!$C$37)/Recovery!$B$12)</f>
        <v>0.26882683982684</v>
      </c>
      <c r="C9" s="17" t="n">
        <f aca="false">MIN(1,MAX(0,Capacity!$B$9*(1-$A9)*C$4*(1-Inputs!$C$36)-Inputs!$C$37)/Recovery!$B$12)</f>
        <v>0.337115800865801</v>
      </c>
      <c r="D9" s="17" t="n">
        <f aca="false">MIN(1,MAX(0,Capacity!$B$9*(1-$A9)*D$4*(1-Inputs!$C$36)-Inputs!$C$37)/Recovery!$B$12)</f>
        <v>0.405404761904762</v>
      </c>
      <c r="E9" s="17" t="n">
        <f aca="false">MIN(1,MAX(0,Capacity!$B$9*(1-$A9)*E$4*(1-Inputs!$C$36)-Inputs!$C$37)/Recovery!$B$12)</f>
        <v>0.473693722943723</v>
      </c>
      <c r="F9" s="17" t="n">
        <f aca="false">MIN(1,MAX(0,Capacity!$B$9*(1-$A9)*F$4*(1-Inputs!$C$36)-Inputs!$C$37)/Recovery!$B$12)</f>
        <v>0.541982683982684</v>
      </c>
    </row>
    <row r="13" customFormat="false" ht="30" hidden="false" customHeight="true" outlineLevel="0" collapsed="false">
      <c r="A13" s="5" t="s">
        <v>176</v>
      </c>
      <c r="B13" s="21" t="n">
        <v>0.05</v>
      </c>
      <c r="C13" s="21" t="n">
        <v>0.07</v>
      </c>
      <c r="D13" s="21" t="n">
        <v>0.09</v>
      </c>
      <c r="E13" s="21" t="n">
        <v>0.11</v>
      </c>
      <c r="F13" s="21" t="n">
        <v>0.13</v>
      </c>
    </row>
    <row r="14" customFormat="false" ht="15" hidden="false" customHeight="false" outlineLevel="0" collapsed="false">
      <c r="A14" s="18" t="n">
        <f aca="false">Capacity!$B$7*0.7</f>
        <v>2870</v>
      </c>
      <c r="B14" s="18" t="n">
        <f aca="false">MAX(0,MIN($A14*(1-Inputs!$C$16)*Inputs!$C$32,($A14*(1-Inputs!$C$16)/Inputs!$C$33-Capacity!$B$6*Inputs!$C$22)/B$13))</f>
        <v>14995.75</v>
      </c>
      <c r="C14" s="18" t="n">
        <f aca="false">MAX(0,MIN($A14*(1-Inputs!$C$16)*Inputs!$C$32,($A14*(1-Inputs!$C$16)/Inputs!$C$33-Capacity!$B$6*Inputs!$C$22)/C$13))</f>
        <v>14995.75</v>
      </c>
      <c r="D14" s="18" t="n">
        <f aca="false">MAX(0,MIN($A14*(1-Inputs!$C$16)*Inputs!$C$32,($A14*(1-Inputs!$C$16)/Inputs!$C$33-Capacity!$B$6*Inputs!$C$22)/D$13))</f>
        <v>14995.75</v>
      </c>
      <c r="E14" s="18" t="n">
        <f aca="false">MAX(0,MIN($A14*(1-Inputs!$C$16)*Inputs!$C$32,($A14*(1-Inputs!$C$16)/Inputs!$C$33-Capacity!$B$6*Inputs!$C$22)/E$13))</f>
        <v>12293.1818181818</v>
      </c>
      <c r="F14" s="18" t="n">
        <f aca="false">MAX(0,MIN($A14*(1-Inputs!$C$16)*Inputs!$C$32,($A14*(1-Inputs!$C$16)/Inputs!$C$33-Capacity!$B$6*Inputs!$C$22)/F$13))</f>
        <v>10401.9230769231</v>
      </c>
    </row>
    <row r="15" customFormat="false" ht="15" hidden="false" customHeight="false" outlineLevel="0" collapsed="false">
      <c r="A15" s="18" t="n">
        <f aca="false">Capacity!$B$7*0.85</f>
        <v>3485</v>
      </c>
      <c r="B15" s="18" t="n">
        <f aca="false">MAX(0,MIN($A15*(1-Inputs!$C$16)*Inputs!$C$32,($A15*(1-Inputs!$C$16)/Inputs!$C$33-Capacity!$B$6*Inputs!$C$22)/B$13))</f>
        <v>18209.125</v>
      </c>
      <c r="C15" s="18" t="n">
        <f aca="false">MAX(0,MIN($A15*(1-Inputs!$C$16)*Inputs!$C$32,($A15*(1-Inputs!$C$16)/Inputs!$C$33-Capacity!$B$6*Inputs!$C$22)/C$13))</f>
        <v>18209.125</v>
      </c>
      <c r="D15" s="18" t="n">
        <f aca="false">MAX(0,MIN($A15*(1-Inputs!$C$16)*Inputs!$C$32,($A15*(1-Inputs!$C$16)/Inputs!$C$33-Capacity!$B$6*Inputs!$C$22)/D$13))</f>
        <v>18209.125</v>
      </c>
      <c r="E15" s="18" t="n">
        <f aca="false">MAX(0,MIN($A15*(1-Inputs!$C$16)*Inputs!$C$32,($A15*(1-Inputs!$C$16)/Inputs!$C$33-Capacity!$B$6*Inputs!$C$22)/E$13))</f>
        <v>14948.8636363636</v>
      </c>
      <c r="F15" s="18" t="n">
        <f aca="false">MAX(0,MIN($A15*(1-Inputs!$C$16)*Inputs!$C$32,($A15*(1-Inputs!$C$16)/Inputs!$C$33-Capacity!$B$6*Inputs!$C$22)/F$13))</f>
        <v>12649.0384615385</v>
      </c>
    </row>
    <row r="16" customFormat="false" ht="15" hidden="false" customHeight="false" outlineLevel="0" collapsed="false">
      <c r="A16" s="18" t="n">
        <f aca="false">Capacity!$B$7*1</f>
        <v>4100</v>
      </c>
      <c r="B16" s="18" t="n">
        <f aca="false">MAX(0,MIN($A16*(1-Inputs!$C$16)*Inputs!$C$32,($A16*(1-Inputs!$C$16)/Inputs!$C$33-Capacity!$B$6*Inputs!$C$22)/B$13))</f>
        <v>21422.5</v>
      </c>
      <c r="C16" s="18" t="n">
        <f aca="false">MAX(0,MIN($A16*(1-Inputs!$C$16)*Inputs!$C$32,($A16*(1-Inputs!$C$16)/Inputs!$C$33-Capacity!$B$6*Inputs!$C$22)/C$13))</f>
        <v>21422.5</v>
      </c>
      <c r="D16" s="18" t="n">
        <f aca="false">MAX(0,MIN($A16*(1-Inputs!$C$16)*Inputs!$C$32,($A16*(1-Inputs!$C$16)/Inputs!$C$33-Capacity!$B$6*Inputs!$C$22)/D$13))</f>
        <v>21422.5</v>
      </c>
      <c r="E16" s="18" t="n">
        <f aca="false">MAX(0,MIN($A16*(1-Inputs!$C$16)*Inputs!$C$32,($A16*(1-Inputs!$C$16)/Inputs!$C$33-Capacity!$B$6*Inputs!$C$22)/E$13))</f>
        <v>17604.5454545455</v>
      </c>
      <c r="F16" s="18" t="n">
        <f aca="false">MAX(0,MIN($A16*(1-Inputs!$C$16)*Inputs!$C$32,($A16*(1-Inputs!$C$16)/Inputs!$C$33-Capacity!$B$6*Inputs!$C$22)/F$13))</f>
        <v>14896.1538461538</v>
      </c>
    </row>
    <row r="17" customFormat="false" ht="15" hidden="false" customHeight="false" outlineLevel="0" collapsed="false">
      <c r="A17" s="18" t="n">
        <f aca="false">Capacity!$B$7*1.15</f>
        <v>4715</v>
      </c>
      <c r="B17" s="18" t="n">
        <f aca="false">MAX(0,MIN($A17*(1-Inputs!$C$16)*Inputs!$C$32,($A17*(1-Inputs!$C$16)/Inputs!$C$33-Capacity!$B$6*Inputs!$C$22)/B$13))</f>
        <v>24635.875</v>
      </c>
      <c r="C17" s="18" t="n">
        <f aca="false">MAX(0,MIN($A17*(1-Inputs!$C$16)*Inputs!$C$32,($A17*(1-Inputs!$C$16)/Inputs!$C$33-Capacity!$B$6*Inputs!$C$22)/C$13))</f>
        <v>24635.875</v>
      </c>
      <c r="D17" s="18" t="n">
        <f aca="false">MAX(0,MIN($A17*(1-Inputs!$C$16)*Inputs!$C$32,($A17*(1-Inputs!$C$16)/Inputs!$C$33-Capacity!$B$6*Inputs!$C$22)/D$13))</f>
        <v>24635.875</v>
      </c>
      <c r="E17" s="18" t="n">
        <f aca="false">MAX(0,MIN($A17*(1-Inputs!$C$16)*Inputs!$C$32,($A17*(1-Inputs!$C$16)/Inputs!$C$33-Capacity!$B$6*Inputs!$C$22)/E$13))</f>
        <v>20260.2272727273</v>
      </c>
      <c r="F17" s="18" t="n">
        <f aca="false">MAX(0,MIN($A17*(1-Inputs!$C$16)*Inputs!$C$32,($A17*(1-Inputs!$C$16)/Inputs!$C$33-Capacity!$B$6*Inputs!$C$22)/F$13))</f>
        <v>17143.2692307692</v>
      </c>
    </row>
    <row r="18" customFormat="false" ht="15" hidden="false" customHeight="false" outlineLevel="0" collapsed="false">
      <c r="A18" s="18" t="n">
        <f aca="false">Capacity!$B$7*1.3</f>
        <v>5330</v>
      </c>
      <c r="B18" s="18" t="n">
        <f aca="false">MAX(0,MIN($A18*(1-Inputs!$C$16)*Inputs!$C$32,($A18*(1-Inputs!$C$16)/Inputs!$C$33-Capacity!$B$6*Inputs!$C$22)/B$13))</f>
        <v>27849.25</v>
      </c>
      <c r="C18" s="18" t="n">
        <f aca="false">MAX(0,MIN($A18*(1-Inputs!$C$16)*Inputs!$C$32,($A18*(1-Inputs!$C$16)/Inputs!$C$33-Capacity!$B$6*Inputs!$C$22)/C$13))</f>
        <v>27849.25</v>
      </c>
      <c r="D18" s="18" t="n">
        <f aca="false">MAX(0,MIN($A18*(1-Inputs!$C$16)*Inputs!$C$32,($A18*(1-Inputs!$C$16)/Inputs!$C$33-Capacity!$B$6*Inputs!$C$22)/D$13))</f>
        <v>27849.25</v>
      </c>
      <c r="E18" s="18" t="n">
        <f aca="false">MAX(0,MIN($A18*(1-Inputs!$C$16)*Inputs!$C$32,($A18*(1-Inputs!$C$16)/Inputs!$C$33-Capacity!$B$6*Inputs!$C$22)/E$13))</f>
        <v>22915.9090909091</v>
      </c>
      <c r="F18" s="18" t="n">
        <f aca="false">MAX(0,MIN($A18*(1-Inputs!$C$16)*Inputs!$C$32,($A18*(1-Inputs!$C$16)/Inputs!$C$33-Capacity!$B$6*Inputs!$C$22)/F$13))</f>
        <v>19390.3846153846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25"/>
    <col collapsed="false" customWidth="true" hidden="false" outlineLevel="0" max="3" min="3" style="0" width="115"/>
    <col collapsed="false" customWidth="true" hidden="false" outlineLevel="0" max="8" min="4" style="0" width="18"/>
  </cols>
  <sheetData>
    <row r="1" customFormat="false" ht="17.35" hidden="false" customHeight="false" outlineLevel="0" collapsed="false">
      <c r="A1" s="1" t="s">
        <v>177</v>
      </c>
    </row>
    <row r="2" customFormat="false" ht="15" hidden="false" customHeight="false" outlineLevel="0" collapsed="false">
      <c r="A2" s="2" t="s">
        <v>178</v>
      </c>
    </row>
    <row r="4" customFormat="false" ht="30" hidden="false" customHeight="true" outlineLevel="0" collapsed="false">
      <c r="A4" s="5" t="s">
        <v>179</v>
      </c>
      <c r="B4" s="5" t="s">
        <v>180</v>
      </c>
      <c r="C4" s="5" t="s">
        <v>181</v>
      </c>
    </row>
    <row r="5" customFormat="false" ht="15" hidden="false" customHeight="false" outlineLevel="0" collapsed="false">
      <c r="A5" s="3" t="s">
        <v>182</v>
      </c>
      <c r="B5" s="3" t="s">
        <v>183</v>
      </c>
      <c r="C5" s="3" t="s">
        <v>184</v>
      </c>
    </row>
    <row r="6" customFormat="false" ht="15" hidden="false" customHeight="false" outlineLevel="0" collapsed="false">
      <c r="A6" s="3" t="s">
        <v>185</v>
      </c>
      <c r="B6" s="3" t="s">
        <v>186</v>
      </c>
      <c r="C6" s="3" t="s">
        <v>187</v>
      </c>
    </row>
    <row r="7" customFormat="false" ht="15" hidden="false" customHeight="false" outlineLevel="0" collapsed="false">
      <c r="A7" s="3" t="s">
        <v>188</v>
      </c>
      <c r="B7" s="3" t="s">
        <v>189</v>
      </c>
      <c r="C7" s="3" t="s">
        <v>190</v>
      </c>
    </row>
    <row r="8" customFormat="false" ht="15" hidden="false" customHeight="false" outlineLevel="0" collapsed="false">
      <c r="A8" s="3" t="s">
        <v>191</v>
      </c>
      <c r="B8" s="3" t="s">
        <v>192</v>
      </c>
      <c r="C8" s="3" t="s">
        <v>193</v>
      </c>
    </row>
    <row r="11" customFormat="false" ht="15" hidden="false" customHeight="false" outlineLevel="0" collapsed="false">
      <c r="A11" s="3" t="s">
        <v>194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2026-10-27T20:18:49Z</dcterms:created>
  <dc:creator>openpyxl</dc:creator>
  <dc:description/>
  <dc:language>en-GB</dc:language>
  <cp:lastModifiedBy/>
  <dcterms:modified xsi:type="dcterms:W3CDTF">2026-10-27T20:18:49Z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