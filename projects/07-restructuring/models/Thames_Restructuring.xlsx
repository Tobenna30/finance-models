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Inputs" sheetId="2" state="visible" r:id="rId4"/>
    <sheet name="Liquidity" sheetId="3" state="visible" r:id="rId5"/>
    <sheet name="Recovery" sheetId="4" state="visible" r:id="rId6"/>
    <sheet name="Class B" sheetId="5" state="visible" r:id="rId7"/>
    <sheet name="Sensitivity" sheetId="6" state="visible" r:id="rId8"/>
    <sheet name="Sources" sheetId="7" state="visible" r:id="rId9"/>
  </sheets>
  <definedNames>
    <definedName function="false" hidden="false" localSheetId="4" name="_xlnm.Print_Area" vbProcedure="false">'Class B'!$C$2:$K$31</definedName>
    <definedName function="false" hidden="false" localSheetId="0" name="_xlnm.Print_Area" vbProcedure="false">Cover!$C$2:$K$20</definedName>
    <definedName function="false" hidden="false" localSheetId="1" name="_xlnm.Print_Area" vbProcedure="false">Inputs!$C$2:$K$30</definedName>
    <definedName function="false" hidden="false" localSheetId="2" name="_xlnm.Print_Area" vbProcedure="false">Liquidity!$C$2:$O$32</definedName>
    <definedName function="false" hidden="false" localSheetId="3" name="_xlnm.Print_Area" vbProcedure="false">Recovery!$C$2:$K$24</definedName>
    <definedName function="false" hidden="false" localSheetId="5" name="_xlnm.Print_Area" vbProcedure="false">Sensitivity!$C$2:$K$14</definedName>
    <definedName function="false" hidden="false" localSheetId="6" name="_xlnm.Print_Area" vbProcedure="false">Sources!$C$2:$K$8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<sst xmlns="http://schemas.openxmlformats.org/spreadsheetml/2006/main" count="198" uniqueCount="148">
  <si>
    <t xml:space="preserve">Thames Water restructuring</t>
  </si>
  <si>
    <t xml:space="preserve">Funding case</t>
  </si>
  <si>
    <t xml:space="preserve">27 Oct 2026. GBPm. Funding and plan terms are conditional; current cash and claims unverified.</t>
  </si>
  <si>
    <t xml:space="preserve">Restructuring &amp; Liability Management</t>
  </si>
  <si>
    <t xml:space="preserve">Result</t>
  </si>
  <si>
    <t xml:space="preserve">Call</t>
  </si>
  <si>
    <t xml:space="preserve">REJECT UNCONDITIONAL NEW MONEY</t>
  </si>
  <si>
    <t xml:space="preserve">Minimum cash, selected approvals (GBPm)</t>
  </si>
  <si>
    <t xml:space="preserve">Peak buffer funding gap (GBPm)</t>
  </si>
  <si>
    <t xml:space="preserve">Illustrative Class A waterfall recovery</t>
  </si>
  <si>
    <t xml:space="preserve">Class A par break-even EV (GBPm)</t>
  </si>
  <si>
    <t xml:space="preserve">Class B proposed legacy recovery value (GBPm)</t>
  </si>
  <si>
    <t xml:space="preserve">Class B legacy ownership at equity proxy</t>
  </si>
  <si>
    <t xml:space="preserve">New equity investment is a cash outflow (GBPm)</t>
  </si>
  <si>
    <t xml:space="preserve">Liquidity extension is not a completed recapitalisation. Verify accessible cash, consent conditions, tranche commitments, March maturities, creditor ranking and Ofwat approval before an unconditional commitment. Base funding case assumes approvals; it is not current liquidity.</t>
  </si>
  <si>
    <t xml:space="preserve">Do not quote the illustrative waterfall as an actual creditor recovery, or 5.9% as ownership. The model separates proposed consideration for old debt from the cost and risk of participating in new money.</t>
  </si>
  <si>
    <t xml:space="preserve">Inputs</t>
  </si>
  <si>
    <t xml:space="preserve">Input</t>
  </si>
  <si>
    <t xml:space="preserve">Value</t>
  </si>
  <si>
    <t xml:space="preserve">Units</t>
  </si>
  <si>
    <t xml:space="preserve">Tag</t>
  </si>
  <si>
    <t xml:space="preserve">Source / reason</t>
  </si>
  <si>
    <t xml:space="preserve">Super senior drawn, 15 Oct</t>
  </si>
  <si>
    <t xml:space="preserve">GBPm</t>
  </si>
  <si>
    <t xml:space="preserve">S</t>
  </si>
  <si>
    <t xml:space="preserve">CONSENT: issuer-to-TWUL chain, not additional separate loans</t>
  </si>
  <si>
    <t xml:space="preserve">Existing super senior facility capacity</t>
  </si>
  <si>
    <t xml:space="preserve">CONSENT: conditional capacity; undrawn is not free cash</t>
  </si>
  <si>
    <t xml:space="preserve">Proposed incremental capacity</t>
  </si>
  <si>
    <t xml:space="preserve">CONSENT: commitments to be sought in tranches, not fully committed</t>
  </si>
  <si>
    <t xml:space="preserve">Existing super senior historical coupon</t>
  </si>
  <si>
    <t xml:space="preserve">%</t>
  </si>
  <si>
    <t xml:space="preserve">AR26 pp139-140; A: also applied to illustrative new draws</t>
  </si>
  <si>
    <t xml:space="preserve">Approximate Class B debt</t>
  </si>
  <si>
    <t xml:space="preserve">CLASSB: cGBP1bn, not an exact reconciled legal claim</t>
  </si>
  <si>
    <t xml:space="preserve">Proposed Class B legacy recovery</t>
  </si>
  <si>
    <t xml:space="preserve">CLASSB: recovery rate, NOT 5.9% ownership of the whole equity</t>
  </si>
  <si>
    <t xml:space="preserve">Class B right to invest new equity</t>
  </si>
  <si>
    <t xml:space="preserve">CLASSB: additional investment right, not a free GBP150m recovery</t>
  </si>
  <si>
    <t xml:space="preserve">Historical Class A trading reference</t>
  </si>
  <si>
    <t xml:space="preserve">price/par</t>
  </si>
  <si>
    <t xml:space="preserve">AR26 p124: c69% at March 2026, not current or executable</t>
  </si>
  <si>
    <t xml:space="preserve">FY26 cash outflow before other financing</t>
  </si>
  <si>
    <t xml:space="preserve">GBPm/year</t>
  </si>
  <si>
    <t xml:space="preserve">AR26 p39: excludes subsequent borrowings, leases and derivative settlements</t>
  </si>
  <si>
    <t xml:space="preserve">Opening accessible cash proxy, 31 Oct</t>
  </si>
  <si>
    <t xml:space="preserve">A</t>
  </si>
  <si>
    <t xml:space="preserve">Current accessible balance unavailable; not rolled forward from March cash</t>
  </si>
  <si>
    <t xml:space="preserve">Monthly cash use before new-draw interest</t>
  </si>
  <si>
    <t xml:space="preserve">GBPm/month</t>
  </si>
  <si>
    <t xml:space="preserve">Illustrative stress above FY26 GBP94.2m monthly outflow; includes all opening-debt interest and capex, no automatic financing plug</t>
  </si>
  <si>
    <t xml:space="preserve">Minimum cash buffer</t>
  </si>
  <si>
    <t xml:space="preserve">Analyst liquidity buffer, not a covenant or regulatory requirement</t>
  </si>
  <si>
    <t xml:space="preserve">Incremental upsize draw fee</t>
  </si>
  <si>
    <t xml:space="preserve">2% fee on new GBP2.4bn only; no fee assumed on existing undrawn GBP350m</t>
  </si>
  <si>
    <t xml:space="preserve">Funding case: 0 blocked / 1 existing / 2 upsize</t>
  </si>
  <si>
    <t xml:space="preserve">index</t>
  </si>
  <si>
    <t xml:space="preserve">2 assumes approvals and commitments for illustration; not current funded position</t>
  </si>
  <si>
    <t xml:space="preserve">March extension: 0 no / 1 yes</t>
  </si>
  <si>
    <t xml:space="preserve">Separate from liquidity approvals; base assumes extension, not an agreed outcome</t>
  </si>
  <si>
    <t xml:space="preserve">March 2027 senior principal stress</t>
  </si>
  <si>
    <t xml:space="preserve">Illustrative payable if extension fails; exact instrument amounts unavailable</t>
  </si>
  <si>
    <t xml:space="preserve">Post-money plan equity value proxy</t>
  </si>
  <si>
    <t xml:space="preserve">Unverified plan equity value; used only to translate legacy recovery into ownership</t>
  </si>
  <si>
    <t xml:space="preserve">Equity value multiplier</t>
  </si>
  <si>
    <t xml:space="preserve">x</t>
  </si>
  <si>
    <t xml:space="preserve">Hold allocated shares fixed, vary realised equity value</t>
  </si>
  <si>
    <t xml:space="preserve">Illustrative distributable enterprise value</t>
  </si>
  <si>
    <t xml:space="preserve">Not RCV or agreed plan value; independent recovery scenario</t>
  </si>
  <si>
    <t xml:space="preserve">Value leakage / enforcement costs</t>
  </si>
  <si>
    <t xml:space="preserve">5% illustrative cost before creditor distributions</t>
  </si>
  <si>
    <t xml:space="preserve">Priority hedge / other claim reserve</t>
  </si>
  <si>
    <t xml:space="preserve">Termination claims unverified; assume ahead of super senior, relation requires legal review</t>
  </si>
  <si>
    <t xml:space="preserve">Class A claim proxy</t>
  </si>
  <si>
    <t xml:space="preserve">Unverified round claim amount, not a reconciliation of statutory or covenant net debt</t>
  </si>
  <si>
    <t xml:space="preserve">Funding case selected</t>
  </si>
  <si>
    <t xml:space="preserve">Liquidity</t>
  </si>
  <si>
    <t xml:space="preserve">Monthly cash use / funding</t>
  </si>
  <si>
    <t xml:space="preserve">Opening unfunded cash position</t>
  </si>
  <si>
    <t xml:space="preserve">Existing capacity draw, conditional</t>
  </si>
  <si>
    <t xml:space="preserve">New upsize draw, conditional</t>
  </si>
  <si>
    <t xml:space="preserve">Upsize draw fee</t>
  </si>
  <si>
    <t xml:space="preserve">Interest on incremental draws</t>
  </si>
  <si>
    <t xml:space="preserve">Class A maturity cash requirement</t>
  </si>
  <si>
    <t xml:space="preserve">Closing unfunded cash position</t>
  </si>
  <si>
    <t xml:space="preserve">Gap to minimum cash buffer</t>
  </si>
  <si>
    <t xml:space="preserve">Incremental debt opening</t>
  </si>
  <si>
    <t xml:space="preserve">Super senior closing claim</t>
  </si>
  <si>
    <t xml:space="preserve">Cumulative incremental draws</t>
  </si>
  <si>
    <t xml:space="preserve">Cash bridge check</t>
  </si>
  <si>
    <t xml:space="preserve">Minimum unfunded cash position</t>
  </si>
  <si>
    <t xml:space="preserve">Peak gap to minimum buffer</t>
  </si>
  <si>
    <t xml:space="preserve">Incremental interest paid</t>
  </si>
  <si>
    <t xml:space="preserve">Upsize fees paid</t>
  </si>
  <si>
    <t xml:space="preserve">Negative cash positions show unfinanced need, not actual bank overdrafts. There is no automatic borrowing plug. Existing debt interest is included in monthly cash use. Only incremental draw interest is added, using half-month draw convention.</t>
  </si>
  <si>
    <t xml:space="preserve">Six GBP400m upsize tranches are assumptions. The GBP350m remaining existing capacity is counted once, not separately at issuer and TWUL. All draws require approvals and conditions. March maturity stress is separate from funding consent.</t>
  </si>
  <si>
    <t xml:space="preserve">No current opening cash verified. Monthly use is an analyst stress. FY26 historical monthly outflow is not a current burn forecast. No full balance sheet is constructed from incomplete debt and asset information.</t>
  </si>
  <si>
    <t xml:space="preserve">Recovery</t>
  </si>
  <si>
    <t xml:space="preserve">Illustrative priority waterfall</t>
  </si>
  <si>
    <t xml:space="preserve">Claim / value</t>
  </si>
  <si>
    <t xml:space="preserve">Paid</t>
  </si>
  <si>
    <t xml:space="preserve">Enterprise value</t>
  </si>
  <si>
    <t xml:space="preserve">Costs / value leakage</t>
  </si>
  <si>
    <t xml:space="preserve">Distributable value</t>
  </si>
  <si>
    <t xml:space="preserve">Priority hedge / other reserve</t>
  </si>
  <si>
    <t xml:space="preserve">Super senior, including assumed new funding</t>
  </si>
  <si>
    <t xml:space="preserve">Class B</t>
  </si>
  <si>
    <t xml:space="preserve">Residual equity</t>
  </si>
  <si>
    <t xml:space="preserve">Value allocation check</t>
  </si>
  <si>
    <t xml:space="preserve">Class A par break-even EV / Class B attachment</t>
  </si>
  <si>
    <t xml:space="preserve">EV at historical c69% A reference</t>
  </si>
  <si>
    <t xml:space="preserve">Illustrative waterfall, not a legal recovery forecast. Claims, value, costs and ranking are unverified. No cash recovery is added. EV is not RCV. A maturity cash requirement does not remove a claim without funded redemption; the Class A proxy is unchanged.</t>
  </si>
  <si>
    <t xml:space="preserve">The c69% Class A reference is reported for March 2026. Applying it to scenario claims is a reverse sensitivity, not an executable price or a March/current market enterprise valuation. No return or buy/sell trade is inferred.</t>
  </si>
  <si>
    <t xml:space="preserve">Conditional Class B treatment</t>
  </si>
  <si>
    <t xml:space="preserve">Approximate debt written off</t>
  </si>
  <si>
    <t xml:space="preserve">Implied legacy equity recovery value</t>
  </si>
  <si>
    <t xml:space="preserve">Legacy fraction of assumed post-money equity</t>
  </si>
  <si>
    <t xml:space="preserve">New equity investment paid</t>
  </si>
  <si>
    <t xml:space="preserve">New investment ownership fraction</t>
  </si>
  <si>
    <t xml:space="preserve">Realised post-money equity value</t>
  </si>
  <si>
    <t xml:space="preserve">Marked value of legacy recovery</t>
  </si>
  <si>
    <t xml:space="preserve">Marked value of new investment</t>
  </si>
  <si>
    <t xml:space="preserve">Net package value after NEW cash paid</t>
  </si>
  <si>
    <t xml:space="preserve">Legacy recovery rate</t>
  </si>
  <si>
    <t xml:space="preserve">Equity value for legacy holding to equal old par</t>
  </si>
  <si>
    <t xml:space="preserve">5.9% is a recovery rate on approximately GBP1bn debt, not a stated ownership percentage. Legacy ownership is derived from an assumed GBP6bn post-money value. Actual equity allocation has not been disclosed here.</t>
  </si>
  <si>
    <t xml:space="preserve">The GBP150m right requires fresh investment. It is assumed exercised at fair value. Net package value subtracts that cash; it can be negative when new money loses value. The right itself is not valued. Other 5.9% participation rights and fees are excluded, not treated as free assets.</t>
  </si>
  <si>
    <t xml:space="preserve">Legacy value</t>
  </si>
  <si>
    <t xml:space="preserve">New value</t>
  </si>
  <si>
    <t xml:space="preserve">Net after cash</t>
  </si>
  <si>
    <t xml:space="preserve">Legacy recovery</t>
  </si>
  <si>
    <t xml:space="preserve">Negotiated Class B equity consideration and a hypothetical enforcement waterfall are separate analyses. They are not cash distributions from the same scenario. No agreed RP2 total equity value, new-money size or complete allocation model is claimed.</t>
  </si>
  <si>
    <t xml:space="preserve">Sensitivity</t>
  </si>
  <si>
    <t xml:space="preserve">Class A recovery: EV / costs</t>
  </si>
  <si>
    <t xml:space="preserve">Simple live recovery formula with scenario super senior and Class A claims. This tests value and costs, not changes in legal ranking or regulatory outcomes.</t>
  </si>
  <si>
    <t xml:space="preserve">Sources</t>
  </si>
  <si>
    <t xml:space="preserve">ID</t>
  </si>
  <si>
    <t xml:space="preserve">Document / locator</t>
  </si>
  <si>
    <t xml:space="preserve">URL</t>
  </si>
  <si>
    <t xml:space="preserve">CONSENT</t>
  </si>
  <si>
    <t xml:space="preserve">TWUL, 15 Oct 2026, Sixteenth Consent Requests: facility draw, conditional upsize, pari passu proposal, vote 29 Oct</t>
  </si>
  <si>
    <t xml:space="preserve">https://www.thameswater.co.uk/news/2026/oct/twul-sixteenth-consent-requests-results</t>
  </si>
  <si>
    <t xml:space="preserve">CLASSB</t>
  </si>
  <si>
    <t xml:space="preserve">TWUL, 16 Oct 2026, Class B TSA: proposed full debt write-off, c5.9% recovery, rights to invest; not completed</t>
  </si>
  <si>
    <t xml:space="preserve">https://www.thameswater.co.uk/news/2026/oct/class-b-creditors-update</t>
  </si>
  <si>
    <t xml:space="preserve">AR26</t>
  </si>
  <si>
    <t xml:space="preserve">TWUL Group annual report 2025/26: p39 cash flow; pp139-140 loans/bonds; p124 hedging priority and historical c69% Class A trading level; pp108-109 March 2027 maturity extension</t>
  </si>
  <si>
    <t xml:space="preserve">https://www.thameswater.co.uk/media-library/2tad3w44/annual-report-2025-26.pdf</t>
  </si>
</sst>
</file>

<file path=xl/styles.xml><?xml version="1.0" encoding="utf-8"?>
<styleSheet xmlns="http://schemas.openxmlformats.org/spreadsheetml/2006/main">
  <numFmts count="5">
    <numFmt numFmtId="164" formatCode="General"/>
    <numFmt numFmtId="165" formatCode="#,##0.0;\(#,##0.0\);\-"/>
    <numFmt numFmtId="166" formatCode="0.00%;\(0.00%\);\-"/>
    <numFmt numFmtId="167" formatCode="mmm\-yy"/>
    <numFmt numFmtId="168"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000000"/>
      <name val="Arial"/>
      <family val="0"/>
      <charset val="1"/>
    </font>
    <font>
      <sz val="10"/>
      <color rgb="FF008000"/>
      <name val="Arial"/>
      <family val="0"/>
      <charset val="1"/>
    </font>
    <font>
      <i val="true"/>
      <sz val="10"/>
      <name val="Arial"/>
      <family val="0"/>
      <charset val="1"/>
    </font>
    <font>
      <b val="true"/>
      <sz val="10"/>
      <color rgb="FFFFFFFF"/>
      <name val="Arial"/>
      <family val="0"/>
      <charset val="1"/>
    </font>
    <font>
      <sz val="10"/>
      <color rgb="FF222222"/>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true" applyAlignment="true" applyProtection="false">
      <alignment horizontal="lef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0" fillId="3"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6" fontId="10" fillId="3"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7" fontId="8" fillId="2" borderId="0" xfId="0" applyFont="true" applyBorder="false" applyAlignment="true" applyProtection="false">
      <alignment horizontal="left" vertical="center"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6" fontId="8" fillId="2" borderId="0" xfId="0" applyFont="true" applyBorder="fals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6E8BB5"/>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www.thameswater.co.uk/news/2026/oct/twul-sixteenth-consent-requests-results" TargetMode="External"/><Relationship Id="rId2" Type="http://schemas.openxmlformats.org/officeDocument/2006/relationships/hyperlink" Target="https://www.thameswater.co.uk/news/2026/oct/class-b-creditors-update" TargetMode="External"/><Relationship Id="rId3" Type="http://schemas.openxmlformats.org/officeDocument/2006/relationships/hyperlink" Target="https://www.thameswater.co.uk/media-library/2tad3w44/annual-report-2025-26.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C2:K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15" min="4" style="0" width="16"/>
  </cols>
  <sheetData>
    <row r="2" customFormat="false" ht="19.7" hidden="false" customHeight="false" outlineLevel="0" collapsed="false">
      <c r="C2" s="1" t="s">
        <v>0</v>
      </c>
      <c r="I2" s="2" t="s">
        <v>1</v>
      </c>
      <c r="J2" s="3" t="str">
        <f aca="false">Inputs!D30</f>
        <v>Upsize assumed</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3</v>
      </c>
      <c r="D5" s="5" t="s">
        <v>4</v>
      </c>
    </row>
    <row r="6" customFormat="false" ht="15" hidden="false" customHeight="false" outlineLevel="0" collapsed="false">
      <c r="C6" s="2" t="s">
        <v>5</v>
      </c>
      <c r="D6" s="6" t="s">
        <v>6</v>
      </c>
      <c r="E6" s="6"/>
      <c r="F6" s="6"/>
      <c r="G6" s="6"/>
      <c r="H6" s="6"/>
    </row>
    <row r="8" customFormat="false" ht="15" hidden="false" customHeight="false" outlineLevel="0" collapsed="false">
      <c r="C8" s="2" t="s">
        <v>7</v>
      </c>
      <c r="D8" s="7" t="n">
        <f aca="false">Liquidity!D22</f>
        <v>342.546875</v>
      </c>
    </row>
    <row r="9" customFormat="false" ht="15" hidden="false" customHeight="false" outlineLevel="0" collapsed="false">
      <c r="C9" s="2" t="s">
        <v>8</v>
      </c>
      <c r="D9" s="7" t="n">
        <f aca="false">Liquidity!D23</f>
        <v>0</v>
      </c>
    </row>
    <row r="10" customFormat="false" ht="15" hidden="false" customHeight="false" outlineLevel="0" collapsed="false">
      <c r="C10" s="2" t="s">
        <v>9</v>
      </c>
      <c r="D10" s="8" t="n">
        <f aca="false">Recovery!F12</f>
        <v>0.6375</v>
      </c>
    </row>
    <row r="11" customFormat="false" ht="15" hidden="false" customHeight="false" outlineLevel="0" collapsed="false">
      <c r="C11" s="2" t="s">
        <v>10</v>
      </c>
      <c r="D11" s="7" t="n">
        <f aca="false">Recovery!D18</f>
        <v>24105.2631578947</v>
      </c>
    </row>
    <row r="12" customFormat="false" ht="15" hidden="false" customHeight="false" outlineLevel="0" collapsed="false">
      <c r="C12" s="2" t="s">
        <v>11</v>
      </c>
      <c r="D12" s="7" t="n">
        <f aca="false">'Class B'!D7</f>
        <v>59</v>
      </c>
    </row>
    <row r="13" customFormat="false" ht="15" hidden="false" customHeight="false" outlineLevel="0" collapsed="false">
      <c r="C13" s="2" t="s">
        <v>12</v>
      </c>
      <c r="D13" s="8" t="n">
        <f aca="false">'Class B'!D8</f>
        <v>0.00983333333333333</v>
      </c>
    </row>
    <row r="14" customFormat="false" ht="15" hidden="false" customHeight="false" outlineLevel="0" collapsed="false">
      <c r="C14" s="2" t="s">
        <v>13</v>
      </c>
      <c r="D14" s="7" t="n">
        <f aca="false">'Class B'!D9</f>
        <v>150</v>
      </c>
    </row>
    <row r="17" customFormat="false" ht="30" hidden="false" customHeight="true" outlineLevel="0" collapsed="false">
      <c r="C17" s="9" t="s">
        <v>14</v>
      </c>
      <c r="D17" s="9"/>
      <c r="E17" s="9"/>
      <c r="F17" s="9"/>
      <c r="G17" s="9"/>
      <c r="H17" s="9"/>
      <c r="I17" s="9"/>
      <c r="J17" s="9"/>
      <c r="K17" s="9"/>
    </row>
    <row r="20" customFormat="false" ht="30" hidden="false" customHeight="true" outlineLevel="0" collapsed="false">
      <c r="C20" s="9" t="s">
        <v>15</v>
      </c>
      <c r="D20" s="9"/>
      <c r="E20" s="9"/>
      <c r="F20" s="9"/>
      <c r="G20" s="9"/>
      <c r="H20" s="9"/>
      <c r="I20" s="9"/>
      <c r="J20" s="9"/>
      <c r="K20" s="9"/>
    </row>
  </sheetData>
  <mergeCells count="4">
    <mergeCell ref="C3:K3"/>
    <mergeCell ref="D6:H6"/>
    <mergeCell ref="C17:K17"/>
    <mergeCell ref="C20:K20"/>
  </mergeCells>
  <conditionalFormatting sqref="D6:O2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8BB5"/>
    <pageSetUpPr fitToPage="true"/>
  </sheetPr>
  <dimension ref="C2: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6" min="4" style="0" width="16"/>
    <col collapsed="false" customWidth="true" hidden="false" outlineLevel="0" max="7" min="7" style="0" width="85"/>
    <col collapsed="false" customWidth="true" hidden="false" outlineLevel="0" max="15" min="8" style="0" width="16"/>
  </cols>
  <sheetData>
    <row r="2" customFormat="false" ht="19.7" hidden="false" customHeight="false" outlineLevel="0" collapsed="false">
      <c r="C2" s="1" t="s">
        <v>16</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17</v>
      </c>
      <c r="D5" s="5" t="s">
        <v>18</v>
      </c>
      <c r="E5" s="5" t="s">
        <v>19</v>
      </c>
      <c r="F5" s="5" t="s">
        <v>20</v>
      </c>
      <c r="G5" s="5" t="s">
        <v>21</v>
      </c>
    </row>
    <row r="6" customFormat="false" ht="30" hidden="false" customHeight="true" outlineLevel="0" collapsed="false">
      <c r="C6" s="10" t="s">
        <v>22</v>
      </c>
      <c r="D6" s="11" t="n">
        <v>2650</v>
      </c>
      <c r="E6" s="10" t="s">
        <v>23</v>
      </c>
      <c r="F6" s="10" t="s">
        <v>24</v>
      </c>
      <c r="G6" s="12" t="s">
        <v>25</v>
      </c>
    </row>
    <row r="7" customFormat="false" ht="30" hidden="false" customHeight="true" outlineLevel="0" collapsed="false">
      <c r="C7" s="10" t="s">
        <v>26</v>
      </c>
      <c r="D7" s="11" t="n">
        <v>3000</v>
      </c>
      <c r="E7" s="10" t="s">
        <v>23</v>
      </c>
      <c r="F7" s="10" t="s">
        <v>24</v>
      </c>
      <c r="G7" s="12" t="s">
        <v>27</v>
      </c>
    </row>
    <row r="8" customFormat="false" ht="30" hidden="false" customHeight="true" outlineLevel="0" collapsed="false">
      <c r="C8" s="10" t="s">
        <v>28</v>
      </c>
      <c r="D8" s="11" t="n">
        <v>2400</v>
      </c>
      <c r="E8" s="10" t="s">
        <v>23</v>
      </c>
      <c r="F8" s="10" t="s">
        <v>24</v>
      </c>
      <c r="G8" s="12" t="s">
        <v>29</v>
      </c>
    </row>
    <row r="9" customFormat="false" ht="30" hidden="false" customHeight="true" outlineLevel="0" collapsed="false">
      <c r="C9" s="10" t="s">
        <v>30</v>
      </c>
      <c r="D9" s="13" t="n">
        <v>0.0975</v>
      </c>
      <c r="E9" s="10" t="s">
        <v>31</v>
      </c>
      <c r="F9" s="10" t="s">
        <v>24</v>
      </c>
      <c r="G9" s="12" t="s">
        <v>32</v>
      </c>
    </row>
    <row r="10" customFormat="false" ht="30" hidden="false" customHeight="true" outlineLevel="0" collapsed="false">
      <c r="C10" s="10" t="s">
        <v>33</v>
      </c>
      <c r="D10" s="11" t="n">
        <v>1000</v>
      </c>
      <c r="E10" s="10" t="s">
        <v>23</v>
      </c>
      <c r="F10" s="10" t="s">
        <v>24</v>
      </c>
      <c r="G10" s="12" t="s">
        <v>34</v>
      </c>
    </row>
    <row r="11" customFormat="false" ht="30" hidden="false" customHeight="true" outlineLevel="0" collapsed="false">
      <c r="C11" s="10" t="s">
        <v>35</v>
      </c>
      <c r="D11" s="13" t="n">
        <v>0.059</v>
      </c>
      <c r="E11" s="10" t="s">
        <v>31</v>
      </c>
      <c r="F11" s="10" t="s">
        <v>24</v>
      </c>
      <c r="G11" s="12" t="s">
        <v>36</v>
      </c>
    </row>
    <row r="12" customFormat="false" ht="30" hidden="false" customHeight="true" outlineLevel="0" collapsed="false">
      <c r="C12" s="10" t="s">
        <v>37</v>
      </c>
      <c r="D12" s="11" t="n">
        <v>150</v>
      </c>
      <c r="E12" s="10" t="s">
        <v>23</v>
      </c>
      <c r="F12" s="10" t="s">
        <v>24</v>
      </c>
      <c r="G12" s="12" t="s">
        <v>38</v>
      </c>
    </row>
    <row r="13" customFormat="false" ht="30" hidden="false" customHeight="true" outlineLevel="0" collapsed="false">
      <c r="C13" s="10" t="s">
        <v>39</v>
      </c>
      <c r="D13" s="13" t="n">
        <v>0.69</v>
      </c>
      <c r="E13" s="10" t="s">
        <v>40</v>
      </c>
      <c r="F13" s="10" t="s">
        <v>24</v>
      </c>
      <c r="G13" s="12" t="s">
        <v>41</v>
      </c>
    </row>
    <row r="14" customFormat="false" ht="30" hidden="false" customHeight="true" outlineLevel="0" collapsed="false">
      <c r="C14" s="10" t="s">
        <v>42</v>
      </c>
      <c r="D14" s="11" t="n">
        <v>1130.2</v>
      </c>
      <c r="E14" s="10" t="s">
        <v>43</v>
      </c>
      <c r="F14" s="10" t="s">
        <v>24</v>
      </c>
      <c r="G14" s="12" t="s">
        <v>44</v>
      </c>
    </row>
    <row r="15" customFormat="false" ht="30" hidden="false" customHeight="true" outlineLevel="0" collapsed="false">
      <c r="C15" s="10" t="s">
        <v>45</v>
      </c>
      <c r="D15" s="11" t="n">
        <v>200</v>
      </c>
      <c r="E15" s="10" t="s">
        <v>23</v>
      </c>
      <c r="F15" s="10" t="s">
        <v>46</v>
      </c>
      <c r="G15" s="12" t="s">
        <v>47</v>
      </c>
    </row>
    <row r="16" customFormat="false" ht="30" hidden="false" customHeight="true" outlineLevel="0" collapsed="false">
      <c r="C16" s="10" t="s">
        <v>48</v>
      </c>
      <c r="D16" s="11" t="n">
        <v>200</v>
      </c>
      <c r="E16" s="10" t="s">
        <v>49</v>
      </c>
      <c r="F16" s="10" t="s">
        <v>46</v>
      </c>
      <c r="G16" s="12" t="s">
        <v>50</v>
      </c>
    </row>
    <row r="17" customFormat="false" ht="30" hidden="false" customHeight="true" outlineLevel="0" collapsed="false">
      <c r="C17" s="10" t="s">
        <v>51</v>
      </c>
      <c r="D17" s="11" t="n">
        <v>100</v>
      </c>
      <c r="E17" s="10" t="s">
        <v>23</v>
      </c>
      <c r="F17" s="10" t="s">
        <v>46</v>
      </c>
      <c r="G17" s="12" t="s">
        <v>52</v>
      </c>
    </row>
    <row r="18" customFormat="false" ht="30" hidden="false" customHeight="true" outlineLevel="0" collapsed="false">
      <c r="C18" s="10" t="s">
        <v>53</v>
      </c>
      <c r="D18" s="13" t="n">
        <v>0.02</v>
      </c>
      <c r="E18" s="10" t="s">
        <v>31</v>
      </c>
      <c r="F18" s="10" t="s">
        <v>46</v>
      </c>
      <c r="G18" s="12" t="s">
        <v>54</v>
      </c>
    </row>
    <row r="19" customFormat="false" ht="30" hidden="false" customHeight="true" outlineLevel="0" collapsed="false">
      <c r="C19" s="10" t="s">
        <v>55</v>
      </c>
      <c r="D19" s="11" t="n">
        <v>2</v>
      </c>
      <c r="E19" s="10" t="s">
        <v>56</v>
      </c>
      <c r="F19" s="10" t="s">
        <v>46</v>
      </c>
      <c r="G19" s="12" t="s">
        <v>57</v>
      </c>
    </row>
    <row r="20" customFormat="false" ht="30" hidden="false" customHeight="true" outlineLevel="0" collapsed="false">
      <c r="C20" s="10" t="s">
        <v>58</v>
      </c>
      <c r="D20" s="11" t="n">
        <v>1</v>
      </c>
      <c r="E20" s="10" t="s">
        <v>56</v>
      </c>
      <c r="F20" s="10" t="s">
        <v>46</v>
      </c>
      <c r="G20" s="12" t="s">
        <v>59</v>
      </c>
    </row>
    <row r="21" customFormat="false" ht="30" hidden="false" customHeight="true" outlineLevel="0" collapsed="false">
      <c r="C21" s="10" t="s">
        <v>60</v>
      </c>
      <c r="D21" s="11" t="n">
        <v>500</v>
      </c>
      <c r="E21" s="10" t="s">
        <v>23</v>
      </c>
      <c r="F21" s="10" t="s">
        <v>46</v>
      </c>
      <c r="G21" s="12" t="s">
        <v>61</v>
      </c>
    </row>
    <row r="22" customFormat="false" ht="30" hidden="false" customHeight="true" outlineLevel="0" collapsed="false">
      <c r="C22" s="10" t="s">
        <v>62</v>
      </c>
      <c r="D22" s="11" t="n">
        <v>6000</v>
      </c>
      <c r="E22" s="10" t="s">
        <v>23</v>
      </c>
      <c r="F22" s="10" t="s">
        <v>46</v>
      </c>
      <c r="G22" s="12" t="s">
        <v>63</v>
      </c>
    </row>
    <row r="23" customFormat="false" ht="30" hidden="false" customHeight="true" outlineLevel="0" collapsed="false">
      <c r="C23" s="10" t="s">
        <v>64</v>
      </c>
      <c r="D23" s="11" t="n">
        <v>1</v>
      </c>
      <c r="E23" s="10" t="s">
        <v>65</v>
      </c>
      <c r="F23" s="10" t="s">
        <v>46</v>
      </c>
      <c r="G23" s="12" t="s">
        <v>66</v>
      </c>
    </row>
    <row r="24" customFormat="false" ht="30" hidden="false" customHeight="true" outlineLevel="0" collapsed="false">
      <c r="C24" s="10" t="s">
        <v>67</v>
      </c>
      <c r="D24" s="11" t="n">
        <v>18000</v>
      </c>
      <c r="E24" s="10" t="s">
        <v>23</v>
      </c>
      <c r="F24" s="10" t="s">
        <v>46</v>
      </c>
      <c r="G24" s="12" t="s">
        <v>68</v>
      </c>
    </row>
    <row r="25" customFormat="false" ht="30" hidden="false" customHeight="true" outlineLevel="0" collapsed="false">
      <c r="C25" s="10" t="s">
        <v>69</v>
      </c>
      <c r="D25" s="13" t="n">
        <v>0.05</v>
      </c>
      <c r="E25" s="10" t="s">
        <v>31</v>
      </c>
      <c r="F25" s="10" t="s">
        <v>46</v>
      </c>
      <c r="G25" s="12" t="s">
        <v>70</v>
      </c>
    </row>
    <row r="26" customFormat="false" ht="30" hidden="false" customHeight="true" outlineLevel="0" collapsed="false">
      <c r="C26" s="10" t="s">
        <v>71</v>
      </c>
      <c r="D26" s="11" t="n">
        <v>1500</v>
      </c>
      <c r="E26" s="10" t="s">
        <v>23</v>
      </c>
      <c r="F26" s="10" t="s">
        <v>46</v>
      </c>
      <c r="G26" s="12" t="s">
        <v>72</v>
      </c>
    </row>
    <row r="27" customFormat="false" ht="30" hidden="false" customHeight="true" outlineLevel="0" collapsed="false">
      <c r="C27" s="10" t="s">
        <v>73</v>
      </c>
      <c r="D27" s="11" t="n">
        <v>16000</v>
      </c>
      <c r="E27" s="10" t="s">
        <v>23</v>
      </c>
      <c r="F27" s="10" t="s">
        <v>46</v>
      </c>
      <c r="G27" s="12" t="s">
        <v>74</v>
      </c>
    </row>
    <row r="30" customFormat="false" ht="15" hidden="false" customHeight="false" outlineLevel="0" collapsed="false">
      <c r="C30" s="10" t="s">
        <v>75</v>
      </c>
      <c r="D30" s="14" t="str">
        <f aca="false">CHOOSE(Inputs!$D$19+1,"Blocked","Existing only","Upsize assumed")</f>
        <v>Upsize assumed</v>
      </c>
    </row>
  </sheetData>
  <mergeCells count="1">
    <mergeCell ref="C3:K3"/>
  </mergeCells>
  <conditionalFormatting sqref="D6:O30">
    <cfRule type="cellIs" priority="2" operator="lessThan" aboveAverage="0" equalAverage="0" bottom="0" percent="0" rank="0" text="" dxfId="0">
      <formula>0</formula>
    </cfRule>
  </conditionalFormatting>
  <dataValidations count="2">
    <dataValidation allowBlank="false" errorStyle="stop" operator="between" showDropDown="false" showErrorMessage="true" showInputMessage="false" sqref="D19" type="whole">
      <formula1>0</formula1>
      <formula2>2</formula2>
    </dataValidation>
    <dataValidation allowBlank="false" errorStyle="stop" operator="between" showDropDown="false" showErrorMessage="true" showInputMessage="false" sqref="D20"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O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15" min="4" style="0" width="16"/>
  </cols>
  <sheetData>
    <row r="2" customFormat="false" ht="19.7" hidden="false" customHeight="false" outlineLevel="0" collapsed="false">
      <c r="C2" s="1" t="s">
        <v>76</v>
      </c>
      <c r="I2" s="10" t="s">
        <v>1</v>
      </c>
      <c r="J2" s="3" t="str">
        <f aca="false">Inputs!D30</f>
        <v>Upsize assumed</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77</v>
      </c>
      <c r="D5" s="15" t="n">
        <v>46327</v>
      </c>
      <c r="E5" s="15" t="n">
        <v>46357</v>
      </c>
      <c r="F5" s="15" t="n">
        <v>46388</v>
      </c>
      <c r="G5" s="15" t="n">
        <v>46419</v>
      </c>
      <c r="H5" s="15" t="n">
        <v>46447</v>
      </c>
      <c r="I5" s="15" t="n">
        <v>46478</v>
      </c>
      <c r="J5" s="15" t="n">
        <v>46508</v>
      </c>
      <c r="K5" s="15" t="n">
        <v>46539</v>
      </c>
      <c r="L5" s="15" t="n">
        <v>46569</v>
      </c>
      <c r="M5" s="15" t="n">
        <v>46600</v>
      </c>
      <c r="N5" s="15" t="n">
        <v>46631</v>
      </c>
      <c r="O5" s="15" t="n">
        <v>46661</v>
      </c>
    </row>
    <row r="7" customFormat="false" ht="15" hidden="false" customHeight="false" outlineLevel="0" collapsed="false">
      <c r="C7" s="10" t="s">
        <v>78</v>
      </c>
      <c r="D7" s="14" t="n">
        <f aca="false">Inputs!$D$15</f>
        <v>200</v>
      </c>
      <c r="E7" s="7" t="n">
        <f aca="false">D13</f>
        <v>738.953125</v>
      </c>
      <c r="F7" s="7" t="n">
        <f aca="false">E13</f>
        <v>532.859375</v>
      </c>
      <c r="G7" s="7" t="n">
        <f aca="false">F13</f>
        <v>717.140625</v>
      </c>
      <c r="H7" s="7" t="n">
        <f aca="false">G13</f>
        <v>507.796875</v>
      </c>
      <c r="I7" s="7" t="n">
        <f aca="false">H13</f>
        <v>688.828125</v>
      </c>
      <c r="J7" s="7" t="n">
        <f aca="false">I13</f>
        <v>476.234375</v>
      </c>
      <c r="K7" s="7" t="n">
        <f aca="false">J13</f>
        <v>654.015625</v>
      </c>
      <c r="L7" s="7" t="n">
        <f aca="false">K13</f>
        <v>438.171875</v>
      </c>
      <c r="M7" s="7" t="n">
        <f aca="false">L13</f>
        <v>612.703125</v>
      </c>
      <c r="N7" s="7" t="n">
        <f aca="false">M13</f>
        <v>393.609375</v>
      </c>
      <c r="O7" s="7" t="n">
        <f aca="false">N13</f>
        <v>564.890625</v>
      </c>
    </row>
    <row r="8" customFormat="false" ht="15" hidden="false" customHeight="false" outlineLevel="0" collapsed="false">
      <c r="C8" s="10" t="s">
        <v>79</v>
      </c>
      <c r="D8" s="14" t="n">
        <f aca="false">IF(Inputs!$D$19&gt;=1,Inputs!$D$7-Inputs!$D$6,0)</f>
        <v>350</v>
      </c>
      <c r="E8" s="7" t="n">
        <f aca="false">0</f>
        <v>0</v>
      </c>
      <c r="F8" s="7" t="n">
        <f aca="false">0</f>
        <v>0</v>
      </c>
      <c r="G8" s="7" t="n">
        <f aca="false">0</f>
        <v>0</v>
      </c>
      <c r="H8" s="7" t="n">
        <f aca="false">0</f>
        <v>0</v>
      </c>
      <c r="I8" s="7" t="n">
        <f aca="false">0</f>
        <v>0</v>
      </c>
      <c r="J8" s="7" t="n">
        <f aca="false">0</f>
        <v>0</v>
      </c>
      <c r="K8" s="7" t="n">
        <f aca="false">0</f>
        <v>0</v>
      </c>
      <c r="L8" s="7" t="n">
        <f aca="false">0</f>
        <v>0</v>
      </c>
      <c r="M8" s="7" t="n">
        <f aca="false">0</f>
        <v>0</v>
      </c>
      <c r="N8" s="7" t="n">
        <f aca="false">0</f>
        <v>0</v>
      </c>
      <c r="O8" s="7" t="n">
        <f aca="false">0</f>
        <v>0</v>
      </c>
    </row>
    <row r="9" customFormat="false" ht="15" hidden="false" customHeight="false" outlineLevel="0" collapsed="false">
      <c r="C9" s="10" t="s">
        <v>80</v>
      </c>
      <c r="D9" s="14" t="n">
        <f aca="false">IF(Inputs!$D$19=2,Inputs!$D$8/6,0)</f>
        <v>400</v>
      </c>
      <c r="E9" s="7" t="n">
        <f aca="false">0</f>
        <v>0</v>
      </c>
      <c r="F9" s="14" t="n">
        <f aca="false">IF(Inputs!$D$19=2,Inputs!$D$8/6,0)</f>
        <v>400</v>
      </c>
      <c r="G9" s="7" t="n">
        <f aca="false">0</f>
        <v>0</v>
      </c>
      <c r="H9" s="14" t="n">
        <f aca="false">IF(Inputs!$D$19=2,Inputs!$D$8/6,0)</f>
        <v>400</v>
      </c>
      <c r="I9" s="7" t="n">
        <f aca="false">0</f>
        <v>0</v>
      </c>
      <c r="J9" s="14" t="n">
        <f aca="false">IF(Inputs!$D$19=2,Inputs!$D$8/6,0)</f>
        <v>400</v>
      </c>
      <c r="K9" s="7" t="n">
        <f aca="false">0</f>
        <v>0</v>
      </c>
      <c r="L9" s="14" t="n">
        <f aca="false">IF(Inputs!$D$19=2,Inputs!$D$8/6,0)</f>
        <v>400</v>
      </c>
      <c r="M9" s="7" t="n">
        <f aca="false">0</f>
        <v>0</v>
      </c>
      <c r="N9" s="14" t="n">
        <f aca="false">IF(Inputs!$D$19=2,Inputs!$D$8/6,0)</f>
        <v>400</v>
      </c>
      <c r="O9" s="7" t="n">
        <f aca="false">0</f>
        <v>0</v>
      </c>
    </row>
    <row r="10" customFormat="false" ht="15" hidden="false" customHeight="false" outlineLevel="0" collapsed="false">
      <c r="C10" s="10" t="s">
        <v>81</v>
      </c>
      <c r="D10" s="14" t="n">
        <f aca="false">D9*Inputs!$D$18</f>
        <v>8</v>
      </c>
      <c r="E10" s="14" t="n">
        <f aca="false">E9*Inputs!$D$18</f>
        <v>0</v>
      </c>
      <c r="F10" s="14" t="n">
        <f aca="false">F9*Inputs!$D$18</f>
        <v>8</v>
      </c>
      <c r="G10" s="14" t="n">
        <f aca="false">G9*Inputs!$D$18</f>
        <v>0</v>
      </c>
      <c r="H10" s="14" t="n">
        <f aca="false">H9*Inputs!$D$18</f>
        <v>8</v>
      </c>
      <c r="I10" s="14" t="n">
        <f aca="false">I9*Inputs!$D$18</f>
        <v>0</v>
      </c>
      <c r="J10" s="14" t="n">
        <f aca="false">J9*Inputs!$D$18</f>
        <v>8</v>
      </c>
      <c r="K10" s="14" t="n">
        <f aca="false">K9*Inputs!$D$18</f>
        <v>0</v>
      </c>
      <c r="L10" s="14" t="n">
        <f aca="false">L9*Inputs!$D$18</f>
        <v>8</v>
      </c>
      <c r="M10" s="14" t="n">
        <f aca="false">M9*Inputs!$D$18</f>
        <v>0</v>
      </c>
      <c r="N10" s="14" t="n">
        <f aca="false">N9*Inputs!$D$18</f>
        <v>8</v>
      </c>
      <c r="O10" s="14" t="n">
        <f aca="false">O9*Inputs!$D$18</f>
        <v>0</v>
      </c>
    </row>
    <row r="11" customFormat="false" ht="15" hidden="false" customHeight="false" outlineLevel="0" collapsed="false">
      <c r="C11" s="10" t="s">
        <v>82</v>
      </c>
      <c r="D11" s="14" t="n">
        <f aca="false">(D15+SUM(D8:D9)/2)*Inputs!$D$9/12</f>
        <v>3.046875</v>
      </c>
      <c r="E11" s="14" t="n">
        <f aca="false">(E15+SUM(E8:E9)/2)*Inputs!$D$9/12</f>
        <v>6.09375</v>
      </c>
      <c r="F11" s="14" t="n">
        <f aca="false">(F15+SUM(F8:F9)/2)*Inputs!$D$9/12</f>
        <v>7.71875</v>
      </c>
      <c r="G11" s="14" t="n">
        <f aca="false">(G15+SUM(G8:G9)/2)*Inputs!$D$9/12</f>
        <v>9.34375</v>
      </c>
      <c r="H11" s="14" t="n">
        <f aca="false">(H15+SUM(H8:H9)/2)*Inputs!$D$9/12</f>
        <v>10.96875</v>
      </c>
      <c r="I11" s="14" t="n">
        <f aca="false">(I15+SUM(I8:I9)/2)*Inputs!$D$9/12</f>
        <v>12.59375</v>
      </c>
      <c r="J11" s="14" t="n">
        <f aca="false">(J15+SUM(J8:J9)/2)*Inputs!$D$9/12</f>
        <v>14.21875</v>
      </c>
      <c r="K11" s="14" t="n">
        <f aca="false">(K15+SUM(K8:K9)/2)*Inputs!$D$9/12</f>
        <v>15.84375</v>
      </c>
      <c r="L11" s="14" t="n">
        <f aca="false">(L15+SUM(L8:L9)/2)*Inputs!$D$9/12</f>
        <v>17.46875</v>
      </c>
      <c r="M11" s="14" t="n">
        <f aca="false">(M15+SUM(M8:M9)/2)*Inputs!$D$9/12</f>
        <v>19.09375</v>
      </c>
      <c r="N11" s="14" t="n">
        <f aca="false">(N15+SUM(N8:N9)/2)*Inputs!$D$9/12</f>
        <v>20.71875</v>
      </c>
      <c r="O11" s="14" t="n">
        <f aca="false">(O15+SUM(O8:O9)/2)*Inputs!$D$9/12</f>
        <v>22.34375</v>
      </c>
    </row>
    <row r="12" customFormat="false" ht="15" hidden="false" customHeight="false" outlineLevel="0" collapsed="false">
      <c r="C12" s="10" t="s">
        <v>83</v>
      </c>
      <c r="D12" s="7" t="n">
        <f aca="false">0</f>
        <v>0</v>
      </c>
      <c r="E12" s="7" t="n">
        <f aca="false">0</f>
        <v>0</v>
      </c>
      <c r="F12" s="7" t="n">
        <f aca="false">0</f>
        <v>0</v>
      </c>
      <c r="G12" s="7" t="n">
        <f aca="false">0</f>
        <v>0</v>
      </c>
      <c r="H12" s="14" t="n">
        <f aca="false">IF(Inputs!$D$20=0,Inputs!$D$21,0)</f>
        <v>0</v>
      </c>
      <c r="I12" s="7" t="n">
        <f aca="false">0</f>
        <v>0</v>
      </c>
      <c r="J12" s="7" t="n">
        <f aca="false">0</f>
        <v>0</v>
      </c>
      <c r="K12" s="7" t="n">
        <f aca="false">0</f>
        <v>0</v>
      </c>
      <c r="L12" s="7" t="n">
        <f aca="false">0</f>
        <v>0</v>
      </c>
      <c r="M12" s="7" t="n">
        <f aca="false">0</f>
        <v>0</v>
      </c>
      <c r="N12" s="7" t="n">
        <f aca="false">0</f>
        <v>0</v>
      </c>
      <c r="O12" s="7" t="n">
        <f aca="false">0</f>
        <v>0</v>
      </c>
    </row>
    <row r="13" customFormat="false" ht="15" hidden="false" customHeight="false" outlineLevel="0" collapsed="false">
      <c r="C13" s="10" t="s">
        <v>84</v>
      </c>
      <c r="D13" s="14" t="n">
        <f aca="false">D7+SUM(D8:D9)-Inputs!$D$16-SUM(D10:D12)</f>
        <v>738.953125</v>
      </c>
      <c r="E13" s="14" t="n">
        <f aca="false">E7+SUM(E8:E9)-Inputs!$D$16-SUM(E10:E12)</f>
        <v>532.859375</v>
      </c>
      <c r="F13" s="14" t="n">
        <f aca="false">F7+SUM(F8:F9)-Inputs!$D$16-SUM(F10:F12)</f>
        <v>717.140625</v>
      </c>
      <c r="G13" s="14" t="n">
        <f aca="false">G7+SUM(G8:G9)-Inputs!$D$16-SUM(G10:G12)</f>
        <v>507.796875</v>
      </c>
      <c r="H13" s="14" t="n">
        <f aca="false">H7+SUM(H8:H9)-Inputs!$D$16-SUM(H10:H12)</f>
        <v>688.828125</v>
      </c>
      <c r="I13" s="14" t="n">
        <f aca="false">I7+SUM(I8:I9)-Inputs!$D$16-SUM(I10:I12)</f>
        <v>476.234375</v>
      </c>
      <c r="J13" s="14" t="n">
        <f aca="false">J7+SUM(J8:J9)-Inputs!$D$16-SUM(J10:J12)</f>
        <v>654.015625</v>
      </c>
      <c r="K13" s="14" t="n">
        <f aca="false">K7+SUM(K8:K9)-Inputs!$D$16-SUM(K10:K12)</f>
        <v>438.171875</v>
      </c>
      <c r="L13" s="14" t="n">
        <f aca="false">L7+SUM(L8:L9)-Inputs!$D$16-SUM(L10:L12)</f>
        <v>612.703125</v>
      </c>
      <c r="M13" s="14" t="n">
        <f aca="false">M7+SUM(M8:M9)-Inputs!$D$16-SUM(M10:M12)</f>
        <v>393.609375</v>
      </c>
      <c r="N13" s="14" t="n">
        <f aca="false">N7+SUM(N8:N9)-Inputs!$D$16-SUM(N10:N12)</f>
        <v>564.890625</v>
      </c>
      <c r="O13" s="14" t="n">
        <f aca="false">O7+SUM(O8:O9)-Inputs!$D$16-SUM(O10:O12)</f>
        <v>342.546875</v>
      </c>
    </row>
    <row r="14" customFormat="false" ht="15" hidden="false" customHeight="false" outlineLevel="0" collapsed="false">
      <c r="C14" s="10" t="s">
        <v>85</v>
      </c>
      <c r="D14" s="14" t="n">
        <f aca="false">MAX(0,Inputs!$D$17-D13)</f>
        <v>0</v>
      </c>
      <c r="E14" s="14" t="n">
        <f aca="false">MAX(0,Inputs!$D$17-E13)</f>
        <v>0</v>
      </c>
      <c r="F14" s="14" t="n">
        <f aca="false">MAX(0,Inputs!$D$17-F13)</f>
        <v>0</v>
      </c>
      <c r="G14" s="14" t="n">
        <f aca="false">MAX(0,Inputs!$D$17-G13)</f>
        <v>0</v>
      </c>
      <c r="H14" s="14" t="n">
        <f aca="false">MAX(0,Inputs!$D$17-H13)</f>
        <v>0</v>
      </c>
      <c r="I14" s="14" t="n">
        <f aca="false">MAX(0,Inputs!$D$17-I13)</f>
        <v>0</v>
      </c>
      <c r="J14" s="14" t="n">
        <f aca="false">MAX(0,Inputs!$D$17-J13)</f>
        <v>0</v>
      </c>
      <c r="K14" s="14" t="n">
        <f aca="false">MAX(0,Inputs!$D$17-K13)</f>
        <v>0</v>
      </c>
      <c r="L14" s="14" t="n">
        <f aca="false">MAX(0,Inputs!$D$17-L13)</f>
        <v>0</v>
      </c>
      <c r="M14" s="14" t="n">
        <f aca="false">MAX(0,Inputs!$D$17-M13)</f>
        <v>0</v>
      </c>
      <c r="N14" s="14" t="n">
        <f aca="false">MAX(0,Inputs!$D$17-N13)</f>
        <v>0</v>
      </c>
      <c r="O14" s="14" t="n">
        <f aca="false">MAX(0,Inputs!$D$17-O13)</f>
        <v>0</v>
      </c>
    </row>
    <row r="15" customFormat="false" ht="15" hidden="false" customHeight="false" outlineLevel="0" collapsed="false">
      <c r="C15" s="10" t="s">
        <v>86</v>
      </c>
      <c r="D15" s="7" t="n">
        <f aca="false">0</f>
        <v>0</v>
      </c>
      <c r="E15" s="7" t="n">
        <f aca="false">D18</f>
        <v>750</v>
      </c>
      <c r="F15" s="7" t="n">
        <f aca="false">E18</f>
        <v>750</v>
      </c>
      <c r="G15" s="7" t="n">
        <f aca="false">F18</f>
        <v>1150</v>
      </c>
      <c r="H15" s="7" t="n">
        <f aca="false">G18</f>
        <v>1150</v>
      </c>
      <c r="I15" s="7" t="n">
        <f aca="false">H18</f>
        <v>1550</v>
      </c>
      <c r="J15" s="7" t="n">
        <f aca="false">I18</f>
        <v>1550</v>
      </c>
      <c r="K15" s="7" t="n">
        <f aca="false">J18</f>
        <v>1950</v>
      </c>
      <c r="L15" s="7" t="n">
        <f aca="false">K18</f>
        <v>1950</v>
      </c>
      <c r="M15" s="7" t="n">
        <f aca="false">L18</f>
        <v>2350</v>
      </c>
      <c r="N15" s="7" t="n">
        <f aca="false">M18</f>
        <v>2350</v>
      </c>
      <c r="O15" s="7" t="n">
        <f aca="false">N18</f>
        <v>2750</v>
      </c>
    </row>
    <row r="16" customFormat="false" ht="15" hidden="false" customHeight="false" outlineLevel="0" collapsed="false">
      <c r="C16" s="10" t="s">
        <v>87</v>
      </c>
      <c r="D16" s="14" t="n">
        <f aca="false">Inputs!$D$6+D18</f>
        <v>3400</v>
      </c>
      <c r="E16" s="14" t="n">
        <f aca="false">Inputs!$D$6+E18</f>
        <v>3400</v>
      </c>
      <c r="F16" s="14" t="n">
        <f aca="false">Inputs!$D$6+F18</f>
        <v>3800</v>
      </c>
      <c r="G16" s="14" t="n">
        <f aca="false">Inputs!$D$6+G18</f>
        <v>3800</v>
      </c>
      <c r="H16" s="14" t="n">
        <f aca="false">Inputs!$D$6+H18</f>
        <v>4200</v>
      </c>
      <c r="I16" s="14" t="n">
        <f aca="false">Inputs!$D$6+I18</f>
        <v>4200</v>
      </c>
      <c r="J16" s="14" t="n">
        <f aca="false">Inputs!$D$6+J18</f>
        <v>4600</v>
      </c>
      <c r="K16" s="14" t="n">
        <f aca="false">Inputs!$D$6+K18</f>
        <v>4600</v>
      </c>
      <c r="L16" s="14" t="n">
        <f aca="false">Inputs!$D$6+L18</f>
        <v>5000</v>
      </c>
      <c r="M16" s="14" t="n">
        <f aca="false">Inputs!$D$6+M18</f>
        <v>5000</v>
      </c>
      <c r="N16" s="14" t="n">
        <f aca="false">Inputs!$D$6+N18</f>
        <v>5400</v>
      </c>
      <c r="O16" s="14" t="n">
        <f aca="false">Inputs!$D$6+O18</f>
        <v>5400</v>
      </c>
    </row>
    <row r="18" customFormat="false" ht="15" hidden="false" customHeight="false" outlineLevel="0" collapsed="false">
      <c r="C18" s="10" t="s">
        <v>88</v>
      </c>
      <c r="D18" s="7" t="n">
        <f aca="false">D15+SUM(D8:D9)</f>
        <v>750</v>
      </c>
      <c r="E18" s="7" t="n">
        <f aca="false">E15+SUM(E8:E9)</f>
        <v>750</v>
      </c>
      <c r="F18" s="7" t="n">
        <f aca="false">F15+SUM(F8:F9)</f>
        <v>1150</v>
      </c>
      <c r="G18" s="7" t="n">
        <f aca="false">G15+SUM(G8:G9)</f>
        <v>1150</v>
      </c>
      <c r="H18" s="7" t="n">
        <f aca="false">H15+SUM(H8:H9)</f>
        <v>1550</v>
      </c>
      <c r="I18" s="7" t="n">
        <f aca="false">I15+SUM(I8:I9)</f>
        <v>1550</v>
      </c>
      <c r="J18" s="7" t="n">
        <f aca="false">J15+SUM(J8:J9)</f>
        <v>1950</v>
      </c>
      <c r="K18" s="7" t="n">
        <f aca="false">K15+SUM(K8:K9)</f>
        <v>1950</v>
      </c>
      <c r="L18" s="7" t="n">
        <f aca="false">L15+SUM(L8:L9)</f>
        <v>2350</v>
      </c>
      <c r="M18" s="7" t="n">
        <f aca="false">M15+SUM(M8:M9)</f>
        <v>2350</v>
      </c>
      <c r="N18" s="7" t="n">
        <f aca="false">N15+SUM(N8:N9)</f>
        <v>2750</v>
      </c>
      <c r="O18" s="7" t="n">
        <f aca="false">O15+SUM(O8:O9)</f>
        <v>2750</v>
      </c>
    </row>
    <row r="19" customFormat="false" ht="15" hidden="false" customHeight="false" outlineLevel="0" collapsed="false">
      <c r="C19" s="10" t="s">
        <v>89</v>
      </c>
      <c r="D19" s="16" t="n">
        <f aca="false">D13-(D7+SUM(D8:D9)-Inputs!$D$16-SUM(D10:D12))</f>
        <v>0</v>
      </c>
      <c r="E19" s="16" t="n">
        <f aca="false">E13-(E7+SUM(E8:E9)-Inputs!$D$16-SUM(E10:E12))</f>
        <v>0</v>
      </c>
      <c r="F19" s="16" t="n">
        <f aca="false">F13-(F7+SUM(F8:F9)-Inputs!$D$16-SUM(F10:F12))</f>
        <v>0</v>
      </c>
      <c r="G19" s="16" t="n">
        <f aca="false">G13-(G7+SUM(G8:G9)-Inputs!$D$16-SUM(G10:G12))</f>
        <v>0</v>
      </c>
      <c r="H19" s="16" t="n">
        <f aca="false">H13-(H7+SUM(H8:H9)-Inputs!$D$16-SUM(H10:H12))</f>
        <v>0</v>
      </c>
      <c r="I19" s="16" t="n">
        <f aca="false">I13-(I7+SUM(I8:I9)-Inputs!$D$16-SUM(I10:I12))</f>
        <v>0</v>
      </c>
      <c r="J19" s="16" t="n">
        <f aca="false">J13-(J7+SUM(J8:J9)-Inputs!$D$16-SUM(J10:J12))</f>
        <v>0</v>
      </c>
      <c r="K19" s="16" t="n">
        <f aca="false">K13-(K7+SUM(K8:K9)-Inputs!$D$16-SUM(K10:K12))</f>
        <v>0</v>
      </c>
      <c r="L19" s="16" t="n">
        <f aca="false">L13-(L7+SUM(L8:L9)-Inputs!$D$16-SUM(L10:L12))</f>
        <v>0</v>
      </c>
      <c r="M19" s="16" t="n">
        <f aca="false">M13-(M7+SUM(M8:M9)-Inputs!$D$16-SUM(M10:M12))</f>
        <v>0</v>
      </c>
      <c r="N19" s="16" t="n">
        <f aca="false">N13-(N7+SUM(N8:N9)-Inputs!$D$16-SUM(N10:N12))</f>
        <v>0</v>
      </c>
      <c r="O19" s="16" t="n">
        <f aca="false">O13-(O7+SUM(O8:O9)-Inputs!$D$16-SUM(O10:O12))</f>
        <v>0</v>
      </c>
    </row>
    <row r="22" customFormat="false" ht="15" hidden="false" customHeight="false" outlineLevel="0" collapsed="false">
      <c r="C22" s="10" t="s">
        <v>90</v>
      </c>
      <c r="D22" s="7" t="n">
        <f aca="false">MIN(D13:O13)</f>
        <v>342.546875</v>
      </c>
    </row>
    <row r="23" customFormat="false" ht="15" hidden="false" customHeight="false" outlineLevel="0" collapsed="false">
      <c r="C23" s="10" t="s">
        <v>91</v>
      </c>
      <c r="D23" s="7" t="n">
        <f aca="false">MAX(D14:O14)</f>
        <v>0</v>
      </c>
    </row>
    <row r="24" customFormat="false" ht="15" hidden="false" customHeight="false" outlineLevel="0" collapsed="false">
      <c r="C24" s="10" t="s">
        <v>92</v>
      </c>
      <c r="D24" s="7" t="n">
        <f aca="false">SUM(D11:O11)</f>
        <v>159.453125</v>
      </c>
    </row>
    <row r="25" customFormat="false" ht="15" hidden="false" customHeight="false" outlineLevel="0" collapsed="false">
      <c r="C25" s="10" t="s">
        <v>93</v>
      </c>
      <c r="D25" s="7" t="n">
        <f aca="false">SUM(D10:O10)</f>
        <v>48</v>
      </c>
    </row>
    <row r="28" customFormat="false" ht="30" hidden="false" customHeight="true" outlineLevel="0" collapsed="false">
      <c r="C28" s="17" t="s">
        <v>94</v>
      </c>
      <c r="D28" s="17"/>
      <c r="E28" s="17"/>
      <c r="F28" s="17"/>
      <c r="G28" s="17"/>
      <c r="H28" s="17"/>
      <c r="I28" s="17"/>
      <c r="J28" s="17"/>
      <c r="K28" s="17"/>
    </row>
    <row r="30" customFormat="false" ht="30" hidden="false" customHeight="true" outlineLevel="0" collapsed="false">
      <c r="C30" s="17" t="s">
        <v>95</v>
      </c>
      <c r="D30" s="17"/>
      <c r="E30" s="17"/>
      <c r="F30" s="17"/>
      <c r="G30" s="17"/>
      <c r="H30" s="17"/>
      <c r="I30" s="17"/>
      <c r="J30" s="17"/>
      <c r="K30" s="17"/>
    </row>
    <row r="32" customFormat="false" ht="30" hidden="false" customHeight="true" outlineLevel="0" collapsed="false">
      <c r="C32" s="17" t="s">
        <v>96</v>
      </c>
      <c r="D32" s="17"/>
      <c r="E32" s="17"/>
      <c r="F32" s="17"/>
      <c r="G32" s="17"/>
      <c r="H32" s="17"/>
      <c r="I32" s="17"/>
      <c r="J32" s="17"/>
      <c r="K32" s="17"/>
    </row>
  </sheetData>
  <mergeCells count="4">
    <mergeCell ref="C3:K3"/>
    <mergeCell ref="C28:K28"/>
    <mergeCell ref="C30:K30"/>
    <mergeCell ref="C32:K32"/>
  </mergeCells>
  <conditionalFormatting sqref="D6:O32">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15" min="4" style="0" width="16"/>
  </cols>
  <sheetData>
    <row r="2" customFormat="false" ht="19.7" hidden="false" customHeight="false" outlineLevel="0" collapsed="false">
      <c r="C2" s="1" t="s">
        <v>97</v>
      </c>
      <c r="I2" s="10" t="s">
        <v>1</v>
      </c>
      <c r="J2" s="3" t="str">
        <f aca="false">Inputs!D30</f>
        <v>Upsize assumed</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98</v>
      </c>
      <c r="D5" s="5" t="s">
        <v>99</v>
      </c>
      <c r="E5" s="5" t="s">
        <v>100</v>
      </c>
      <c r="F5" s="5" t="s">
        <v>97</v>
      </c>
    </row>
    <row r="6" customFormat="false" ht="15" hidden="false" customHeight="false" outlineLevel="0" collapsed="false">
      <c r="C6" s="10" t="s">
        <v>101</v>
      </c>
      <c r="D6" s="14" t="n">
        <f aca="false">Inputs!$D$24</f>
        <v>18000</v>
      </c>
    </row>
    <row r="7" customFormat="false" ht="15" hidden="false" customHeight="false" outlineLevel="0" collapsed="false">
      <c r="C7" s="10" t="s">
        <v>102</v>
      </c>
      <c r="D7" s="14" t="n">
        <f aca="false">D6*Inputs!$D$25</f>
        <v>900</v>
      </c>
    </row>
    <row r="8" customFormat="false" ht="15" hidden="false" customHeight="false" outlineLevel="0" collapsed="false">
      <c r="C8" s="10" t="s">
        <v>103</v>
      </c>
      <c r="D8" s="7" t="n">
        <f aca="false">D6-D7</f>
        <v>17100</v>
      </c>
    </row>
    <row r="10" customFormat="false" ht="15" hidden="false" customHeight="false" outlineLevel="0" collapsed="false">
      <c r="C10" s="10" t="s">
        <v>104</v>
      </c>
      <c r="D10" s="14" t="n">
        <f aca="false">Inputs!$D$26</f>
        <v>1500</v>
      </c>
      <c r="E10" s="7" t="n">
        <f aca="false">MIN(D10,$D$8)</f>
        <v>1500</v>
      </c>
      <c r="F10" s="8" t="n">
        <f aca="false">E10/D10</f>
        <v>1</v>
      </c>
    </row>
    <row r="11" customFormat="false" ht="15" hidden="false" customHeight="false" outlineLevel="0" collapsed="false">
      <c r="C11" s="10" t="s">
        <v>105</v>
      </c>
      <c r="D11" s="14" t="n">
        <f aca="false">Liquidity!O16</f>
        <v>5400</v>
      </c>
      <c r="E11" s="7" t="n">
        <f aca="false">MIN(D11,MAX(0,$D$8-E10))</f>
        <v>5400</v>
      </c>
      <c r="F11" s="8" t="n">
        <f aca="false">E11/D11</f>
        <v>1</v>
      </c>
    </row>
    <row r="12" customFormat="false" ht="15" hidden="false" customHeight="false" outlineLevel="0" collapsed="false">
      <c r="C12" s="10" t="s">
        <v>73</v>
      </c>
      <c r="D12" s="14" t="n">
        <f aca="false">Inputs!$D$27</f>
        <v>16000</v>
      </c>
      <c r="E12" s="7" t="n">
        <f aca="false">MIN(D12,MAX(0,$D$8-SUM(E10:E11)))</f>
        <v>10200</v>
      </c>
      <c r="F12" s="8" t="n">
        <f aca="false">E12/D12</f>
        <v>0.6375</v>
      </c>
    </row>
    <row r="13" customFormat="false" ht="15" hidden="false" customHeight="false" outlineLevel="0" collapsed="false">
      <c r="C13" s="10" t="s">
        <v>106</v>
      </c>
      <c r="D13" s="14" t="n">
        <f aca="false">Inputs!$D$10</f>
        <v>1000</v>
      </c>
      <c r="E13" s="7" t="n">
        <f aca="false">MIN(D13,MAX(0,$D$8-SUM(E10:E12)))</f>
        <v>0</v>
      </c>
      <c r="F13" s="8" t="n">
        <f aca="false">E13/D13</f>
        <v>0</v>
      </c>
    </row>
    <row r="14" customFormat="false" ht="15" hidden="false" customHeight="false" outlineLevel="0" collapsed="false">
      <c r="C14" s="10" t="s">
        <v>107</v>
      </c>
      <c r="D14" s="7" t="n">
        <f aca="false">MAX(0,D8-SUM(E10:E13))</f>
        <v>0</v>
      </c>
    </row>
    <row r="16" customFormat="false" ht="15" hidden="false" customHeight="false" outlineLevel="0" collapsed="false">
      <c r="C16" s="10" t="s">
        <v>108</v>
      </c>
      <c r="D16" s="18" t="n">
        <f aca="false">D8-SUM(E10:E13)-D14</f>
        <v>0</v>
      </c>
    </row>
    <row r="18" customFormat="false" ht="15" hidden="false" customHeight="false" outlineLevel="0" collapsed="false">
      <c r="C18" s="10" t="s">
        <v>109</v>
      </c>
      <c r="D18" s="14" t="n">
        <f aca="false">SUM(D10:D12)/(1-Inputs!$D$25)</f>
        <v>24105.2631578947</v>
      </c>
    </row>
    <row r="19" customFormat="false" ht="15" hidden="false" customHeight="false" outlineLevel="0" collapsed="false">
      <c r="C19" s="10" t="s">
        <v>110</v>
      </c>
      <c r="D19" s="14" t="n">
        <f aca="false">(D10+D11+D12*Inputs!$D$13)/(1-Inputs!$D$25)</f>
        <v>18884.2105263158</v>
      </c>
    </row>
    <row r="22" customFormat="false" ht="30" hidden="false" customHeight="true" outlineLevel="0" collapsed="false">
      <c r="C22" s="17" t="s">
        <v>111</v>
      </c>
      <c r="D22" s="17"/>
      <c r="E22" s="17"/>
      <c r="F22" s="17"/>
      <c r="G22" s="17"/>
      <c r="H22" s="17"/>
      <c r="I22" s="17"/>
      <c r="J22" s="17"/>
      <c r="K22" s="17"/>
    </row>
    <row r="24" customFormat="false" ht="30" hidden="false" customHeight="true" outlineLevel="0" collapsed="false">
      <c r="C24" s="17" t="s">
        <v>112</v>
      </c>
      <c r="D24" s="17"/>
      <c r="E24" s="17"/>
      <c r="F24" s="17"/>
      <c r="G24" s="17"/>
      <c r="H24" s="17"/>
      <c r="I24" s="17"/>
      <c r="J24" s="17"/>
      <c r="K24" s="17"/>
    </row>
  </sheetData>
  <mergeCells count="3">
    <mergeCell ref="C3:K3"/>
    <mergeCell ref="C22:K22"/>
    <mergeCell ref="C24:K24"/>
  </mergeCells>
  <conditionalFormatting sqref="D6:O24">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15" min="4" style="0" width="16"/>
  </cols>
  <sheetData>
    <row r="2" customFormat="false" ht="19.7" hidden="false" customHeight="false" outlineLevel="0" collapsed="false">
      <c r="C2" s="1" t="s">
        <v>106</v>
      </c>
      <c r="I2" s="10" t="s">
        <v>1</v>
      </c>
      <c r="J2" s="3" t="str">
        <f aca="false">Inputs!D30</f>
        <v>Upsize assumed</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113</v>
      </c>
      <c r="D5" s="5" t="s">
        <v>18</v>
      </c>
    </row>
    <row r="6" customFormat="false" ht="15" hidden="false" customHeight="false" outlineLevel="0" collapsed="false">
      <c r="C6" s="10" t="s">
        <v>114</v>
      </c>
      <c r="D6" s="14" t="n">
        <f aca="false">Inputs!$D$10</f>
        <v>1000</v>
      </c>
    </row>
    <row r="7" customFormat="false" ht="15" hidden="false" customHeight="false" outlineLevel="0" collapsed="false">
      <c r="C7" s="10" t="s">
        <v>115</v>
      </c>
      <c r="D7" s="14" t="n">
        <f aca="false">D6*Inputs!$D$11</f>
        <v>59</v>
      </c>
    </row>
    <row r="8" customFormat="false" ht="15" hidden="false" customHeight="false" outlineLevel="0" collapsed="false">
      <c r="C8" s="10" t="s">
        <v>116</v>
      </c>
      <c r="D8" s="19" t="n">
        <f aca="false">D7/Inputs!$D$22</f>
        <v>0.00983333333333333</v>
      </c>
    </row>
    <row r="9" customFormat="false" ht="15" hidden="false" customHeight="false" outlineLevel="0" collapsed="false">
      <c r="C9" s="10" t="s">
        <v>117</v>
      </c>
      <c r="D9" s="14" t="n">
        <f aca="false">Inputs!$D$12</f>
        <v>150</v>
      </c>
    </row>
    <row r="10" customFormat="false" ht="15" hidden="false" customHeight="false" outlineLevel="0" collapsed="false">
      <c r="C10" s="10" t="s">
        <v>118</v>
      </c>
      <c r="D10" s="19" t="n">
        <f aca="false">D9/Inputs!$D$22</f>
        <v>0.025</v>
      </c>
    </row>
    <row r="11" customFormat="false" ht="15" hidden="false" customHeight="false" outlineLevel="0" collapsed="false">
      <c r="C11" s="10" t="s">
        <v>119</v>
      </c>
      <c r="D11" s="14" t="n">
        <f aca="false">Inputs!$D$22*Inputs!$D$23</f>
        <v>6000</v>
      </c>
    </row>
    <row r="12" customFormat="false" ht="15" hidden="false" customHeight="false" outlineLevel="0" collapsed="false">
      <c r="C12" s="10" t="s">
        <v>120</v>
      </c>
      <c r="D12" s="7" t="n">
        <f aca="false">D8*D11</f>
        <v>59</v>
      </c>
    </row>
    <row r="13" customFormat="false" ht="15" hidden="false" customHeight="false" outlineLevel="0" collapsed="false">
      <c r="C13" s="10" t="s">
        <v>121</v>
      </c>
      <c r="D13" s="7" t="n">
        <f aca="false">D10*D11</f>
        <v>150</v>
      </c>
    </row>
    <row r="14" customFormat="false" ht="15" hidden="false" customHeight="false" outlineLevel="0" collapsed="false">
      <c r="C14" s="10" t="s">
        <v>122</v>
      </c>
      <c r="D14" s="7" t="n">
        <f aca="false">SUM(D12:D13)-D9</f>
        <v>59</v>
      </c>
    </row>
    <row r="15" customFormat="false" ht="15" hidden="false" customHeight="false" outlineLevel="0" collapsed="false">
      <c r="C15" s="10" t="s">
        <v>123</v>
      </c>
      <c r="D15" s="8" t="n">
        <f aca="false">D12/D6</f>
        <v>0.059</v>
      </c>
    </row>
    <row r="17" customFormat="false" ht="15" hidden="false" customHeight="false" outlineLevel="0" collapsed="false">
      <c r="C17" s="10" t="s">
        <v>124</v>
      </c>
      <c r="D17" s="7" t="n">
        <f aca="false">D6/D8</f>
        <v>101694.915254237</v>
      </c>
    </row>
    <row r="20" customFormat="false" ht="30" hidden="false" customHeight="true" outlineLevel="0" collapsed="false">
      <c r="C20" s="17" t="s">
        <v>125</v>
      </c>
      <c r="D20" s="17"/>
      <c r="E20" s="17"/>
      <c r="F20" s="17"/>
      <c r="G20" s="17"/>
      <c r="H20" s="17"/>
      <c r="I20" s="17"/>
      <c r="J20" s="17"/>
      <c r="K20" s="17"/>
    </row>
    <row r="22" customFormat="false" ht="42" hidden="false" customHeight="true" outlineLevel="0" collapsed="false">
      <c r="C22" s="17" t="s">
        <v>126</v>
      </c>
      <c r="D22" s="17"/>
      <c r="E22" s="17"/>
      <c r="F22" s="17"/>
      <c r="G22" s="17"/>
      <c r="H22" s="17"/>
      <c r="I22" s="17"/>
      <c r="J22" s="17"/>
      <c r="K22" s="17"/>
    </row>
    <row r="25" customFormat="false" ht="15" hidden="false" customHeight="false" outlineLevel="0" collapsed="false">
      <c r="C25" s="5" t="s">
        <v>64</v>
      </c>
      <c r="D25" s="5" t="s">
        <v>127</v>
      </c>
      <c r="E25" s="5" t="s">
        <v>128</v>
      </c>
      <c r="F25" s="5" t="s">
        <v>129</v>
      </c>
      <c r="G25" s="5" t="s">
        <v>130</v>
      </c>
    </row>
    <row r="26" customFormat="false" ht="15" hidden="false" customHeight="false" outlineLevel="0" collapsed="false">
      <c r="C26" s="20" t="n">
        <v>0.5</v>
      </c>
      <c r="D26" s="7" t="n">
        <f aca="false">$D$7*C26</f>
        <v>29.5</v>
      </c>
      <c r="E26" s="7" t="n">
        <f aca="false">$D$9*C26</f>
        <v>75</v>
      </c>
      <c r="F26" s="7" t="n">
        <f aca="false">SUM(D26:E26)-$D$9</f>
        <v>-45.5</v>
      </c>
      <c r="G26" s="8" t="n">
        <f aca="false">D26/$D$6</f>
        <v>0.0295</v>
      </c>
    </row>
    <row r="27" customFormat="false" ht="15" hidden="false" customHeight="false" outlineLevel="0" collapsed="false">
      <c r="C27" s="20" t="n">
        <v>1</v>
      </c>
      <c r="D27" s="7" t="n">
        <f aca="false">$D$7*C27</f>
        <v>59</v>
      </c>
      <c r="E27" s="7" t="n">
        <f aca="false">$D$9*C27</f>
        <v>150</v>
      </c>
      <c r="F27" s="7" t="n">
        <f aca="false">SUM(D27:E27)-$D$9</f>
        <v>59</v>
      </c>
      <c r="G27" s="8" t="n">
        <f aca="false">D27/$D$6</f>
        <v>0.059</v>
      </c>
    </row>
    <row r="28" customFormat="false" ht="15" hidden="false" customHeight="false" outlineLevel="0" collapsed="false">
      <c r="C28" s="20" t="n">
        <v>1.5</v>
      </c>
      <c r="D28" s="7" t="n">
        <f aca="false">$D$7*C28</f>
        <v>88.5</v>
      </c>
      <c r="E28" s="7" t="n">
        <f aca="false">$D$9*C28</f>
        <v>225</v>
      </c>
      <c r="F28" s="7" t="n">
        <f aca="false">SUM(D28:E28)-$D$9</f>
        <v>163.5</v>
      </c>
      <c r="G28" s="8" t="n">
        <f aca="false">D28/$D$6</f>
        <v>0.0885</v>
      </c>
    </row>
    <row r="31" customFormat="false" ht="30" hidden="false" customHeight="true" outlineLevel="0" collapsed="false">
      <c r="C31" s="17" t="s">
        <v>131</v>
      </c>
      <c r="D31" s="17"/>
      <c r="E31" s="17"/>
      <c r="F31" s="17"/>
      <c r="G31" s="17"/>
      <c r="H31" s="17"/>
      <c r="I31" s="17"/>
      <c r="J31" s="17"/>
      <c r="K31" s="17"/>
    </row>
  </sheetData>
  <mergeCells count="4">
    <mergeCell ref="C3:K3"/>
    <mergeCell ref="C20:K20"/>
    <mergeCell ref="C22:K22"/>
    <mergeCell ref="C31:K31"/>
  </mergeCells>
  <conditionalFormatting sqref="D6:O31">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15" min="4" style="0" width="16"/>
  </cols>
  <sheetData>
    <row r="2" customFormat="false" ht="19.7" hidden="false" customHeight="false" outlineLevel="0" collapsed="false">
      <c r="C2" s="1" t="s">
        <v>132</v>
      </c>
      <c r="I2" s="10" t="s">
        <v>1</v>
      </c>
      <c r="J2" s="3" t="str">
        <f aca="false">Inputs!D30</f>
        <v>Upsize assumed</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133</v>
      </c>
      <c r="D5" s="21" t="n">
        <v>0</v>
      </c>
      <c r="E5" s="21" t="n">
        <v>0.05</v>
      </c>
      <c r="F5" s="21" t="n">
        <v>0.1</v>
      </c>
    </row>
    <row r="6" customFormat="false" ht="15" hidden="false" customHeight="false" outlineLevel="0" collapsed="false">
      <c r="C6" s="22" t="n">
        <v>12000</v>
      </c>
      <c r="D6" s="19" t="n">
        <f aca="false">MAX(0,MIN(1,($C6*(1-D$5)-Recovery!$D$10-Recovery!$D$11)/Recovery!$D$12))</f>
        <v>0.31875</v>
      </c>
      <c r="E6" s="19" t="n">
        <f aca="false">MAX(0,MIN(1,($C6*(1-E$5)-Recovery!$D$10-Recovery!$D$11)/Recovery!$D$12))</f>
        <v>0.28125</v>
      </c>
      <c r="F6" s="19" t="n">
        <f aca="false">MAX(0,MIN(1,($C6*(1-F$5)-Recovery!$D$10-Recovery!$D$11)/Recovery!$D$12))</f>
        <v>0.24375</v>
      </c>
    </row>
    <row r="7" customFormat="false" ht="15" hidden="false" customHeight="false" outlineLevel="0" collapsed="false">
      <c r="C7" s="22" t="n">
        <v>15000</v>
      </c>
      <c r="D7" s="19" t="n">
        <f aca="false">MAX(0,MIN(1,($C7*(1-D$5)-Recovery!$D$10-Recovery!$D$11)/Recovery!$D$12))</f>
        <v>0.50625</v>
      </c>
      <c r="E7" s="19" t="n">
        <f aca="false">MAX(0,MIN(1,($C7*(1-E$5)-Recovery!$D$10-Recovery!$D$11)/Recovery!$D$12))</f>
        <v>0.459375</v>
      </c>
      <c r="F7" s="19" t="n">
        <f aca="false">MAX(0,MIN(1,($C7*(1-F$5)-Recovery!$D$10-Recovery!$D$11)/Recovery!$D$12))</f>
        <v>0.4125</v>
      </c>
    </row>
    <row r="8" customFormat="false" ht="15" hidden="false" customHeight="false" outlineLevel="0" collapsed="false">
      <c r="C8" s="22" t="n">
        <v>18000</v>
      </c>
      <c r="D8" s="19" t="n">
        <f aca="false">MAX(0,MIN(1,($C8*(1-D$5)-Recovery!$D$10-Recovery!$D$11)/Recovery!$D$12))</f>
        <v>0.69375</v>
      </c>
      <c r="E8" s="19" t="n">
        <f aca="false">MAX(0,MIN(1,($C8*(1-E$5)-Recovery!$D$10-Recovery!$D$11)/Recovery!$D$12))</f>
        <v>0.6375</v>
      </c>
      <c r="F8" s="19" t="n">
        <f aca="false">MAX(0,MIN(1,($C8*(1-F$5)-Recovery!$D$10-Recovery!$D$11)/Recovery!$D$12))</f>
        <v>0.58125</v>
      </c>
    </row>
    <row r="9" customFormat="false" ht="15" hidden="false" customHeight="false" outlineLevel="0" collapsed="false">
      <c r="C9" s="22" t="n">
        <v>21000</v>
      </c>
      <c r="D9" s="19" t="n">
        <f aca="false">MAX(0,MIN(1,($C9*(1-D$5)-Recovery!$D$10-Recovery!$D$11)/Recovery!$D$12))</f>
        <v>0.88125</v>
      </c>
      <c r="E9" s="19" t="n">
        <f aca="false">MAX(0,MIN(1,($C9*(1-E$5)-Recovery!$D$10-Recovery!$D$11)/Recovery!$D$12))</f>
        <v>0.815625</v>
      </c>
      <c r="F9" s="19" t="n">
        <f aca="false">MAX(0,MIN(1,($C9*(1-F$5)-Recovery!$D$10-Recovery!$D$11)/Recovery!$D$12))</f>
        <v>0.75</v>
      </c>
    </row>
    <row r="10" customFormat="false" ht="15" hidden="false" customHeight="false" outlineLevel="0" collapsed="false">
      <c r="C10" s="22" t="n">
        <v>24000</v>
      </c>
      <c r="D10" s="19" t="n">
        <f aca="false">MAX(0,MIN(1,($C10*(1-D$5)-Recovery!$D$10-Recovery!$D$11)/Recovery!$D$12))</f>
        <v>1</v>
      </c>
      <c r="E10" s="19" t="n">
        <f aca="false">MAX(0,MIN(1,($C10*(1-E$5)-Recovery!$D$10-Recovery!$D$11)/Recovery!$D$12))</f>
        <v>0.99375</v>
      </c>
      <c r="F10" s="19" t="n">
        <f aca="false">MAX(0,MIN(1,($C10*(1-F$5)-Recovery!$D$10-Recovery!$D$11)/Recovery!$D$12))</f>
        <v>0.91875</v>
      </c>
    </row>
    <row r="11" customFormat="false" ht="15" hidden="false" customHeight="false" outlineLevel="0" collapsed="false">
      <c r="C11" s="22" t="n">
        <v>27000</v>
      </c>
      <c r="D11" s="19" t="n">
        <f aca="false">MAX(0,MIN(1,($C11*(1-D$5)-Recovery!$D$10-Recovery!$D$11)/Recovery!$D$12))</f>
        <v>1</v>
      </c>
      <c r="E11" s="19" t="n">
        <f aca="false">MAX(0,MIN(1,($C11*(1-E$5)-Recovery!$D$10-Recovery!$D$11)/Recovery!$D$12))</f>
        <v>1</v>
      </c>
      <c r="F11" s="19" t="n">
        <f aca="false">MAX(0,MIN(1,($C11*(1-F$5)-Recovery!$D$10-Recovery!$D$11)/Recovery!$D$12))</f>
        <v>1</v>
      </c>
    </row>
    <row r="14" customFormat="false" ht="30" hidden="false" customHeight="true" outlineLevel="0" collapsed="false">
      <c r="C14" s="17" t="s">
        <v>134</v>
      </c>
      <c r="D14" s="17"/>
      <c r="E14" s="17"/>
      <c r="F14" s="17"/>
      <c r="G14" s="17"/>
      <c r="H14" s="17"/>
      <c r="I14" s="17"/>
      <c r="J14" s="17"/>
      <c r="K14" s="17"/>
    </row>
  </sheetData>
  <mergeCells count="2">
    <mergeCell ref="C3:K3"/>
    <mergeCell ref="C14:K14"/>
  </mergeCells>
  <conditionalFormatting sqref="D6:F11">
    <cfRule type="colorScale" priority="2">
      <colorScale>
        <cfvo type="num" val="0"/>
        <cfvo type="num" val="1"/>
        <color rgb="FFF3D5D3"/>
        <color rgb="FFD5E6D8"/>
      </colorScale>
    </cfRule>
  </conditionalFormatting>
  <conditionalFormatting sqref="D6:O14">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4" min="4" style="0" width="90"/>
    <col collapsed="false" customWidth="true" hidden="false" outlineLevel="0" max="5" min="5" style="0" width="100"/>
    <col collapsed="false" customWidth="true" hidden="false" outlineLevel="0" max="15" min="6" style="0" width="16"/>
  </cols>
  <sheetData>
    <row r="2" customFormat="false" ht="19.7" hidden="false" customHeight="false" outlineLevel="0" collapsed="false">
      <c r="C2" s="1" t="s">
        <v>135</v>
      </c>
    </row>
    <row r="3" customFormat="false" ht="15" hidden="false" customHeight="false" outlineLevel="0" collapsed="false">
      <c r="C3" s="4" t="s">
        <v>2</v>
      </c>
      <c r="D3" s="4"/>
      <c r="E3" s="4"/>
      <c r="F3" s="4"/>
      <c r="G3" s="4"/>
      <c r="H3" s="4"/>
      <c r="I3" s="4"/>
      <c r="J3" s="4"/>
      <c r="K3" s="4"/>
    </row>
    <row r="5" customFormat="false" ht="15" hidden="false" customHeight="false" outlineLevel="0" collapsed="false">
      <c r="C5" s="5" t="s">
        <v>136</v>
      </c>
      <c r="D5" s="5" t="s">
        <v>137</v>
      </c>
      <c r="E5" s="5" t="s">
        <v>138</v>
      </c>
    </row>
    <row r="6" customFormat="false" ht="75" hidden="false" customHeight="true" outlineLevel="0" collapsed="false">
      <c r="C6" s="10" t="s">
        <v>139</v>
      </c>
      <c r="D6" s="12" t="s">
        <v>140</v>
      </c>
      <c r="E6" s="12" t="s">
        <v>141</v>
      </c>
    </row>
    <row r="7" customFormat="false" ht="75" hidden="false" customHeight="true" outlineLevel="0" collapsed="false">
      <c r="C7" s="10" t="s">
        <v>142</v>
      </c>
      <c r="D7" s="12" t="s">
        <v>143</v>
      </c>
      <c r="E7" s="12" t="s">
        <v>144</v>
      </c>
    </row>
    <row r="8" customFormat="false" ht="75" hidden="false" customHeight="true" outlineLevel="0" collapsed="false">
      <c r="C8" s="10" t="s">
        <v>145</v>
      </c>
      <c r="D8" s="12" t="s">
        <v>146</v>
      </c>
      <c r="E8" s="12" t="s">
        <v>147</v>
      </c>
    </row>
  </sheetData>
  <mergeCells count="1">
    <mergeCell ref="C3:K3"/>
  </mergeCells>
  <conditionalFormatting sqref="D6:O8">
    <cfRule type="cellIs" priority="2" operator="lessThan" aboveAverage="0" equalAverage="0" bottom="0" percent="0" rank="0" text="" dxfId="0">
      <formula>0</formula>
    </cfRule>
  </conditionalFormatting>
  <hyperlinks>
    <hyperlink ref="E6" r:id="rId1" display="https://www.thameswater.co.uk/news/2026/oct/twul-sixteenth-consent-requests-results"/>
    <hyperlink ref="E7" r:id="rId2" display="https://www.thameswater.co.uk/news/2026/oct/class-b-creditors-update"/>
    <hyperlink ref="E8" r:id="rId3" display="https://www.thameswater.co.uk/media-library/2tad3w44/annual-report-2025-26.pdf"/>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2026-10-27T21:37:50Z</dcterms:created>
  <dc:creator>openpyxl</dc:creator>
  <dc:description/>
  <dc:language>en-GB</dc:language>
  <cp:lastModifiedBy/>
  <dcterms:modified xsi:type="dcterms:W3CDTF">2026-10-27T21:37:50Z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