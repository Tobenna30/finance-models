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Backtest" sheetId="3" state="visible" r:id="rId5"/>
    <sheet name="Performance" sheetId="4" state="visible" r:id="rId6"/>
    <sheet name="Walk forward" sheetId="5" state="visible" r:id="rId7"/>
    <sheet name="Sensitivity" sheetId="6" state="visible" r:id="rId8"/>
    <sheet name="Drawdowns" sheetId="7" state="visible" r:id="rId9"/>
    <sheet name="Data" sheetId="8" state="visible" r:id="rId10"/>
    <sheet name="Sources" sheetId="9" state="visible" r:id="rId11"/>
  </sheets>
  <definedNames>
    <definedName function="false" hidden="true" localSheetId="2" name="_xlnm._FilterDatabase" vbProcedure="false">Backtest!$A$1:$K$766</definedName>
    <definedName function="false" hidden="true" localSheetId="0" name="_xlnm._FilterDatabase" vbProcedure="false">Cover!$A$1:$B$10</definedName>
    <definedName function="false" hidden="true" localSheetId="7" name="_xlnm._FilterDatabase" vbProcedure="false">Data!$A$1:$L$766</definedName>
    <definedName function="false" hidden="true" localSheetId="6" name="_xlnm._FilterDatabase" vbProcedure="false">Drawdowns!$A$1:$D$13</definedName>
    <definedName function="false" hidden="true" localSheetId="1" name="_xlnm._FilterDatabase" vbProcedure="false">Inputs!$A$1:$C$11</definedName>
    <definedName function="false" hidden="true" localSheetId="3" name="_xlnm._FilterDatabase" vbProcedure="false">Performance!$A$1:$J$4</definedName>
    <definedName function="false" hidden="true" localSheetId="5" name="_xlnm._FilterDatabase" vbProcedure="false">Sensitivity!$A$1:$E$14</definedName>
    <definedName function="false" hidden="true" localSheetId="8" name="_xlnm._FilterDatabase" vbProcedure="false">Sources!$A$1:$B$12</definedName>
    <definedName function="false" hidden="true" localSheetId="4" name="_xlnm._FilterDatabase" vbProcedure="false">'Walk forward'!$A$1:$H$28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<sst xmlns="http://schemas.openxmlformats.org/spreadsheetml/2006/main" count="934" uniqueCount="888">
  <si>
    <t xml:space="preserve">US 12–1 momentum</t>
  </si>
  <si>
    <t xml:space="preserve">28 October 2026 / data through September</t>
  </si>
  <si>
    <t xml:space="preserve">Verdict</t>
  </si>
  <si>
    <t xml:space="preserve">Reject standalone strategy under base costs</t>
  </si>
  <si>
    <t xml:space="preserve">Design net Sharpe</t>
  </si>
  <si>
    <t xml:space="preserve">Evaluation net Sharpe</t>
  </si>
  <si>
    <t xml:space="preserve">Annual execution + borrow</t>
  </si>
  <si>
    <t xml:space="preserve">Full-history monthly drawdown</t>
  </si>
  <si>
    <t xml:space="preserve">Gross return correlation to Mom</t>
  </si>
  <si>
    <t xml:space="preserve">Data scope</t>
  </si>
  <si>
    <t xml:space="preserve">Published monthly historical-universe deciles; no independent stock-level signals</t>
  </si>
  <si>
    <t xml:space="preserve">Turnover</t>
  </si>
  <si>
    <t xml:space="preserve">50% per leg assumed, not observed</t>
  </si>
  <si>
    <t xml:space="preserve">Test scope</t>
  </si>
  <si>
    <t xml:space="preserve">Historical split and expanding annual review; not a prospective preregistered test</t>
  </si>
  <si>
    <t xml:space="preserve">Driver</t>
  </si>
  <si>
    <t xml:space="preserve">Value</t>
  </si>
  <si>
    <t xml:space="preserve">S/A/D / interpretation</t>
  </si>
  <si>
    <t xml:space="preserve">Absolute weight per leg</t>
  </si>
  <si>
    <t xml:space="preserve">A: 50% long winners, 50% short losers</t>
  </si>
  <si>
    <t xml:space="preserve">Execution bp per traded notional</t>
  </si>
  <si>
    <t xml:space="preserve">A: buys and sells charged</t>
  </si>
  <si>
    <t xml:space="preserve">One-way monthly turnover per leg</t>
  </si>
  <si>
    <t xml:space="preserve">A: 50% replacement; not measured</t>
  </si>
  <si>
    <t xml:space="preserve">Annual borrow rate</t>
  </si>
  <si>
    <t xml:space="preserve">A: charged on short weight</t>
  </si>
  <si>
    <t xml:space="preserve">Annualisation months</t>
  </si>
  <si>
    <t xml:space="preserve">A</t>
  </si>
  <si>
    <t xml:space="preserve">Design end</t>
  </si>
  <si>
    <t xml:space="preserve">1999-12</t>
  </si>
  <si>
    <t xml:space="preserve">A: fixed split</t>
  </si>
  <si>
    <t xml:space="preserve">Evaluation start</t>
  </si>
  <si>
    <t xml:space="preserve">2000-01</t>
  </si>
  <si>
    <t xml:space="preserve">D: next month</t>
  </si>
  <si>
    <t xml:space="preserve">Source end</t>
  </si>
  <si>
    <t xml:space="preserve">2026-09</t>
  </si>
  <si>
    <t xml:space="preserve">S: 202609 CRSP release</t>
  </si>
  <si>
    <t xml:space="preserve">Gross / net exposure</t>
  </si>
  <si>
    <t xml:space="preserve">Traded notional per NAV</t>
  </si>
  <si>
    <t xml:space="preserve">D: buys plus sells, both legs</t>
  </si>
  <si>
    <t xml:space="preserve">Month</t>
  </si>
  <si>
    <t xml:space="preserve">Winner</t>
  </si>
  <si>
    <t xml:space="preserve">Loser</t>
  </si>
  <si>
    <t xml:space="preserve">Gross excess</t>
  </si>
  <si>
    <t xml:space="preserve">Execution cost</t>
  </si>
  <si>
    <t xml:space="preserve">Borrow cost</t>
  </si>
  <si>
    <t xml:space="preserve">Net excess</t>
  </si>
  <si>
    <t xml:space="preserve">P&amp;L index</t>
  </si>
  <si>
    <t xml:space="preserve">High water</t>
  </si>
  <si>
    <t xml:space="preserve">Drawdown</t>
  </si>
  <si>
    <t xml:space="preserve">Published Mom</t>
  </si>
  <si>
    <t xml:space="preserve">Sample</t>
  </si>
  <si>
    <t xml:space="preserve">N months</t>
  </si>
  <si>
    <t xml:space="preserve">Net Sharpe</t>
  </si>
  <si>
    <t xml:space="preserve">Annual net mean</t>
  </si>
  <si>
    <t xml:space="preserve">Annual net vol</t>
  </si>
  <si>
    <t xml:space="preserve">Net CAGR</t>
  </si>
  <si>
    <t xml:space="preserve">Execution drag</t>
  </si>
  <si>
    <t xml:space="preserve">Borrow drag</t>
  </si>
  <si>
    <t xml:space="preserve">Gross vs Mom corr</t>
  </si>
  <si>
    <t xml:space="preserve">Worst monthly DD</t>
  </si>
  <si>
    <t xml:space="preserve">Design</t>
  </si>
  <si>
    <t xml:space="preserve">Evaluation</t>
  </si>
  <si>
    <t xml:space="preserve">Full</t>
  </si>
  <si>
    <t xml:space="preserve">Year</t>
  </si>
  <si>
    <t xml:space="preserve">Training end</t>
  </si>
  <si>
    <t xml:space="preserve">Train months</t>
  </si>
  <si>
    <t xml:space="preserve">Train Sharpe</t>
  </si>
  <si>
    <t xml:space="preserve">Train ann vol</t>
  </si>
  <si>
    <t xml:space="preserve">Test months</t>
  </si>
  <si>
    <t xml:space="preserve">Test return</t>
  </si>
  <si>
    <t xml:space="preserve">Test ann vol</t>
  </si>
  <si>
    <t xml:space="preserve">2000-12</t>
  </si>
  <si>
    <t xml:space="preserve">2001-12</t>
  </si>
  <si>
    <t xml:space="preserve">2002-12</t>
  </si>
  <si>
    <t xml:space="preserve">2003-12</t>
  </si>
  <si>
    <t xml:space="preserve">2004-12</t>
  </si>
  <si>
    <t xml:space="preserve">2005-12</t>
  </si>
  <si>
    <t xml:space="preserve">2006-12</t>
  </si>
  <si>
    <t xml:space="preserve">2007-12</t>
  </si>
  <si>
    <t xml:space="preserve">2008-12</t>
  </si>
  <si>
    <t xml:space="preserve">2009-12</t>
  </si>
  <si>
    <t xml:space="preserve">2010-12</t>
  </si>
  <si>
    <t xml:space="preserve">2011-12</t>
  </si>
  <si>
    <t xml:space="preserve">2012-12</t>
  </si>
  <si>
    <t xml:space="preserve">2013-12</t>
  </si>
  <si>
    <t xml:space="preserve">2014-12</t>
  </si>
  <si>
    <t xml:space="preserve">2015-12</t>
  </si>
  <si>
    <t xml:space="preserve">2016-12</t>
  </si>
  <si>
    <t xml:space="preserve">2017-12</t>
  </si>
  <si>
    <t xml:space="preserve">2018-12</t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</si>
  <si>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</si>
  <si>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</si>
  <si>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</si>
  <si>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</si>
  <si>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</si>
  <si>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</si>
  <si>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t xml:space="preserve">2025-12</t>
  </si>
  <si>
    <t xml:space="preserve">Turnover one-way A</t>
  </si>
  <si>
    <t xml:space="preserve">Execution bp A</t>
  </si>
  <si>
    <t xml:space="preserve">Monthly all-in drag</t>
  </si>
  <si>
    <t xml:space="preserve">OOS net Sharpe</t>
  </si>
  <si>
    <t xml:space="preserve">Annual all-in drag</t>
  </si>
  <si>
    <t xml:space="preserve">Base-turnover execution break-even bp</t>
  </si>
  <si>
    <t xml:space="preserve">Peak</t>
  </si>
  <si>
    <t xml:space="preserve">Trough</t>
  </si>
  <si>
    <t xml:space="preserve">Recovery</t>
  </si>
  <si>
    <t xml:space="preserve">Net drawdown D</t>
  </si>
  <si>
    <t xml:space="preserve">2009-02</t>
  </si>
  <si>
    <t xml:space="preserve">2021-05</t>
  </si>
  <si>
    <t xml:space="preserve">Not recovered by 2026-09</t>
  </si>
  <si>
    <t xml:space="preserve">2002-09</t>
  </si>
  <si>
    <t xml:space="preserve">2007-02</t>
  </si>
  <si>
    <t xml:space="preserve">2008-11</t>
  </si>
  <si>
    <t xml:space="preserve">2001-01</t>
  </si>
  <si>
    <t xml:space="preserve">2001-09</t>
  </si>
  <si>
    <t xml:space="preserve">1980-11</t>
  </si>
  <si>
    <t xml:space="preserve">1981-08</t>
  </si>
  <si>
    <t xml:space="preserve">1982-09</t>
  </si>
  <si>
    <t xml:space="preserve">1999-02</t>
  </si>
  <si>
    <t xml:space="preserve">1999-05</t>
  </si>
  <si>
    <t xml:space="preserve">1999-11</t>
  </si>
  <si>
    <t xml:space="preserve">Worst calendar years</t>
  </si>
  <si>
    <t xml:space="preserve">Net return D</t>
  </si>
  <si>
    <t xml:space="preserve">Months</t>
  </si>
  <si>
    <t xml:space="preserve">2009</t>
  </si>
  <si>
    <t xml:space="preserve">2021</t>
  </si>
  <si>
    <t xml:space="preserve">2016</t>
  </si>
  <si>
    <t xml:space="preserve">2003</t>
  </si>
  <si>
    <t xml:space="preserve">2023</t>
  </si>
  <si>
    <t xml:space="preserve">Episodes are fixed Python research output. Rerun engine if changing costs; live full-history minimum is Performance!J4.</t>
  </si>
  <si>
    <t xml:space="preserve">Decile 1</t>
  </si>
  <si>
    <t xml:space="preserve">Decile 2</t>
  </si>
  <si>
    <t xml:space="preserve">Decile 3</t>
  </si>
  <si>
    <t xml:space="preserve">Decile 4</t>
  </si>
  <si>
    <t xml:space="preserve">Decile 5</t>
  </si>
  <si>
    <t xml:space="preserve">Decile 6</t>
  </si>
  <si>
    <t xml:space="preserve">Decile 7</t>
  </si>
  <si>
    <t xml:space="preserve">Decile 8</t>
  </si>
  <si>
    <t xml:space="preserve">Decile 9</t>
  </si>
  <si>
    <t xml:space="preserve">Decile 10</t>
  </si>
  <si>
    <t xml:space="preserve">1963-01</t>
  </si>
  <si>
    <t xml:space="preserve">1963-02</t>
  </si>
  <si>
    <t xml:space="preserve">1963-03</t>
  </si>
  <si>
    <t xml:space="preserve">1963-04</t>
  </si>
  <si>
    <t xml:space="preserve">1963-05</t>
  </si>
  <si>
    <t xml:space="preserve">1963-06</t>
  </si>
  <si>
    <t xml:space="preserve">1963-07</t>
  </si>
  <si>
    <t xml:space="preserve">1963-08</t>
  </si>
  <si>
    <t xml:space="preserve">1963-09</t>
  </si>
  <si>
    <t xml:space="preserve">1963-10</t>
  </si>
  <si>
    <t xml:space="preserve">1963-11</t>
  </si>
  <si>
    <t xml:space="preserve">1963-12</t>
  </si>
  <si>
    <t xml:space="preserve">1964-01</t>
  </si>
  <si>
    <t xml:space="preserve">1964-02</t>
  </si>
  <si>
    <t xml:space="preserve">1964-03</t>
  </si>
  <si>
    <t xml:space="preserve">1964-04</t>
  </si>
  <si>
    <t xml:space="preserve">1964-05</t>
  </si>
  <si>
    <t xml:space="preserve">1964-06</t>
  </si>
  <si>
    <t xml:space="preserve">1964-07</t>
  </si>
  <si>
    <t xml:space="preserve">1964-08</t>
  </si>
  <si>
    <t xml:space="preserve">1964-09</t>
  </si>
  <si>
    <t xml:space="preserve">1964-10</t>
  </si>
  <si>
    <t xml:space="preserve">1964-11</t>
  </si>
  <si>
    <t xml:space="preserve">1964-12</t>
  </si>
  <si>
    <t xml:space="preserve">1965-01</t>
  </si>
  <si>
    <t xml:space="preserve">1965-02</t>
  </si>
  <si>
    <t xml:space="preserve">1965-03</t>
  </si>
  <si>
    <t xml:space="preserve">1965-04</t>
  </si>
  <si>
    <t xml:space="preserve">1965-05</t>
  </si>
  <si>
    <t xml:space="preserve">1965-06</t>
  </si>
  <si>
    <t xml:space="preserve">1965-07</t>
  </si>
  <si>
    <t xml:space="preserve">1965-08</t>
  </si>
  <si>
    <t xml:space="preserve">1965-09</t>
  </si>
  <si>
    <t xml:space="preserve">1965-10</t>
  </si>
  <si>
    <t xml:space="preserve">1965-11</t>
  </si>
  <si>
    <t xml:space="preserve">1965-12</t>
  </si>
  <si>
    <t xml:space="preserve">1966-01</t>
  </si>
  <si>
    <t xml:space="preserve">1966-02</t>
  </si>
  <si>
    <t xml:space="preserve">1966-03</t>
  </si>
  <si>
    <t xml:space="preserve">1966-04</t>
  </si>
  <si>
    <t xml:space="preserve">1966-05</t>
  </si>
  <si>
    <t xml:space="preserve">1966-06</t>
  </si>
  <si>
    <t xml:space="preserve">1966-07</t>
  </si>
  <si>
    <t xml:space="preserve">1966-08</t>
  </si>
  <si>
    <t xml:space="preserve">1966-09</t>
  </si>
  <si>
    <t xml:space="preserve">1966-10</t>
  </si>
  <si>
    <t xml:space="preserve">1966-11</t>
  </si>
  <si>
    <t xml:space="preserve">1966-12</t>
  </si>
  <si>
    <t xml:space="preserve">1967-01</t>
  </si>
  <si>
    <t xml:space="preserve">1967-02</t>
  </si>
  <si>
    <t xml:space="preserve">1967-03</t>
  </si>
  <si>
    <t xml:space="preserve">1967-04</t>
  </si>
  <si>
    <t xml:space="preserve">1967-05</t>
  </si>
  <si>
    <t xml:space="preserve">1967-06</t>
  </si>
  <si>
    <t xml:space="preserve">1967-07</t>
  </si>
  <si>
    <t xml:space="preserve">1967-08</t>
  </si>
  <si>
    <t xml:space="preserve">1967-09</t>
  </si>
  <si>
    <t xml:space="preserve">1967-10</t>
  </si>
  <si>
    <t xml:space="preserve">1967-11</t>
  </si>
  <si>
    <t xml:space="preserve">1967-12</t>
  </si>
  <si>
    <t xml:space="preserve">1968-01</t>
  </si>
  <si>
    <t xml:space="preserve">1968-02</t>
  </si>
  <si>
    <t xml:space="preserve">1968-03</t>
  </si>
  <si>
    <t xml:space="preserve">1968-04</t>
  </si>
  <si>
    <t xml:space="preserve">1968-05</t>
  </si>
  <si>
    <t xml:space="preserve">1968-06</t>
  </si>
  <si>
    <t xml:space="preserve">1968-07</t>
  </si>
  <si>
    <t xml:space="preserve">1968-08</t>
  </si>
  <si>
    <t xml:space="preserve">1968-09</t>
  </si>
  <si>
    <t xml:space="preserve">1968-10</t>
  </si>
  <si>
    <t xml:space="preserve">1968-11</t>
  </si>
  <si>
    <t xml:space="preserve">1968-12</t>
  </si>
  <si>
    <t xml:space="preserve">1969-01</t>
  </si>
  <si>
    <t xml:space="preserve">1969-02</t>
  </si>
  <si>
    <t xml:space="preserve">1969-03</t>
  </si>
  <si>
    <t xml:space="preserve">1969-04</t>
  </si>
  <si>
    <t xml:space="preserve">1969-05</t>
  </si>
  <si>
    <t xml:space="preserve">1969-06</t>
  </si>
  <si>
    <t xml:space="preserve">1969-07</t>
  </si>
  <si>
    <t xml:space="preserve">1969-08</t>
  </si>
  <si>
    <t xml:space="preserve">1969-09</t>
  </si>
  <si>
    <t xml:space="preserve">1969-10</t>
  </si>
  <si>
    <t xml:space="preserve">1969-11</t>
  </si>
  <si>
    <t xml:space="preserve">1969-12</t>
  </si>
  <si>
    <t xml:space="preserve">1970-01</t>
  </si>
  <si>
    <t xml:space="preserve">1970-02</t>
  </si>
  <si>
    <t xml:space="preserve">1970-03</t>
  </si>
  <si>
    <t xml:space="preserve">1970-04</t>
  </si>
  <si>
    <t xml:space="preserve">1970-05</t>
  </si>
  <si>
    <t xml:space="preserve">1970-06</t>
  </si>
  <si>
    <t xml:space="preserve">1970-07</t>
  </si>
  <si>
    <t xml:space="preserve">1970-08</t>
  </si>
  <si>
    <t xml:space="preserve">1970-09</t>
  </si>
  <si>
    <t xml:space="preserve">1970-10</t>
  </si>
  <si>
    <t xml:space="preserve">1970-11</t>
  </si>
  <si>
    <t xml:space="preserve">1970-12</t>
  </si>
  <si>
    <t xml:space="preserve">1971-01</t>
  </si>
  <si>
    <t xml:space="preserve">1971-02</t>
  </si>
  <si>
    <t xml:space="preserve">1971-03</t>
  </si>
  <si>
    <t xml:space="preserve">1971-04</t>
  </si>
  <si>
    <t xml:space="preserve">1971-05</t>
  </si>
  <si>
    <t xml:space="preserve">1971-06</t>
  </si>
  <si>
    <t xml:space="preserve">1971-07</t>
  </si>
  <si>
    <t xml:space="preserve">1971-08</t>
  </si>
  <si>
    <t xml:space="preserve">1971-09</t>
  </si>
  <si>
    <t xml:space="preserve">1971-10</t>
  </si>
  <si>
    <t xml:space="preserve">1971-11</t>
  </si>
  <si>
    <t xml:space="preserve">1971-12</t>
  </si>
  <si>
    <t xml:space="preserve">1972-01</t>
  </si>
  <si>
    <t xml:space="preserve">1972-02</t>
  </si>
  <si>
    <t xml:space="preserve">1972-03</t>
  </si>
  <si>
    <t xml:space="preserve">1972-04</t>
  </si>
  <si>
    <t xml:space="preserve">1972-05</t>
  </si>
  <si>
    <t xml:space="preserve">1972-06</t>
  </si>
  <si>
    <t xml:space="preserve">1972-07</t>
  </si>
  <si>
    <t xml:space="preserve">1972-08</t>
  </si>
  <si>
    <t xml:space="preserve">1972-09</t>
  </si>
  <si>
    <t xml:space="preserve">1972-10</t>
  </si>
  <si>
    <t xml:space="preserve">1972-11</t>
  </si>
  <si>
    <t xml:space="preserve">1972-12</t>
  </si>
  <si>
    <t xml:space="preserve">1973-01</t>
  </si>
  <si>
    <t xml:space="preserve">1973-02</t>
  </si>
  <si>
    <t xml:space="preserve">1973-03</t>
  </si>
  <si>
    <t xml:space="preserve">1973-04</t>
  </si>
  <si>
    <t xml:space="preserve">1973-05</t>
  </si>
  <si>
    <t xml:space="preserve">1973-06</t>
  </si>
  <si>
    <t xml:space="preserve">1973-07</t>
  </si>
  <si>
    <t xml:space="preserve">1973-08</t>
  </si>
  <si>
    <t xml:space="preserve">1973-09</t>
  </si>
  <si>
    <t xml:space="preserve">1973-10</t>
  </si>
  <si>
    <t xml:space="preserve">1973-11</t>
  </si>
  <si>
    <t xml:space="preserve">1973-12</t>
  </si>
  <si>
    <t xml:space="preserve">1974-01</t>
  </si>
  <si>
    <t xml:space="preserve">1974-02</t>
  </si>
  <si>
    <t xml:space="preserve">1974-03</t>
  </si>
  <si>
    <t xml:space="preserve">1974-04</t>
  </si>
  <si>
    <t xml:space="preserve">1974-05</t>
  </si>
  <si>
    <t xml:space="preserve">1974-06</t>
  </si>
  <si>
    <t xml:space="preserve">1974-07</t>
  </si>
  <si>
    <t xml:space="preserve">1974-08</t>
  </si>
  <si>
    <t xml:space="preserve">1974-09</t>
  </si>
  <si>
    <t xml:space="preserve">1974-10</t>
  </si>
  <si>
    <t xml:space="preserve">1974-11</t>
  </si>
  <si>
    <t xml:space="preserve">1974-12</t>
  </si>
  <si>
    <t xml:space="preserve">1975-01</t>
  </si>
  <si>
    <t xml:space="preserve">1975-02</t>
  </si>
  <si>
    <t xml:space="preserve">1975-03</t>
  </si>
  <si>
    <t xml:space="preserve">1975-04</t>
  </si>
  <si>
    <t xml:space="preserve">1975-05</t>
  </si>
  <si>
    <t xml:space="preserve">1975-06</t>
  </si>
  <si>
    <t xml:space="preserve">1975-07</t>
  </si>
  <si>
    <t xml:space="preserve">1975-08</t>
  </si>
  <si>
    <t xml:space="preserve">1975-09</t>
  </si>
  <si>
    <t xml:space="preserve">1975-10</t>
  </si>
  <si>
    <t xml:space="preserve">1975-11</t>
  </si>
  <si>
    <t xml:space="preserve">1975-12</t>
  </si>
  <si>
    <t xml:space="preserve">1976-01</t>
  </si>
  <si>
    <t xml:space="preserve">1976-02</t>
  </si>
  <si>
    <t xml:space="preserve">1976-03</t>
  </si>
  <si>
    <t xml:space="preserve">1976-04</t>
  </si>
  <si>
    <t xml:space="preserve">1976-05</t>
  </si>
  <si>
    <t xml:space="preserve">1976-06</t>
  </si>
  <si>
    <t xml:space="preserve">1976-07</t>
  </si>
  <si>
    <t xml:space="preserve">1976-08</t>
  </si>
  <si>
    <t xml:space="preserve">1976-09</t>
  </si>
  <si>
    <t xml:space="preserve">1976-10</t>
  </si>
  <si>
    <t xml:space="preserve">1976-11</t>
  </si>
  <si>
    <t xml:space="preserve">1976-12</t>
  </si>
  <si>
    <t xml:space="preserve">1977-01</t>
  </si>
  <si>
    <t xml:space="preserve">1977-02</t>
  </si>
  <si>
    <t xml:space="preserve">1977-03</t>
  </si>
  <si>
    <t xml:space="preserve">1977-04</t>
  </si>
  <si>
    <t xml:space="preserve">1977-05</t>
  </si>
  <si>
    <t xml:space="preserve">1977-06</t>
  </si>
  <si>
    <t xml:space="preserve">1977-07</t>
  </si>
  <si>
    <t xml:space="preserve">1977-08</t>
  </si>
  <si>
    <t xml:space="preserve">1977-09</t>
  </si>
  <si>
    <t xml:space="preserve">1977-10</t>
  </si>
  <si>
    <t xml:space="preserve">1977-11</t>
  </si>
  <si>
    <t xml:space="preserve">1977-12</t>
  </si>
  <si>
    <t xml:space="preserve">1978-01</t>
  </si>
  <si>
    <t xml:space="preserve">1978-02</t>
  </si>
  <si>
    <t xml:space="preserve">1978-03</t>
  </si>
  <si>
    <t xml:space="preserve">1978-04</t>
  </si>
  <si>
    <t xml:space="preserve">1978-05</t>
  </si>
  <si>
    <t xml:space="preserve">1978-06</t>
  </si>
  <si>
    <t xml:space="preserve">1978-07</t>
  </si>
  <si>
    <t xml:space="preserve">1978-08</t>
  </si>
  <si>
    <t xml:space="preserve">1978-09</t>
  </si>
  <si>
    <t xml:space="preserve">1978-10</t>
  </si>
  <si>
    <t xml:space="preserve">1978-11</t>
  </si>
  <si>
    <t xml:space="preserve">1978-12</t>
  </si>
  <si>
    <t xml:space="preserve">1979-01</t>
  </si>
  <si>
    <t xml:space="preserve">1979-02</t>
  </si>
  <si>
    <t xml:space="preserve">1979-03</t>
  </si>
  <si>
    <t xml:space="preserve">1979-04</t>
  </si>
  <si>
    <t xml:space="preserve">1979-05</t>
  </si>
  <si>
    <t xml:space="preserve">1979-06</t>
  </si>
  <si>
    <t xml:space="preserve">1979-07</t>
  </si>
  <si>
    <t xml:space="preserve">1979-08</t>
  </si>
  <si>
    <t xml:space="preserve">1979-09</t>
  </si>
  <si>
    <t xml:space="preserve">1979-10</t>
  </si>
  <si>
    <t xml:space="preserve">1979-11</t>
  </si>
  <si>
    <t xml:space="preserve">1979-12</t>
  </si>
  <si>
    <t xml:space="preserve">1980-01</t>
  </si>
  <si>
    <t xml:space="preserve">1980-02</t>
  </si>
  <si>
    <t xml:space="preserve">1980-03</t>
  </si>
  <si>
    <t xml:space="preserve">1980-04</t>
  </si>
  <si>
    <t xml:space="preserve">1980-05</t>
  </si>
  <si>
    <t xml:space="preserve">1980-06</t>
  </si>
  <si>
    <t xml:space="preserve">1980-07</t>
  </si>
  <si>
    <t xml:space="preserve">1980-08</t>
  </si>
  <si>
    <t xml:space="preserve">1980-09</t>
  </si>
  <si>
    <t xml:space="preserve">1980-10</t>
  </si>
  <si>
    <t xml:space="preserve">1980-12</t>
  </si>
  <si>
    <t xml:space="preserve">1981-01</t>
  </si>
  <si>
    <t xml:space="preserve">1981-02</t>
  </si>
  <si>
    <t xml:space="preserve">1981-03</t>
  </si>
  <si>
    <t xml:space="preserve">1981-04</t>
  </si>
  <si>
    <t xml:space="preserve">1981-05</t>
  </si>
  <si>
    <t xml:space="preserve">1981-06</t>
  </si>
  <si>
    <t xml:space="preserve">1981-07</t>
  </si>
  <si>
    <t xml:space="preserve">1981-09</t>
  </si>
  <si>
    <t xml:space="preserve">1981-10</t>
  </si>
  <si>
    <t xml:space="preserve">1981-11</t>
  </si>
  <si>
    <t xml:space="preserve">1981-12</t>
  </si>
  <si>
    <t xml:space="preserve">1982-01</t>
  </si>
  <si>
    <t xml:space="preserve">1982-02</t>
  </si>
  <si>
    <t xml:space="preserve">1982-03</t>
  </si>
  <si>
    <t xml:space="preserve">1982-04</t>
  </si>
  <si>
    <t xml:space="preserve">1982-05</t>
  </si>
  <si>
    <t xml:space="preserve">1982-06</t>
  </si>
  <si>
    <t xml:space="preserve">1982-07</t>
  </si>
  <si>
    <t xml:space="preserve">1982-08</t>
  </si>
  <si>
    <t xml:space="preserve">1982-10</t>
  </si>
  <si>
    <t xml:space="preserve">1982-11</t>
  </si>
  <si>
    <t xml:space="preserve">1982-12</t>
  </si>
  <si>
    <t xml:space="preserve">1983-01</t>
  </si>
  <si>
    <t xml:space="preserve">1983-02</t>
  </si>
  <si>
    <t xml:space="preserve">1983-03</t>
  </si>
  <si>
    <t xml:space="preserve">1983-04</t>
  </si>
  <si>
    <t xml:space="preserve">1983-05</t>
  </si>
  <si>
    <t xml:space="preserve">1983-06</t>
  </si>
  <si>
    <t xml:space="preserve">1983-07</t>
  </si>
  <si>
    <t xml:space="preserve">1983-08</t>
  </si>
  <si>
    <t xml:space="preserve">1983-09</t>
  </si>
  <si>
    <t xml:space="preserve">1983-10</t>
  </si>
  <si>
    <t xml:space="preserve">1983-11</t>
  </si>
  <si>
    <t xml:space="preserve">1983-12</t>
  </si>
  <si>
    <t xml:space="preserve">1984-01</t>
  </si>
  <si>
    <t xml:space="preserve">1984-02</t>
  </si>
  <si>
    <t xml:space="preserve">1984-03</t>
  </si>
  <si>
    <t xml:space="preserve">1984-04</t>
  </si>
  <si>
    <t xml:space="preserve">1984-05</t>
  </si>
  <si>
    <t xml:space="preserve">1984-06</t>
  </si>
  <si>
    <t xml:space="preserve">1984-07</t>
  </si>
  <si>
    <t xml:space="preserve">1984-08</t>
  </si>
  <si>
    <t xml:space="preserve">1984-09</t>
  </si>
  <si>
    <t xml:space="preserve">1984-10</t>
  </si>
  <si>
    <t xml:space="preserve">1984-11</t>
  </si>
  <si>
    <t xml:space="preserve">1984-12</t>
  </si>
  <si>
    <t xml:space="preserve">1985-01</t>
  </si>
  <si>
    <t xml:space="preserve">1985-02</t>
  </si>
  <si>
    <t xml:space="preserve">1985-03</t>
  </si>
  <si>
    <t xml:space="preserve">1985-04</t>
  </si>
  <si>
    <t xml:space="preserve">1985-05</t>
  </si>
  <si>
    <t xml:space="preserve">1985-06</t>
  </si>
  <si>
    <t xml:space="preserve">1985-07</t>
  </si>
  <si>
    <t xml:space="preserve">1985-08</t>
  </si>
  <si>
    <t xml:space="preserve">1985-09</t>
  </si>
  <si>
    <t xml:space="preserve">1985-10</t>
  </si>
  <si>
    <t xml:space="preserve">1985-11</t>
  </si>
  <si>
    <t xml:space="preserve">1985-12</t>
  </si>
  <si>
    <t xml:space="preserve">1986-01</t>
  </si>
  <si>
    <t xml:space="preserve">1986-02</t>
  </si>
  <si>
    <t xml:space="preserve">1986-03</t>
  </si>
  <si>
    <t xml:space="preserve">1986-04</t>
  </si>
  <si>
    <t xml:space="preserve">1986-05</t>
  </si>
  <si>
    <t xml:space="preserve">1986-06</t>
  </si>
  <si>
    <t xml:space="preserve">1986-07</t>
  </si>
  <si>
    <t xml:space="preserve">1986-08</t>
  </si>
  <si>
    <t xml:space="preserve">1986-09</t>
  </si>
  <si>
    <t xml:space="preserve">1986-10</t>
  </si>
  <si>
    <t xml:space="preserve">1986-11</t>
  </si>
  <si>
    <t xml:space="preserve">1986-12</t>
  </si>
  <si>
    <t xml:space="preserve">1987-01</t>
  </si>
  <si>
    <t xml:space="preserve">1987-02</t>
  </si>
  <si>
    <t xml:space="preserve">1987-03</t>
  </si>
  <si>
    <t xml:space="preserve">1987-04</t>
  </si>
  <si>
    <t xml:space="preserve">1987-05</t>
  </si>
  <si>
    <t xml:space="preserve">1987-06</t>
  </si>
  <si>
    <t xml:space="preserve">1987-07</t>
  </si>
  <si>
    <t xml:space="preserve">1987-08</t>
  </si>
  <si>
    <t xml:space="preserve">1987-09</t>
  </si>
  <si>
    <t xml:space="preserve">1987-10</t>
  </si>
  <si>
    <t xml:space="preserve">1987-11</t>
  </si>
  <si>
    <t xml:space="preserve">1987-12</t>
  </si>
  <si>
    <t xml:space="preserve">1988-01</t>
  </si>
  <si>
    <t xml:space="preserve">1988-02</t>
  </si>
  <si>
    <t xml:space="preserve">1988-03</t>
  </si>
  <si>
    <t xml:space="preserve">1988-04</t>
  </si>
  <si>
    <t xml:space="preserve">1988-05</t>
  </si>
  <si>
    <t xml:space="preserve">1988-06</t>
  </si>
  <si>
    <t xml:space="preserve">1988-07</t>
  </si>
  <si>
    <t xml:space="preserve">1988-08</t>
  </si>
  <si>
    <t xml:space="preserve">1988-09</t>
  </si>
  <si>
    <t xml:space="preserve">1988-10</t>
  </si>
  <si>
    <t xml:space="preserve">1988-11</t>
  </si>
  <si>
    <t xml:space="preserve">1988-12</t>
  </si>
  <si>
    <t xml:space="preserve">1989-01</t>
  </si>
  <si>
    <t xml:space="preserve">1989-02</t>
  </si>
  <si>
    <t xml:space="preserve">1989-03</t>
  </si>
  <si>
    <t xml:space="preserve">1989-04</t>
  </si>
  <si>
    <t xml:space="preserve">1989-05</t>
  </si>
  <si>
    <t xml:space="preserve">1989-06</t>
  </si>
  <si>
    <t xml:space="preserve">1989-07</t>
  </si>
  <si>
    <t xml:space="preserve">1989-08</t>
  </si>
  <si>
    <t xml:space="preserve">1989-09</t>
  </si>
  <si>
    <t xml:space="preserve">1989-10</t>
  </si>
  <si>
    <t xml:space="preserve">1989-11</t>
  </si>
  <si>
    <t xml:space="preserve">1989-12</t>
  </si>
  <si>
    <t xml:space="preserve">1990-01</t>
  </si>
  <si>
    <t xml:space="preserve">1990-02</t>
  </si>
  <si>
    <t xml:space="preserve">1990-03</t>
  </si>
  <si>
    <t xml:space="preserve">1990-04</t>
  </si>
  <si>
    <t xml:space="preserve">1990-05</t>
  </si>
  <si>
    <t xml:space="preserve">1990-06</t>
  </si>
  <si>
    <t xml:space="preserve">1990-07</t>
  </si>
  <si>
    <t xml:space="preserve">1990-08</t>
  </si>
  <si>
    <t xml:space="preserve">1990-09</t>
  </si>
  <si>
    <t xml:space="preserve">1990-10</t>
  </si>
  <si>
    <t xml:space="preserve">1990-11</t>
  </si>
  <si>
    <t xml:space="preserve">1990-12</t>
  </si>
  <si>
    <t xml:space="preserve">1991-01</t>
  </si>
  <si>
    <t xml:space="preserve">1991-02</t>
  </si>
  <si>
    <t xml:space="preserve">1991-03</t>
  </si>
  <si>
    <t xml:space="preserve">1991-04</t>
  </si>
  <si>
    <t xml:space="preserve">1991-05</t>
  </si>
  <si>
    <t xml:space="preserve">1991-06</t>
  </si>
  <si>
    <t xml:space="preserve">1991-07</t>
  </si>
  <si>
    <t xml:space="preserve">1991-08</t>
  </si>
  <si>
    <t xml:space="preserve">1991-09</t>
  </si>
  <si>
    <t xml:space="preserve">1991-10</t>
  </si>
  <si>
    <t xml:space="preserve">1991-11</t>
  </si>
  <si>
    <t xml:space="preserve">1991-12</t>
  </si>
  <si>
    <t xml:space="preserve">1992-01</t>
  </si>
  <si>
    <t xml:space="preserve">1992-02</t>
  </si>
  <si>
    <t xml:space="preserve">1992-03</t>
  </si>
  <si>
    <t xml:space="preserve">1992-04</t>
  </si>
  <si>
    <t xml:space="preserve">1992-05</t>
  </si>
  <si>
    <t xml:space="preserve">1992-06</t>
  </si>
  <si>
    <t xml:space="preserve">1992-07</t>
  </si>
  <si>
    <t xml:space="preserve">1992-08</t>
  </si>
  <si>
    <t xml:space="preserve">1992-09</t>
  </si>
  <si>
    <t xml:space="preserve">1992-10</t>
  </si>
  <si>
    <t xml:space="preserve">1992-11</t>
  </si>
  <si>
    <t xml:space="preserve">1992-12</t>
  </si>
  <si>
    <t xml:space="preserve">1993-01</t>
  </si>
  <si>
    <t xml:space="preserve">1993-02</t>
  </si>
  <si>
    <t xml:space="preserve">1993-03</t>
  </si>
  <si>
    <t xml:space="preserve">1993-04</t>
  </si>
  <si>
    <t xml:space="preserve">1993-05</t>
  </si>
  <si>
    <t xml:space="preserve">1993-06</t>
  </si>
  <si>
    <t xml:space="preserve">1993-07</t>
  </si>
  <si>
    <t xml:space="preserve">1993-08</t>
  </si>
  <si>
    <t xml:space="preserve">1993-09</t>
  </si>
  <si>
    <t xml:space="preserve">1993-10</t>
  </si>
  <si>
    <t xml:space="preserve">1993-11</t>
  </si>
  <si>
    <t xml:space="preserve">1993-12</t>
  </si>
  <si>
    <t xml:space="preserve">1994-01</t>
  </si>
  <si>
    <t xml:space="preserve">1994-02</t>
  </si>
  <si>
    <t xml:space="preserve">1994-03</t>
  </si>
  <si>
    <t xml:space="preserve">1994-04</t>
  </si>
  <si>
    <t xml:space="preserve">1994-05</t>
  </si>
  <si>
    <t xml:space="preserve">1994-06</t>
  </si>
  <si>
    <t xml:space="preserve">1994-07</t>
  </si>
  <si>
    <t xml:space="preserve">1994-08</t>
  </si>
  <si>
    <t xml:space="preserve">1994-09</t>
  </si>
  <si>
    <t xml:space="preserve">1994-10</t>
  </si>
  <si>
    <t xml:space="preserve">1994-11</t>
  </si>
  <si>
    <t xml:space="preserve">1994-12</t>
  </si>
  <si>
    <t xml:space="preserve">1995-01</t>
  </si>
  <si>
    <t xml:space="preserve">1995-02</t>
  </si>
  <si>
    <t xml:space="preserve">1995-03</t>
  </si>
  <si>
    <t xml:space="preserve">1995-04</t>
  </si>
  <si>
    <t xml:space="preserve">1995-05</t>
  </si>
  <si>
    <t xml:space="preserve">1995-06</t>
  </si>
  <si>
    <t xml:space="preserve">1995-07</t>
  </si>
  <si>
    <t xml:space="preserve">1995-08</t>
  </si>
  <si>
    <t xml:space="preserve">1995-09</t>
  </si>
  <si>
    <t xml:space="preserve">1995-10</t>
  </si>
  <si>
    <t xml:space="preserve">1995-11</t>
  </si>
  <si>
    <t xml:space="preserve">1995-12</t>
  </si>
  <si>
    <t xml:space="preserve">1996-01</t>
  </si>
  <si>
    <t xml:space="preserve">1996-02</t>
  </si>
  <si>
    <t xml:space="preserve">1996-03</t>
  </si>
  <si>
    <t xml:space="preserve">1996-04</t>
  </si>
  <si>
    <t xml:space="preserve">1996-05</t>
  </si>
  <si>
    <t xml:space="preserve">1996-06</t>
  </si>
  <si>
    <t xml:space="preserve">1996-07</t>
  </si>
  <si>
    <t xml:space="preserve">1996-08</t>
  </si>
  <si>
    <t xml:space="preserve">1996-09</t>
  </si>
  <si>
    <t xml:space="preserve">1996-10</t>
  </si>
  <si>
    <t xml:space="preserve">1996-11</t>
  </si>
  <si>
    <t xml:space="preserve">1996-12</t>
  </si>
  <si>
    <t xml:space="preserve">1997-01</t>
  </si>
  <si>
    <t xml:space="preserve">1997-02</t>
  </si>
  <si>
    <t xml:space="preserve">1997-03</t>
  </si>
  <si>
    <t xml:space="preserve">1997-04</t>
  </si>
  <si>
    <t xml:space="preserve">1997-05</t>
  </si>
  <si>
    <t xml:space="preserve">1997-06</t>
  </si>
  <si>
    <t xml:space="preserve">1997-07</t>
  </si>
  <si>
    <t xml:space="preserve">1997-08</t>
  </si>
  <si>
    <t xml:space="preserve">1997-09</t>
  </si>
  <si>
    <t xml:space="preserve">1997-10</t>
  </si>
  <si>
    <t xml:space="preserve">1997-11</t>
  </si>
  <si>
    <t xml:space="preserve">1997-12</t>
  </si>
  <si>
    <t xml:space="preserve">1998-01</t>
  </si>
  <si>
    <t xml:space="preserve">1998-02</t>
  </si>
  <si>
    <t xml:space="preserve">1998-03</t>
  </si>
  <si>
    <t xml:space="preserve">1998-04</t>
  </si>
  <si>
    <t xml:space="preserve">1998-05</t>
  </si>
  <si>
    <t xml:space="preserve">1998-06</t>
  </si>
  <si>
    <t xml:space="preserve">1998-07</t>
  </si>
  <si>
    <t xml:space="preserve">1998-08</t>
  </si>
  <si>
    <t xml:space="preserve">1998-09</t>
  </si>
  <si>
    <t xml:space="preserve">1998-10</t>
  </si>
  <si>
    <t xml:space="preserve">1998-11</t>
  </si>
  <si>
    <t xml:space="preserve">1998-12</t>
  </si>
  <si>
    <t xml:space="preserve">1999-01</t>
  </si>
  <si>
    <t xml:space="preserve">1999-03</t>
  </si>
  <si>
    <t xml:space="preserve">1999-04</t>
  </si>
  <si>
    <t xml:space="preserve">1999-06</t>
  </si>
  <si>
    <t xml:space="preserve">1999-07</t>
  </si>
  <si>
    <t xml:space="preserve">1999-08</t>
  </si>
  <si>
    <t xml:space="preserve">1999-09</t>
  </si>
  <si>
    <t xml:space="preserve">1999-10</t>
  </si>
  <si>
    <t xml:space="preserve">2000-02</t>
  </si>
  <si>
    <t xml:space="preserve">2000-03</t>
  </si>
  <si>
    <t xml:space="preserve">2000-04</t>
  </si>
  <si>
    <t xml:space="preserve">2000-05</t>
  </si>
  <si>
    <t xml:space="preserve">2000-06</t>
  </si>
  <si>
    <t xml:space="preserve">2000-07</t>
  </si>
  <si>
    <t xml:space="preserve">2000-08</t>
  </si>
  <si>
    <t xml:space="preserve">2000-09</t>
  </si>
  <si>
    <t xml:space="preserve">2000-10</t>
  </si>
  <si>
    <t xml:space="preserve">2000-11</t>
  </si>
  <si>
    <t xml:space="preserve">2001-02</t>
  </si>
  <si>
    <t xml:space="preserve">2001-03</t>
  </si>
  <si>
    <t xml:space="preserve">2001-04</t>
  </si>
  <si>
    <t xml:space="preserve">2001-05</t>
  </si>
  <si>
    <t xml:space="preserve">2001-06</t>
  </si>
  <si>
    <t xml:space="preserve">2001-07</t>
  </si>
  <si>
    <t xml:space="preserve">2001-08</t>
  </si>
  <si>
    <t xml:space="preserve">2001-10</t>
  </si>
  <si>
    <t xml:space="preserve">2001-11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</si>
  <si>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</si>
  <si>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</si>
  <si>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</si>
  <si>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</si>
  <si>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</si>
  <si>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</si>
  <si>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</si>
  <si>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</si>
  <si>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2002-10</t>
  </si>
  <si>
    <t xml:space="preserve">2002-11</t>
  </si>
  <si>
    <t xml:space="preserve">2003-01</t>
  </si>
  <si>
    <t xml:space="preserve">2003-02</t>
  </si>
  <si>
    <t xml:space="preserve">2003-03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</si>
  <si>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</si>
  <si>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</si>
  <si>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</si>
  <si>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</si>
  <si>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</si>
  <si>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</si>
  <si>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</si>
  <si>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</si>
  <si>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</si>
  <si>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</si>
  <si>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</si>
  <si>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</si>
  <si>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</si>
  <si>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</si>
  <si>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</si>
  <si>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</si>
  <si>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</si>
  <si>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</si>
  <si>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</si>
  <si>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</si>
  <si>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</si>
  <si>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</si>
  <si>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</si>
  <si>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</si>
  <si>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</si>
  <si>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</si>
  <si>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</si>
  <si>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</si>
  <si>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</si>
  <si>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</si>
  <si>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</si>
  <si>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</si>
  <si>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</si>
  <si>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</si>
  <si>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</si>
  <si>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</si>
  <si>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</si>
  <si>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</si>
  <si>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</si>
  <si>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</si>
  <si>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</si>
  <si>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2007-01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</si>
  <si>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</si>
  <si>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</si>
  <si>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</si>
  <si>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</si>
  <si>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</si>
  <si>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</si>
  <si>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</si>
  <si>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</si>
  <si>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</si>
  <si>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</si>
  <si>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</si>
  <si>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</si>
  <si>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</si>
  <si>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</si>
  <si>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</si>
  <si>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</si>
  <si>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</si>
  <si>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</si>
  <si>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</si>
  <si>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2009-01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</si>
  <si>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</si>
  <si>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</si>
  <si>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</si>
  <si>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</si>
  <si>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</si>
  <si>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</si>
  <si>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</si>
  <si>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</si>
  <si>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</si>
  <si>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</si>
  <si>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</si>
  <si>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</si>
  <si>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</si>
  <si>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</si>
  <si>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</si>
  <si>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</si>
  <si>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</si>
  <si>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</si>
  <si>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</si>
  <si>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</si>
  <si>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</si>
  <si>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</si>
  <si>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</si>
  <si>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</si>
  <si>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</si>
  <si>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</si>
  <si>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</si>
  <si>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</si>
  <si>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</si>
  <si>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</si>
  <si>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</si>
  <si>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</si>
  <si>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</si>
  <si>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</si>
  <si>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</si>
  <si>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</si>
  <si>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</si>
  <si>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</si>
  <si>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</si>
  <si>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</si>
  <si>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</si>
  <si>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</si>
  <si>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</si>
  <si>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</si>
  <si>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</si>
  <si>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</si>
  <si>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</si>
  <si>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</si>
  <si>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</si>
  <si>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</si>
  <si>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</si>
  <si>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</si>
  <si>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</si>
  <si>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</si>
  <si>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</si>
  <si>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</si>
  <si>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</si>
  <si>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</si>
  <si>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</si>
  <si>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</si>
  <si>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</si>
  <si>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</si>
  <si>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</si>
  <si>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</si>
  <si>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</si>
  <si>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</si>
  <si>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</si>
  <si>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</si>
  <si>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</si>
  <si>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</si>
  <si>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</si>
  <si>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</si>
  <si>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</si>
  <si>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</si>
  <si>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</si>
  <si>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</si>
  <si>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</si>
  <si>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</si>
  <si>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</si>
  <si>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</si>
  <si>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</si>
  <si>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</si>
  <si>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</si>
  <si>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</si>
  <si>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</si>
  <si>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</si>
  <si>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</si>
  <si>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</si>
  <si>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</si>
  <si>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</si>
  <si>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</si>
  <si>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</si>
  <si>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</si>
  <si>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</si>
  <si>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</si>
  <si>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</si>
  <si>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</si>
  <si>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</si>
  <si>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</si>
  <si>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</si>
  <si>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</si>
  <si>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</si>
  <si>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</si>
  <si>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</si>
  <si>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</si>
  <si>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</si>
  <si>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</si>
  <si>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</si>
  <si>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</si>
  <si>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</si>
  <si>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</si>
  <si>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</si>
  <si>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</si>
  <si>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</si>
  <si>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</si>
  <si>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</si>
  <si>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</si>
  <si>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</si>
  <si>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</si>
  <si>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</si>
  <si>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</si>
  <si>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</si>
  <si>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</si>
  <si>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</si>
  <si>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</si>
  <si>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</si>
  <si>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</si>
  <si>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</si>
  <si>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</si>
  <si>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</si>
  <si>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2021-01</t>
  </si>
  <si>
    <t xml:space="preserve">2021-02</t>
  </si>
  <si>
    <t xml:space="preserve">2021-03</t>
  </si>
  <si>
    <t xml:space="preserve">2021-04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</si>
  <si>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</si>
  <si>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</si>
  <si>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</si>
  <si>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</si>
  <si>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</si>
  <si>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</si>
  <si>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</si>
  <si>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</si>
  <si>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</si>
  <si>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</si>
  <si>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</si>
  <si>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</si>
  <si>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</si>
  <si>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</si>
  <si>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</si>
  <si>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</si>
  <si>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</si>
  <si>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</si>
  <si>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</si>
  <si>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</si>
  <si>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</si>
  <si>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</si>
  <si>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</si>
  <si>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</si>
  <si>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</si>
  <si>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</si>
  <si>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</si>
  <si>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</si>
  <si>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</si>
  <si>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</si>
  <si>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</si>
  <si>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</si>
  <si>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</si>
  <si>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</si>
  <si>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</si>
  <si>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</si>
  <si>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</si>
  <si>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</si>
  <si>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</si>
  <si>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</si>
  <si>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</si>
  <si>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</si>
  <si>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</si>
  <si>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</si>
  <si>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</si>
  <si>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</si>
  <si>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</si>
  <si>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</si>
  <si>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</si>
  <si>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</si>
  <si>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</si>
  <si>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</si>
  <si>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</si>
  <si>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</si>
  <si>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</si>
  <si>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</si>
  <si>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</si>
  <si>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</si>
  <si>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Source / method</t>
  </si>
  <si>
    <t xml:space="preserve">URL / limitation</t>
  </si>
  <si>
    <t xml:space="preserve">deciles</t>
  </si>
  <si>
    <t xml:space="preserve">https://mba.tuck.dartmouth.edu/pages/faculty/ken.french/Data_Library/det_10_port_form_pr_12_2.html</t>
  </si>
  <si>
    <t xml:space="preserve">library</t>
  </si>
  <si>
    <t xml:space="preserve">https://mba.tuck.dartmouth.edu/pages/faculty/ken.french/data_library.html</t>
  </si>
  <si>
    <t xml:space="preserve">factor</t>
  </si>
  <si>
    <t xml:space="preserve">https://mba.tuck.dartmouth.edu/pages/faculty/ken.french/Data_Library/det_mom_factor.html</t>
  </si>
  <si>
    <t xml:space="preserve">Frozen files</t>
  </si>
  <si>
    <t xml:space="preserve">momentum/data/*.zip and manifest.json retain hashes; first value-weight monthly table only</t>
  </si>
  <si>
    <t xml:space="preserve">Signal S</t>
  </si>
  <si>
    <t xml:space="preserve">Prior months -12 to -2, excluding latest month. NYSE deciles; NYSE/AMEX/NASDAQ eligible stocks.</t>
  </si>
  <si>
    <t xml:space="preserve">Universe limit</t>
  </si>
  <si>
    <t xml:space="preserve">Historical CRSP-based aggregates, not current-survivor ticker selection. Constituents and delisting handling not independently audited.</t>
  </si>
  <si>
    <t xml:space="preserve">Vintage limit</t>
  </si>
  <si>
    <t xml:space="preserve">202609 revised history, not archival point-in-time releases. CIZ/FIZ methodology change from 2025.</t>
  </si>
  <si>
    <t xml:space="preserve">Costs A</t>
  </si>
  <si>
    <t xml:space="preserve">Execution 10bp on bought/sold notional, 50% turnover each leg; 2% annual borrow on 50% short.</t>
  </si>
  <si>
    <t xml:space="preserve">Return D</t>
  </si>
  <si>
    <t xml:space="preserve">Monthly +0.5 winner -0.5 loser minus costs; excess over cash. Dollar-neutral at monthly rebalance; beta may vary.</t>
  </si>
  <si>
    <t xml:space="preserve">Validation limit</t>
  </si>
  <si>
    <t xml:space="preserve">French Mom uses related underlying CRSP data and is not an independent validation set.</t>
  </si>
  <si>
    <t xml:space="preserve">Daily data limit</t>
  </si>
  <si>
    <t xml:space="preserve">No stock-level daily/delisted price files. Daily French momentum deciles are formed daily and are not substituted for monthly portfolios.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</si>
</sst>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;[RED]\(0.000\);\—"/>
    <numFmt numFmtId="166" formatCode="0.00%;[RED]\(0.00%\)"/>
    <numFmt numFmtId="167" formatCode="0.0%"/>
    <numFmt numFmtId="168" formatCode="0.00%;[RED]\(0.00%\);\—"/>
    <numFmt numFmtId="169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EFF3F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7365D"/>
          <bgColor rgb="FF000000"/>
        </patternFill>
      </fill>
    </dxf>
    <dxf>
      <fill>
        <patternFill patternType="solid">
          <fgColor rgb="FFEFF3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33.75" hidden="false" customHeight="true" outlineLevel="0" collapsed="false">
      <c r="A1" s="1" t="s">
        <v>0</v>
      </c>
      <c r="B1" s="1" t="s">
        <v>1</v>
      </c>
    </row>
    <row r="2" customFormat="false" ht="30" hidden="false" customHeight="true" outlineLevel="0" collapsed="false">
      <c r="A2" s="2" t="s">
        <v>2</v>
      </c>
      <c r="B2" s="2" t="s">
        <v>3</v>
      </c>
    </row>
    <row r="3" customFormat="false" ht="30" hidden="false" customHeight="true" outlineLevel="0" collapsed="false">
      <c r="A3" s="3" t="s">
        <v>4</v>
      </c>
      <c r="B3" s="4" t="n">
        <f aca="false">Performance!C2</f>
        <v>0.838087837089332</v>
      </c>
    </row>
    <row r="4" customFormat="false" ht="30" hidden="false" customHeight="true" outlineLevel="0" collapsed="false">
      <c r="A4" s="2" t="s">
        <v>5</v>
      </c>
      <c r="B4" s="5" t="n">
        <f aca="false">Performance!C3</f>
        <v>0.0503201754456423</v>
      </c>
    </row>
    <row r="5" customFormat="false" ht="30" hidden="false" customHeight="true" outlineLevel="0" collapsed="false">
      <c r="A5" s="3" t="s">
        <v>6</v>
      </c>
      <c r="B5" s="6" t="n">
        <f aca="false">Performance!G4+Performance!H4</f>
        <v>0.022</v>
      </c>
    </row>
    <row r="6" customFormat="false" ht="30" hidden="false" customHeight="true" outlineLevel="0" collapsed="false">
      <c r="A6" s="2" t="s">
        <v>7</v>
      </c>
      <c r="B6" s="7" t="n">
        <f aca="false">Performance!J4</f>
        <v>-0.575999438823279</v>
      </c>
    </row>
    <row r="7" customFormat="false" ht="30" hidden="false" customHeight="true" outlineLevel="0" collapsed="false">
      <c r="A7" s="3" t="s">
        <v>8</v>
      </c>
      <c r="B7" s="4" t="n">
        <f aca="false">Performance!I4</f>
        <v>0.898922909136599</v>
      </c>
    </row>
    <row r="8" customFormat="false" ht="30" hidden="false" customHeight="true" outlineLevel="0" collapsed="false">
      <c r="A8" s="2" t="s">
        <v>9</v>
      </c>
      <c r="B8" s="2" t="s">
        <v>10</v>
      </c>
    </row>
    <row r="9" customFormat="false" ht="30" hidden="false" customHeight="true" outlineLevel="0" collapsed="false">
      <c r="A9" s="3" t="s">
        <v>11</v>
      </c>
      <c r="B9" s="3" t="s">
        <v>12</v>
      </c>
    </row>
    <row r="10" customFormat="false" ht="30" hidden="false" customHeight="true" outlineLevel="0" collapsed="false">
      <c r="A10" s="2" t="s">
        <v>13</v>
      </c>
      <c r="B10" s="2" t="s">
        <v>14</v>
      </c>
    </row>
  </sheetData>
  <autoFilter ref="A1:B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3"/>
    <col collapsed="false" customWidth="true" hidden="false" outlineLevel="0" max="3" min="3" style="0" width="70"/>
  </cols>
  <sheetData>
    <row r="1" customFormat="false" ht="33.75" hidden="false" customHeight="true" outlineLevel="0" collapsed="false">
      <c r="A1" s="1" t="s">
        <v>15</v>
      </c>
      <c r="B1" s="1" t="s">
        <v>16</v>
      </c>
      <c r="C1" s="1" t="s">
        <v>17</v>
      </c>
    </row>
    <row r="2" customFormat="false" ht="30" hidden="false" customHeight="true" outlineLevel="0" collapsed="false">
      <c r="A2" s="2" t="s">
        <v>18</v>
      </c>
      <c r="B2" s="8" t="n">
        <v>0.5</v>
      </c>
      <c r="C2" s="2" t="s">
        <v>19</v>
      </c>
    </row>
    <row r="3" customFormat="false" ht="30" hidden="false" customHeight="true" outlineLevel="0" collapsed="false">
      <c r="A3" s="3" t="s">
        <v>20</v>
      </c>
      <c r="B3" s="9" t="n">
        <v>10</v>
      </c>
      <c r="C3" s="3" t="s">
        <v>21</v>
      </c>
    </row>
    <row r="4" customFormat="false" ht="30" hidden="false" customHeight="true" outlineLevel="0" collapsed="false">
      <c r="A4" s="2" t="s">
        <v>22</v>
      </c>
      <c r="B4" s="8" t="n">
        <v>0.5</v>
      </c>
      <c r="C4" s="2" t="s">
        <v>23</v>
      </c>
    </row>
    <row r="5" customFormat="false" ht="30" hidden="false" customHeight="true" outlineLevel="0" collapsed="false">
      <c r="A5" s="3" t="s">
        <v>24</v>
      </c>
      <c r="B5" s="10" t="n">
        <v>0.02</v>
      </c>
      <c r="C5" s="3" t="s">
        <v>25</v>
      </c>
    </row>
    <row r="6" customFormat="false" ht="30" hidden="false" customHeight="true" outlineLevel="0" collapsed="false">
      <c r="A6" s="2" t="s">
        <v>26</v>
      </c>
      <c r="B6" s="11" t="n">
        <v>12</v>
      </c>
      <c r="C6" s="2" t="s">
        <v>27</v>
      </c>
    </row>
    <row r="7" customFormat="false" ht="30" hidden="false" customHeight="true" outlineLevel="0" collapsed="false">
      <c r="A7" s="3" t="s">
        <v>28</v>
      </c>
      <c r="B7" s="3" t="s">
        <v>29</v>
      </c>
      <c r="C7" s="3" t="s">
        <v>30</v>
      </c>
    </row>
    <row r="8" customFormat="false" ht="30" hidden="false" customHeight="true" outlineLevel="0" collapsed="false">
      <c r="A8" s="2" t="s">
        <v>31</v>
      </c>
      <c r="B8" s="2" t="s">
        <v>32</v>
      </c>
      <c r="C8" s="2" t="s">
        <v>33</v>
      </c>
    </row>
    <row r="9" customFormat="false" ht="30" hidden="false" customHeight="true" outlineLevel="0" collapsed="false">
      <c r="A9" s="3" t="s">
        <v>34</v>
      </c>
      <c r="B9" s="3" t="s">
        <v>35</v>
      </c>
      <c r="C9" s="3" t="s">
        <v>36</v>
      </c>
    </row>
    <row r="10" customFormat="false" ht="30" hidden="false" customHeight="true" outlineLevel="0" collapsed="false">
      <c r="A10" s="2" t="s">
        <v>37</v>
      </c>
      <c r="B10" s="5" t="n">
        <f aca="false">2*B2</f>
        <v>1</v>
      </c>
      <c r="C10" s="5" t="n">
        <f aca="false">B2-B2</f>
        <v>0</v>
      </c>
    </row>
    <row r="11" customFormat="false" ht="30" hidden="false" customHeight="true" outlineLevel="0" collapsed="false">
      <c r="A11" s="3" t="s">
        <v>38</v>
      </c>
      <c r="B11" s="4" t="n">
        <f aca="false">4*B2*B4</f>
        <v>1</v>
      </c>
      <c r="C11" s="3" t="s">
        <v>39</v>
      </c>
    </row>
  </sheetData>
  <autoFilter ref="A1:C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1" min="2" style="0" width="23"/>
  </cols>
  <sheetData>
    <row r="1" customFormat="false" ht="33.75" hidden="false" customHeight="true" outlineLevel="0" collapsed="false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</row>
    <row r="2" customFormat="false" ht="30" hidden="false" customHeight="true" outlineLevel="0" collapsed="false">
      <c r="A2" s="5" t="str">
        <f aca="false">Data!A2</f>
        <v>1963-01</v>
      </c>
      <c r="B2" s="12" t="n">
        <f aca="false">Data!K2</f>
        <v>0.0317</v>
      </c>
      <c r="C2" s="12" t="n">
        <f aca="false">Data!B2</f>
        <v>0.0488</v>
      </c>
      <c r="D2" s="12" t="n">
        <f aca="false">(B2-C2)*Inputs!B2</f>
        <v>-0.00855</v>
      </c>
      <c r="E2" s="12" t="n">
        <f aca="false">4*Inputs!B2*Inputs!B4*Inputs!B3/10000</f>
        <v>0.001</v>
      </c>
      <c r="F2" s="12" t="n">
        <f aca="false">Inputs!B2*Inputs!B5/Inputs!B6</f>
        <v>0.000833333333333333</v>
      </c>
      <c r="G2" s="12" t="n">
        <f aca="false">D2-E2-F2</f>
        <v>-0.0103833333333333</v>
      </c>
      <c r="H2" s="5" t="n">
        <f aca="false">(1+G2)</f>
        <v>0.989616666666667</v>
      </c>
      <c r="I2" s="5" t="n">
        <f aca="false">MAX(1,H$2:H2)</f>
        <v>1</v>
      </c>
      <c r="J2" s="12" t="n">
        <f aca="false">H2/I2-1</f>
        <v>-0.0103833333333333</v>
      </c>
      <c r="K2" s="12" t="n">
        <f aca="false">Data!L2</f>
        <v>-0.0214</v>
      </c>
    </row>
    <row r="3" customFormat="false" ht="30" hidden="false" customHeight="true" outlineLevel="0" collapsed="false">
      <c r="A3" s="4" t="str">
        <f aca="false">Data!A3</f>
        <v>1963-02</v>
      </c>
      <c r="B3" s="13" t="n">
        <f aca="false">Data!K3</f>
        <v>-0.0159</v>
      </c>
      <c r="C3" s="13" t="n">
        <f aca="false">Data!B3</f>
        <v>-0.0377</v>
      </c>
      <c r="D3" s="13" t="n">
        <f aca="false">(B3-C3)*Inputs!B2</f>
        <v>0.0109</v>
      </c>
      <c r="E3" s="13" t="n">
        <f aca="false">4*Inputs!B2*Inputs!B4*Inputs!B3/10000</f>
        <v>0.001</v>
      </c>
      <c r="F3" s="13" t="n">
        <f aca="false">Inputs!B2*Inputs!B5/Inputs!B6</f>
        <v>0.000833333333333333</v>
      </c>
      <c r="G3" s="13" t="n">
        <f aca="false">D3-E3-F3</f>
        <v>0.00906666666666667</v>
      </c>
      <c r="H3" s="4" t="n">
        <f aca="false">(1+G3)*H2</f>
        <v>0.998589191111111</v>
      </c>
      <c r="I3" s="4" t="n">
        <f aca="false">MAX(1,H$2:H3)</f>
        <v>1</v>
      </c>
      <c r="J3" s="13" t="n">
        <f aca="false">H3/I3-1</f>
        <v>-0.001410808888889</v>
      </c>
      <c r="K3" s="13" t="n">
        <f aca="false">Data!L3</f>
        <v>0.0252</v>
      </c>
    </row>
    <row r="4" customFormat="false" ht="30" hidden="false" customHeight="true" outlineLevel="0" collapsed="false">
      <c r="A4" s="5" t="str">
        <f aca="false">Data!A4</f>
        <v>1963-03</v>
      </c>
      <c r="B4" s="12" t="n">
        <f aca="false">Data!K4</f>
        <v>0.0539</v>
      </c>
      <c r="C4" s="12" t="n">
        <f aca="false">Data!B4</f>
        <v>0.02</v>
      </c>
      <c r="D4" s="12" t="n">
        <f aca="false">(B4-C4)*Inputs!B2</f>
        <v>0.01695</v>
      </c>
      <c r="E4" s="12" t="n">
        <f aca="false">4*Inputs!B2*Inputs!B4*Inputs!B3/10000</f>
        <v>0.001</v>
      </c>
      <c r="F4" s="12" t="n">
        <f aca="false">Inputs!B2*Inputs!B5/Inputs!B6</f>
        <v>0.000833333333333333</v>
      </c>
      <c r="G4" s="12" t="n">
        <f aca="false">D4-E4-F4</f>
        <v>0.0151166666666667</v>
      </c>
      <c r="H4" s="5" t="n">
        <f aca="false">(1+G4)*H3</f>
        <v>1.01368453105007</v>
      </c>
      <c r="I4" s="5" t="n">
        <f aca="false">MAX(1,H$2:H4)</f>
        <v>1.01368453105007</v>
      </c>
      <c r="J4" s="12" t="n">
        <f aca="false">H4/I4-1</f>
        <v>0</v>
      </c>
      <c r="K4" s="12" t="n">
        <f aca="false">Data!L4</f>
        <v>0.0158</v>
      </c>
    </row>
    <row r="5" customFormat="false" ht="30" hidden="false" customHeight="true" outlineLevel="0" collapsed="false">
      <c r="A5" s="4" t="str">
        <f aca="false">Data!A5</f>
        <v>1963-04</v>
      </c>
      <c r="B5" s="13" t="n">
        <f aca="false">Data!K5</f>
        <v>0.0505</v>
      </c>
      <c r="C5" s="13" t="n">
        <f aca="false">Data!B5</f>
        <v>0.0361</v>
      </c>
      <c r="D5" s="13" t="n">
        <f aca="false">(B5-C5)*Inputs!B2</f>
        <v>0.0072</v>
      </c>
      <c r="E5" s="13" t="n">
        <f aca="false">4*Inputs!B2*Inputs!B4*Inputs!B3/10000</f>
        <v>0.001</v>
      </c>
      <c r="F5" s="13" t="n">
        <f aca="false">Inputs!B2*Inputs!B5/Inputs!B6</f>
        <v>0.000833333333333333</v>
      </c>
      <c r="G5" s="13" t="n">
        <f aca="false">D5-E5-F5</f>
        <v>0.00536666666666667</v>
      </c>
      <c r="H5" s="4" t="n">
        <f aca="false">(1+G5)*H4</f>
        <v>1.01912463803338</v>
      </c>
      <c r="I5" s="4" t="n">
        <f aca="false">MAX(1,H$2:H5)</f>
        <v>1.01912463803338</v>
      </c>
      <c r="J5" s="13" t="n">
        <f aca="false">H5/I5-1</f>
        <v>0</v>
      </c>
      <c r="K5" s="13" t="n">
        <f aca="false">Data!L5</f>
        <v>-0.0006</v>
      </c>
    </row>
    <row r="6" customFormat="false" ht="30" hidden="false" customHeight="true" outlineLevel="0" collapsed="false">
      <c r="A6" s="5" t="str">
        <f aca="false">Data!A6</f>
        <v>1963-05</v>
      </c>
      <c r="B6" s="12" t="n">
        <f aca="false">Data!K6</f>
        <v>0.0312</v>
      </c>
      <c r="C6" s="12" t="n">
        <f aca="false">Data!B6</f>
        <v>0.0297</v>
      </c>
      <c r="D6" s="12" t="n">
        <f aca="false">(B6-C6)*Inputs!B2</f>
        <v>0.000749999999999999</v>
      </c>
      <c r="E6" s="12" t="n">
        <f aca="false">4*Inputs!B2*Inputs!B4*Inputs!B3/10000</f>
        <v>0.001</v>
      </c>
      <c r="F6" s="12" t="n">
        <f aca="false">Inputs!B2*Inputs!B5/Inputs!B6</f>
        <v>0.000833333333333333</v>
      </c>
      <c r="G6" s="12" t="n">
        <f aca="false">D6-E6-F6</f>
        <v>-0.00108333333333333</v>
      </c>
      <c r="H6" s="5" t="n">
        <f aca="false">(1+G6)*H5</f>
        <v>1.01802058634217</v>
      </c>
      <c r="I6" s="5" t="n">
        <f aca="false">MAX(1,H$2:H6)</f>
        <v>1.01912463803338</v>
      </c>
      <c r="J6" s="12" t="n">
        <f aca="false">H6/I6-1</f>
        <v>-0.00108333333333333</v>
      </c>
      <c r="K6" s="12" t="n">
        <f aca="false">Data!L6</f>
        <v>0.0029</v>
      </c>
    </row>
    <row r="7" customFormat="false" ht="30" hidden="false" customHeight="true" outlineLevel="0" collapsed="false">
      <c r="A7" s="4" t="str">
        <f aca="false">Data!A7</f>
        <v>1963-06</v>
      </c>
      <c r="B7" s="13" t="n">
        <f aca="false">Data!K7</f>
        <v>-0.0214</v>
      </c>
      <c r="C7" s="13" t="n">
        <f aca="false">Data!B7</f>
        <v>-0.0174</v>
      </c>
      <c r="D7" s="13" t="n">
        <f aca="false">(B7-C7)*Inputs!B2</f>
        <v>-0.002</v>
      </c>
      <c r="E7" s="13" t="n">
        <f aca="false">4*Inputs!B2*Inputs!B4*Inputs!B3/10000</f>
        <v>0.001</v>
      </c>
      <c r="F7" s="13" t="n">
        <f aca="false">Inputs!B2*Inputs!B5/Inputs!B6</f>
        <v>0.000833333333333333</v>
      </c>
      <c r="G7" s="13" t="n">
        <f aca="false">D7-E7-F7</f>
        <v>-0.00383333333333333</v>
      </c>
      <c r="H7" s="4" t="n">
        <f aca="false">(1+G7)*H6</f>
        <v>1.01411817409453</v>
      </c>
      <c r="I7" s="4" t="n">
        <f aca="false">MAX(1,H$2:H7)</f>
        <v>1.01912463803338</v>
      </c>
      <c r="J7" s="13" t="n">
        <f aca="false">H7/I7-1</f>
        <v>-0.00491251388888891</v>
      </c>
      <c r="K7" s="13" t="n">
        <f aca="false">Data!L7</f>
        <v>0.0116</v>
      </c>
    </row>
    <row r="8" customFormat="false" ht="30" hidden="false" customHeight="true" outlineLevel="0" collapsed="false">
      <c r="A8" s="5" t="str">
        <f aca="false">Data!A8</f>
        <v>1963-07</v>
      </c>
      <c r="B8" s="12" t="n">
        <f aca="false">Data!K8</f>
        <v>0.0041</v>
      </c>
      <c r="C8" s="12" t="n">
        <f aca="false">Data!B8</f>
        <v>-0.0277</v>
      </c>
      <c r="D8" s="12" t="n">
        <f aca="false">(B8-C8)*Inputs!B2</f>
        <v>0.0159</v>
      </c>
      <c r="E8" s="12" t="n">
        <f aca="false">4*Inputs!B2*Inputs!B4*Inputs!B3/10000</f>
        <v>0.001</v>
      </c>
      <c r="F8" s="12" t="n">
        <f aca="false">Inputs!B2*Inputs!B5/Inputs!B6</f>
        <v>0.000833333333333333</v>
      </c>
      <c r="G8" s="12" t="n">
        <f aca="false">D8-E8-F8</f>
        <v>0.0140666666666667</v>
      </c>
      <c r="H8" s="5" t="n">
        <f aca="false">(1+G8)*H7</f>
        <v>1.02838343641012</v>
      </c>
      <c r="I8" s="5" t="n">
        <f aca="false">MAX(1,H$2:H8)</f>
        <v>1.02838343641012</v>
      </c>
      <c r="J8" s="12" t="n">
        <f aca="false">H8/I8-1</f>
        <v>0</v>
      </c>
      <c r="K8" s="12" t="n">
        <f aca="false">Data!L8</f>
        <v>0.0101</v>
      </c>
    </row>
    <row r="9" customFormat="false" ht="30" hidden="false" customHeight="true" outlineLevel="0" collapsed="false">
      <c r="A9" s="4" t="str">
        <f aca="false">Data!A9</f>
        <v>1963-08</v>
      </c>
      <c r="B9" s="13" t="n">
        <f aca="false">Data!K9</f>
        <v>0.0922</v>
      </c>
      <c r="C9" s="13" t="n">
        <f aca="false">Data!B9</f>
        <v>0.0603</v>
      </c>
      <c r="D9" s="13" t="n">
        <f aca="false">(B9-C9)*Inputs!B2</f>
        <v>0.01595</v>
      </c>
      <c r="E9" s="13" t="n">
        <f aca="false">4*Inputs!B2*Inputs!B4*Inputs!B3/10000</f>
        <v>0.001</v>
      </c>
      <c r="F9" s="13" t="n">
        <f aca="false">Inputs!B2*Inputs!B5/Inputs!B6</f>
        <v>0.000833333333333333</v>
      </c>
      <c r="G9" s="13" t="n">
        <f aca="false">D9-E9-F9</f>
        <v>0.0141166666666667</v>
      </c>
      <c r="H9" s="4" t="n">
        <f aca="false">(1+G9)*H8</f>
        <v>1.04290078258745</v>
      </c>
      <c r="I9" s="4" t="n">
        <f aca="false">MAX(1,H$2:H9)</f>
        <v>1.04290078258745</v>
      </c>
      <c r="J9" s="13" t="n">
        <f aca="false">H9/I9-1</f>
        <v>0</v>
      </c>
      <c r="K9" s="13" t="n">
        <f aca="false">Data!L9</f>
        <v>0.01</v>
      </c>
    </row>
    <row r="10" customFormat="false" ht="30" hidden="false" customHeight="true" outlineLevel="0" collapsed="false">
      <c r="A10" s="5" t="str">
        <f aca="false">Data!A10</f>
        <v>1963-09</v>
      </c>
      <c r="B10" s="12" t="n">
        <f aca="false">Data!K10</f>
        <v>-0.0207</v>
      </c>
      <c r="C10" s="12" t="n">
        <f aca="false">Data!B10</f>
        <v>-0.0308</v>
      </c>
      <c r="D10" s="12" t="n">
        <f aca="false">(B10-C10)*Inputs!B2</f>
        <v>0.00505</v>
      </c>
      <c r="E10" s="12" t="n">
        <f aca="false">4*Inputs!B2*Inputs!B4*Inputs!B3/10000</f>
        <v>0.001</v>
      </c>
      <c r="F10" s="12" t="n">
        <f aca="false">Inputs!B2*Inputs!B5/Inputs!B6</f>
        <v>0.000833333333333333</v>
      </c>
      <c r="G10" s="12" t="n">
        <f aca="false">D10-E10-F10</f>
        <v>0.00321666666666667</v>
      </c>
      <c r="H10" s="5" t="n">
        <f aca="false">(1+G10)*H9</f>
        <v>1.04625544677144</v>
      </c>
      <c r="I10" s="5" t="n">
        <f aca="false">MAX(1,H$2:H10)</f>
        <v>1.04625544677144</v>
      </c>
      <c r="J10" s="12" t="n">
        <f aca="false">H10/I10-1</f>
        <v>0</v>
      </c>
      <c r="K10" s="12" t="n">
        <f aca="false">Data!L10</f>
        <v>0.0012</v>
      </c>
    </row>
    <row r="11" customFormat="false" ht="30" hidden="false" customHeight="true" outlineLevel="0" collapsed="false">
      <c r="A11" s="4" t="str">
        <f aca="false">Data!A11</f>
        <v>1963-10</v>
      </c>
      <c r="B11" s="13" t="n">
        <f aca="false">Data!K11</f>
        <v>0.0549</v>
      </c>
      <c r="C11" s="13" t="n">
        <f aca="false">Data!B11</f>
        <v>0.019</v>
      </c>
      <c r="D11" s="13" t="n">
        <f aca="false">(B11-C11)*Inputs!B2</f>
        <v>0.01795</v>
      </c>
      <c r="E11" s="13" t="n">
        <f aca="false">4*Inputs!B2*Inputs!B4*Inputs!B3/10000</f>
        <v>0.001</v>
      </c>
      <c r="F11" s="13" t="n">
        <f aca="false">Inputs!B2*Inputs!B5/Inputs!B6</f>
        <v>0.000833333333333333</v>
      </c>
      <c r="G11" s="13" t="n">
        <f aca="false">D11-E11-F11</f>
        <v>0.0161166666666667</v>
      </c>
      <c r="H11" s="4" t="n">
        <f aca="false">(1+G11)*H10</f>
        <v>1.06311759705524</v>
      </c>
      <c r="I11" s="4" t="n">
        <f aca="false">MAX(1,H$2:H11)</f>
        <v>1.06311759705524</v>
      </c>
      <c r="J11" s="13" t="n">
        <f aca="false">H11/I11-1</f>
        <v>0</v>
      </c>
      <c r="K11" s="13" t="n">
        <f aca="false">Data!L11</f>
        <v>0.0313</v>
      </c>
    </row>
    <row r="12" customFormat="false" ht="30" hidden="false" customHeight="true" outlineLevel="0" collapsed="false">
      <c r="A12" s="5" t="str">
        <f aca="false">Data!A12</f>
        <v>1963-11</v>
      </c>
      <c r="B12" s="12" t="n">
        <f aca="false">Data!K12</f>
        <v>-0.0018</v>
      </c>
      <c r="C12" s="12" t="n">
        <f aca="false">Data!B12</f>
        <v>0.002</v>
      </c>
      <c r="D12" s="12" t="n">
        <f aca="false">(B12-C12)*Inputs!B2</f>
        <v>-0.0019</v>
      </c>
      <c r="E12" s="12" t="n">
        <f aca="false">4*Inputs!B2*Inputs!B4*Inputs!B3/10000</f>
        <v>0.001</v>
      </c>
      <c r="F12" s="12" t="n">
        <f aca="false">Inputs!B2*Inputs!B5/Inputs!B6</f>
        <v>0.000833333333333333</v>
      </c>
      <c r="G12" s="12" t="n">
        <f aca="false">D12-E12-F12</f>
        <v>-0.00373333333333333</v>
      </c>
      <c r="H12" s="5" t="n">
        <f aca="false">(1+G12)*H11</f>
        <v>1.0591486246929</v>
      </c>
      <c r="I12" s="5" t="n">
        <f aca="false">MAX(1,H$2:H12)</f>
        <v>1.06311759705524</v>
      </c>
      <c r="J12" s="12" t="n">
        <f aca="false">H12/I12-1</f>
        <v>-0.00373333333333326</v>
      </c>
      <c r="K12" s="12" t="n">
        <f aca="false">Data!L12</f>
        <v>-0.0077</v>
      </c>
    </row>
    <row r="13" customFormat="false" ht="30" hidden="false" customHeight="true" outlineLevel="0" collapsed="false">
      <c r="A13" s="4" t="str">
        <f aca="false">Data!A13</f>
        <v>1963-12</v>
      </c>
      <c r="B13" s="13" t="n">
        <f aca="false">Data!K13</f>
        <v>0.0077</v>
      </c>
      <c r="C13" s="13" t="n">
        <f aca="false">Data!B13</f>
        <v>-0.0249</v>
      </c>
      <c r="D13" s="13" t="n">
        <f aca="false">(B13-C13)*Inputs!B2</f>
        <v>0.0163</v>
      </c>
      <c r="E13" s="13" t="n">
        <f aca="false">4*Inputs!B2*Inputs!B4*Inputs!B3/10000</f>
        <v>0.001</v>
      </c>
      <c r="F13" s="13" t="n">
        <f aca="false">Inputs!B2*Inputs!B5/Inputs!B6</f>
        <v>0.000833333333333333</v>
      </c>
      <c r="G13" s="13" t="n">
        <f aca="false">D13-E13-F13</f>
        <v>0.0144666666666667</v>
      </c>
      <c r="H13" s="4" t="n">
        <f aca="false">(1+G13)*H12</f>
        <v>1.07447097479679</v>
      </c>
      <c r="I13" s="4" t="n">
        <f aca="false">MAX(1,H$2:H13)</f>
        <v>1.07447097479679</v>
      </c>
      <c r="J13" s="13" t="n">
        <f aca="false">H13/I13-1</f>
        <v>0</v>
      </c>
      <c r="K13" s="13" t="n">
        <f aca="false">Data!L13</f>
        <v>0.0184</v>
      </c>
    </row>
    <row r="14" customFormat="false" ht="30" hidden="false" customHeight="true" outlineLevel="0" collapsed="false">
      <c r="A14" s="5" t="str">
        <f aca="false">Data!A14</f>
        <v>1964-01</v>
      </c>
      <c r="B14" s="12" t="n">
        <f aca="false">Data!K14</f>
        <v>0.0191</v>
      </c>
      <c r="C14" s="12" t="n">
        <f aca="false">Data!B14</f>
        <v>0.0096</v>
      </c>
      <c r="D14" s="12" t="n">
        <f aca="false">(B14-C14)*Inputs!B2</f>
        <v>0.00475</v>
      </c>
      <c r="E14" s="12" t="n">
        <f aca="false">4*Inputs!B2*Inputs!B4*Inputs!B3/10000</f>
        <v>0.001</v>
      </c>
      <c r="F14" s="12" t="n">
        <f aca="false">Inputs!B2*Inputs!B5/Inputs!B6</f>
        <v>0.000833333333333333</v>
      </c>
      <c r="G14" s="12" t="n">
        <f aca="false">D14-E14-F14</f>
        <v>0.00291666666666667</v>
      </c>
      <c r="H14" s="5" t="n">
        <f aca="false">(1+G14)*H13</f>
        <v>1.07760484847328</v>
      </c>
      <c r="I14" s="5" t="n">
        <f aca="false">MAX(1,H$2:H14)</f>
        <v>1.07760484847328</v>
      </c>
      <c r="J14" s="12" t="n">
        <f aca="false">H14/I14-1</f>
        <v>0</v>
      </c>
      <c r="K14" s="12" t="n">
        <f aca="false">Data!L14</f>
        <v>0.0081</v>
      </c>
    </row>
    <row r="15" customFormat="false" ht="30" hidden="false" customHeight="true" outlineLevel="0" collapsed="false">
      <c r="A15" s="4" t="str">
        <f aca="false">Data!A15</f>
        <v>1964-02</v>
      </c>
      <c r="B15" s="13" t="n">
        <f aca="false">Data!K15</f>
        <v>0.0355</v>
      </c>
      <c r="C15" s="13" t="n">
        <f aca="false">Data!B15</f>
        <v>0.0176</v>
      </c>
      <c r="D15" s="13" t="n">
        <f aca="false">(B15-C15)*Inputs!B2</f>
        <v>0.00895</v>
      </c>
      <c r="E15" s="13" t="n">
        <f aca="false">4*Inputs!B2*Inputs!B4*Inputs!B3/10000</f>
        <v>0.001</v>
      </c>
      <c r="F15" s="13" t="n">
        <f aca="false">Inputs!B2*Inputs!B5/Inputs!B6</f>
        <v>0.000833333333333333</v>
      </c>
      <c r="G15" s="13" t="n">
        <f aca="false">D15-E15-F15</f>
        <v>0.00711666666666667</v>
      </c>
      <c r="H15" s="4" t="n">
        <f aca="false">(1+G15)*H14</f>
        <v>1.08527380297825</v>
      </c>
      <c r="I15" s="4" t="n">
        <f aca="false">MAX(1,H$2:H15)</f>
        <v>1.08527380297825</v>
      </c>
      <c r="J15" s="13" t="n">
        <f aca="false">H15/I15-1</f>
        <v>0</v>
      </c>
      <c r="K15" s="13" t="n">
        <f aca="false">Data!L15</f>
        <v>0.0033</v>
      </c>
    </row>
    <row r="16" customFormat="false" ht="30" hidden="false" customHeight="true" outlineLevel="0" collapsed="false">
      <c r="A16" s="5" t="str">
        <f aca="false">Data!A16</f>
        <v>1964-03</v>
      </c>
      <c r="B16" s="12" t="n">
        <f aca="false">Data!K16</f>
        <v>0.036</v>
      </c>
      <c r="C16" s="12" t="n">
        <f aca="false">Data!B16</f>
        <v>0.0051</v>
      </c>
      <c r="D16" s="12" t="n">
        <f aca="false">(B16-C16)*Inputs!B2</f>
        <v>0.01545</v>
      </c>
      <c r="E16" s="12" t="n">
        <f aca="false">4*Inputs!B2*Inputs!B4*Inputs!B3/10000</f>
        <v>0.001</v>
      </c>
      <c r="F16" s="12" t="n">
        <f aca="false">Inputs!B2*Inputs!B5/Inputs!B6</f>
        <v>0.000833333333333333</v>
      </c>
      <c r="G16" s="12" t="n">
        <f aca="false">D16-E16-F16</f>
        <v>0.0136166666666667</v>
      </c>
      <c r="H16" s="5" t="n">
        <f aca="false">(1+G16)*H15</f>
        <v>1.10005161459547</v>
      </c>
      <c r="I16" s="5" t="n">
        <f aca="false">MAX(1,H$2:H16)</f>
        <v>1.10005161459547</v>
      </c>
      <c r="J16" s="12" t="n">
        <f aca="false">H16/I16-1</f>
        <v>0</v>
      </c>
      <c r="K16" s="12" t="n">
        <f aca="false">Data!L16</f>
        <v>0.0073</v>
      </c>
    </row>
    <row r="17" customFormat="false" ht="30" hidden="false" customHeight="true" outlineLevel="0" collapsed="false">
      <c r="A17" s="4" t="str">
        <f aca="false">Data!A17</f>
        <v>1964-04</v>
      </c>
      <c r="B17" s="13" t="n">
        <f aca="false">Data!K17</f>
        <v>-0.0051</v>
      </c>
      <c r="C17" s="13" t="n">
        <f aca="false">Data!B17</f>
        <v>-0.0065</v>
      </c>
      <c r="D17" s="13" t="n">
        <f aca="false">(B17-C17)*Inputs!B2</f>
        <v>0.0007</v>
      </c>
      <c r="E17" s="13" t="n">
        <f aca="false">4*Inputs!B2*Inputs!B4*Inputs!B3/10000</f>
        <v>0.001</v>
      </c>
      <c r="F17" s="13" t="n">
        <f aca="false">Inputs!B2*Inputs!B5/Inputs!B6</f>
        <v>0.000833333333333333</v>
      </c>
      <c r="G17" s="13" t="n">
        <f aca="false">D17-E17-F17</f>
        <v>-0.00113333333333333</v>
      </c>
      <c r="H17" s="4" t="n">
        <f aca="false">(1+G17)*H16</f>
        <v>1.09880488943226</v>
      </c>
      <c r="I17" s="4" t="n">
        <f aca="false">MAX(1,H$2:H17)</f>
        <v>1.10005161459547</v>
      </c>
      <c r="J17" s="13" t="n">
        <f aca="false">H17/I17-1</f>
        <v>-0.00113333333333332</v>
      </c>
      <c r="K17" s="13" t="n">
        <f aca="false">Data!L17</f>
        <v>-0.0064</v>
      </c>
    </row>
    <row r="18" customFormat="false" ht="30" hidden="false" customHeight="true" outlineLevel="0" collapsed="false">
      <c r="A18" s="5" t="str">
        <f aca="false">Data!A18</f>
        <v>1964-05</v>
      </c>
      <c r="B18" s="12" t="n">
        <f aca="false">Data!K18</f>
        <v>0.0395</v>
      </c>
      <c r="C18" s="12" t="n">
        <f aca="false">Data!B18</f>
        <v>0.0024</v>
      </c>
      <c r="D18" s="12" t="n">
        <f aca="false">(B18-C18)*Inputs!B2</f>
        <v>0.01855</v>
      </c>
      <c r="E18" s="12" t="n">
        <f aca="false">4*Inputs!B2*Inputs!B4*Inputs!B3/10000</f>
        <v>0.001</v>
      </c>
      <c r="F18" s="12" t="n">
        <f aca="false">Inputs!B2*Inputs!B5/Inputs!B6</f>
        <v>0.000833333333333333</v>
      </c>
      <c r="G18" s="12" t="n">
        <f aca="false">D18-E18-F18</f>
        <v>0.0167166666666667</v>
      </c>
      <c r="H18" s="5" t="n">
        <f aca="false">(1+G18)*H17</f>
        <v>1.1171732445006</v>
      </c>
      <c r="I18" s="5" t="n">
        <f aca="false">MAX(1,H$2:H18)</f>
        <v>1.1171732445006</v>
      </c>
      <c r="J18" s="12" t="n">
        <f aca="false">H18/I18-1</f>
        <v>0</v>
      </c>
      <c r="K18" s="12" t="n">
        <f aca="false">Data!L18</f>
        <v>0.0253</v>
      </c>
    </row>
    <row r="19" customFormat="false" ht="30" hidden="false" customHeight="true" outlineLevel="0" collapsed="false">
      <c r="A19" s="4" t="str">
        <f aca="false">Data!A19</f>
        <v>1964-06</v>
      </c>
      <c r="B19" s="13" t="n">
        <f aca="false">Data!K19</f>
        <v>0.0089</v>
      </c>
      <c r="C19" s="13" t="n">
        <f aca="false">Data!B19</f>
        <v>0.0102</v>
      </c>
      <c r="D19" s="13" t="n">
        <f aca="false">(B19-C19)*Inputs!B2</f>
        <v>-0.00065</v>
      </c>
      <c r="E19" s="13" t="n">
        <f aca="false">4*Inputs!B2*Inputs!B4*Inputs!B3/10000</f>
        <v>0.001</v>
      </c>
      <c r="F19" s="13" t="n">
        <f aca="false">Inputs!B2*Inputs!B5/Inputs!B6</f>
        <v>0.000833333333333333</v>
      </c>
      <c r="G19" s="13" t="n">
        <f aca="false">D19-E19-F19</f>
        <v>-0.00248333333333333</v>
      </c>
      <c r="H19" s="4" t="n">
        <f aca="false">(1+G19)*H18</f>
        <v>1.11439893094343</v>
      </c>
      <c r="I19" s="4" t="n">
        <f aca="false">MAX(1,H$2:H19)</f>
        <v>1.1171732445006</v>
      </c>
      <c r="J19" s="13" t="n">
        <f aca="false">H19/I19-1</f>
        <v>-0.00248333333333339</v>
      </c>
      <c r="K19" s="13" t="n">
        <f aca="false">Data!L19</f>
        <v>0.0047</v>
      </c>
    </row>
    <row r="20" customFormat="false" ht="30" hidden="false" customHeight="true" outlineLevel="0" collapsed="false">
      <c r="A20" s="5" t="str">
        <f aca="false">Data!A20</f>
        <v>1964-07</v>
      </c>
      <c r="B20" s="12" t="n">
        <f aca="false">Data!K20</f>
        <v>0.0073</v>
      </c>
      <c r="C20" s="12" t="n">
        <f aca="false">Data!B20</f>
        <v>0.0189</v>
      </c>
      <c r="D20" s="12" t="n">
        <f aca="false">(B20-C20)*Inputs!B2</f>
        <v>-0.0058</v>
      </c>
      <c r="E20" s="12" t="n">
        <f aca="false">4*Inputs!B2*Inputs!B4*Inputs!B3/10000</f>
        <v>0.001</v>
      </c>
      <c r="F20" s="12" t="n">
        <f aca="false">Inputs!B2*Inputs!B5/Inputs!B6</f>
        <v>0.000833333333333333</v>
      </c>
      <c r="G20" s="12" t="n">
        <f aca="false">D20-E20-F20</f>
        <v>-0.00763333333333333</v>
      </c>
      <c r="H20" s="5" t="n">
        <f aca="false">(1+G20)*H19</f>
        <v>1.10589235243722</v>
      </c>
      <c r="I20" s="5" t="n">
        <f aca="false">MAX(1,H$2:H20)</f>
        <v>1.1171732445006</v>
      </c>
      <c r="J20" s="12" t="n">
        <f aca="false">H20/I20-1</f>
        <v>-0.0100977105555556</v>
      </c>
      <c r="K20" s="12" t="n">
        <f aca="false">Data!L20</f>
        <v>-0.0037</v>
      </c>
    </row>
    <row r="21" customFormat="false" ht="30" hidden="false" customHeight="true" outlineLevel="0" collapsed="false">
      <c r="A21" s="4" t="str">
        <f aca="false">Data!A21</f>
        <v>1964-08</v>
      </c>
      <c r="B21" s="13" t="n">
        <f aca="false">Data!K21</f>
        <v>-0.0088</v>
      </c>
      <c r="C21" s="13" t="n">
        <f aca="false">Data!B21</f>
        <v>-0.0131</v>
      </c>
      <c r="D21" s="13" t="n">
        <f aca="false">(B21-C21)*Inputs!B2</f>
        <v>0.00215</v>
      </c>
      <c r="E21" s="13" t="n">
        <f aca="false">4*Inputs!B2*Inputs!B4*Inputs!B3/10000</f>
        <v>0.001</v>
      </c>
      <c r="F21" s="13" t="n">
        <f aca="false">Inputs!B2*Inputs!B5/Inputs!B6</f>
        <v>0.000833333333333333</v>
      </c>
      <c r="G21" s="13" t="n">
        <f aca="false">D21-E21-F21</f>
        <v>0.000316666666666667</v>
      </c>
      <c r="H21" s="4" t="n">
        <f aca="false">(1+G21)*H20</f>
        <v>1.10624255168216</v>
      </c>
      <c r="I21" s="4" t="n">
        <f aca="false">MAX(1,H$2:H21)</f>
        <v>1.1171732445006</v>
      </c>
      <c r="J21" s="13" t="n">
        <f aca="false">H21/I21-1</f>
        <v>-0.00978424149723134</v>
      </c>
      <c r="K21" s="13" t="n">
        <f aca="false">Data!L21</f>
        <v>-0.0024</v>
      </c>
    </row>
    <row r="22" customFormat="false" ht="30" hidden="false" customHeight="true" outlineLevel="0" collapsed="false">
      <c r="A22" s="5" t="str">
        <f aca="false">Data!A22</f>
        <v>1964-09</v>
      </c>
      <c r="B22" s="12" t="n">
        <f aca="false">Data!K22</f>
        <v>0.0639</v>
      </c>
      <c r="C22" s="12" t="n">
        <f aca="false">Data!B22</f>
        <v>0.0579</v>
      </c>
      <c r="D22" s="12" t="n">
        <f aca="false">(B22-C22)*Inputs!B2</f>
        <v>0.003</v>
      </c>
      <c r="E22" s="12" t="n">
        <f aca="false">4*Inputs!B2*Inputs!B4*Inputs!B3/10000</f>
        <v>0.001</v>
      </c>
      <c r="F22" s="12" t="n">
        <f aca="false">Inputs!B2*Inputs!B5/Inputs!B6</f>
        <v>0.000833333333333333</v>
      </c>
      <c r="G22" s="12" t="n">
        <f aca="false">D22-E22-F22</f>
        <v>0.00116666666666667</v>
      </c>
      <c r="H22" s="5" t="n">
        <f aca="false">(1+G22)*H21</f>
        <v>1.10753316799246</v>
      </c>
      <c r="I22" s="5" t="n">
        <f aca="false">MAX(1,H$2:H22)</f>
        <v>1.1171732445006</v>
      </c>
      <c r="J22" s="12" t="n">
        <f aca="false">H22/I22-1</f>
        <v>-0.00862898977897808</v>
      </c>
      <c r="K22" s="12" t="n">
        <f aca="false">Data!L22</f>
        <v>-0.0039</v>
      </c>
    </row>
    <row r="23" customFormat="false" ht="30" hidden="false" customHeight="true" outlineLevel="0" collapsed="false">
      <c r="A23" s="4" t="str">
        <f aca="false">Data!A23</f>
        <v>1964-10</v>
      </c>
      <c r="B23" s="13" t="n">
        <f aca="false">Data!K23</f>
        <v>0.0004</v>
      </c>
      <c r="C23" s="13" t="n">
        <f aca="false">Data!B23</f>
        <v>0.0154</v>
      </c>
      <c r="D23" s="13" t="n">
        <f aca="false">(B23-C23)*Inputs!B2</f>
        <v>-0.0075</v>
      </c>
      <c r="E23" s="13" t="n">
        <f aca="false">4*Inputs!B2*Inputs!B4*Inputs!B3/10000</f>
        <v>0.001</v>
      </c>
      <c r="F23" s="13" t="n">
        <f aca="false">Inputs!B2*Inputs!B5/Inputs!B6</f>
        <v>0.000833333333333333</v>
      </c>
      <c r="G23" s="13" t="n">
        <f aca="false">D23-E23-F23</f>
        <v>-0.00933333333333333</v>
      </c>
      <c r="H23" s="4" t="n">
        <f aca="false">(1+G23)*H22</f>
        <v>1.09719619175786</v>
      </c>
      <c r="I23" s="4" t="n">
        <f aca="false">MAX(1,H$2:H23)</f>
        <v>1.1171732445006</v>
      </c>
      <c r="J23" s="13" t="n">
        <f aca="false">H23/I23-1</f>
        <v>-0.0178817858743742</v>
      </c>
      <c r="K23" s="13" t="n">
        <f aca="false">Data!L23</f>
        <v>0.0019</v>
      </c>
    </row>
    <row r="24" customFormat="false" ht="30" hidden="false" customHeight="true" outlineLevel="0" collapsed="false">
      <c r="A24" s="5" t="str">
        <f aca="false">Data!A24</f>
        <v>1964-11</v>
      </c>
      <c r="B24" s="12" t="n">
        <f aca="false">Data!K24</f>
        <v>0.0001</v>
      </c>
      <c r="C24" s="12" t="n">
        <f aca="false">Data!B24</f>
        <v>-0.0306</v>
      </c>
      <c r="D24" s="12" t="n">
        <f aca="false">(B24-C24)*Inputs!B2</f>
        <v>0.01535</v>
      </c>
      <c r="E24" s="12" t="n">
        <f aca="false">4*Inputs!B2*Inputs!B4*Inputs!B3/10000</f>
        <v>0.001</v>
      </c>
      <c r="F24" s="12" t="n">
        <f aca="false">Inputs!B2*Inputs!B5/Inputs!B6</f>
        <v>0.000833333333333333</v>
      </c>
      <c r="G24" s="12" t="n">
        <f aca="false">D24-E24-F24</f>
        <v>0.0135166666666667</v>
      </c>
      <c r="H24" s="5" t="n">
        <f aca="false">(1+G24)*H23</f>
        <v>1.11202662694979</v>
      </c>
      <c r="I24" s="5" t="n">
        <f aca="false">MAX(1,H$2:H24)</f>
        <v>1.1171732445006</v>
      </c>
      <c r="J24" s="12" t="n">
        <f aca="false">H24/I24-1</f>
        <v>-0.00460682134677615</v>
      </c>
      <c r="K24" s="12" t="n">
        <f aca="false">Data!L24</f>
        <v>0.011</v>
      </c>
    </row>
    <row r="25" customFormat="false" ht="30" hidden="false" customHeight="true" outlineLevel="0" collapsed="false">
      <c r="A25" s="4" t="str">
        <f aca="false">Data!A25</f>
        <v>1964-12</v>
      </c>
      <c r="B25" s="13" t="n">
        <f aca="false">Data!K25</f>
        <v>-0.0079</v>
      </c>
      <c r="C25" s="13" t="n">
        <f aca="false">Data!B25</f>
        <v>-0.0022</v>
      </c>
      <c r="D25" s="13" t="n">
        <f aca="false">(B25-C25)*Inputs!B2</f>
        <v>-0.00285</v>
      </c>
      <c r="E25" s="13" t="n">
        <f aca="false">4*Inputs!B2*Inputs!B4*Inputs!B3/10000</f>
        <v>0.001</v>
      </c>
      <c r="F25" s="13" t="n">
        <f aca="false">Inputs!B2*Inputs!B5/Inputs!B6</f>
        <v>0.000833333333333333</v>
      </c>
      <c r="G25" s="13" t="n">
        <f aca="false">D25-E25-F25</f>
        <v>-0.00468333333333333</v>
      </c>
      <c r="H25" s="4" t="n">
        <f aca="false">(1+G25)*H24</f>
        <v>1.10681863558024</v>
      </c>
      <c r="I25" s="4" t="n">
        <f aca="false">MAX(1,H$2:H25)</f>
        <v>1.1171732445006</v>
      </c>
      <c r="J25" s="13" t="n">
        <f aca="false">H25/I25-1</f>
        <v>-0.00926857940013548</v>
      </c>
      <c r="K25" s="13" t="n">
        <f aca="false">Data!L25</f>
        <v>-0.007</v>
      </c>
    </row>
    <row r="26" customFormat="false" ht="30" hidden="false" customHeight="true" outlineLevel="0" collapsed="false">
      <c r="A26" s="5" t="str">
        <f aca="false">Data!A26</f>
        <v>1965-01</v>
      </c>
      <c r="B26" s="12" t="n">
        <f aca="false">Data!K26</f>
        <v>0.0452</v>
      </c>
      <c r="C26" s="12" t="n">
        <f aca="false">Data!B26</f>
        <v>0.078</v>
      </c>
      <c r="D26" s="12" t="n">
        <f aca="false">(B26-C26)*Inputs!B2</f>
        <v>-0.0164</v>
      </c>
      <c r="E26" s="12" t="n">
        <f aca="false">4*Inputs!B2*Inputs!B4*Inputs!B3/10000</f>
        <v>0.001</v>
      </c>
      <c r="F26" s="12" t="n">
        <f aca="false">Inputs!B2*Inputs!B5/Inputs!B6</f>
        <v>0.000833333333333333</v>
      </c>
      <c r="G26" s="12" t="n">
        <f aca="false">D26-E26-F26</f>
        <v>-0.0182333333333333</v>
      </c>
      <c r="H26" s="5" t="n">
        <f aca="false">(1+G26)*H25</f>
        <v>1.08663764245816</v>
      </c>
      <c r="I26" s="5" t="n">
        <f aca="false">MAX(1,H$2:H26)</f>
        <v>1.1171732445006</v>
      </c>
      <c r="J26" s="12" t="n">
        <f aca="false">H26/I26-1</f>
        <v>-0.0273329156357397</v>
      </c>
      <c r="K26" s="12" t="n">
        <f aca="false">Data!L26</f>
        <v>-0.0139</v>
      </c>
    </row>
    <row r="27" customFormat="false" ht="30" hidden="false" customHeight="true" outlineLevel="0" collapsed="false">
      <c r="A27" s="4" t="str">
        <f aca="false">Data!A27</f>
        <v>1965-02</v>
      </c>
      <c r="B27" s="13" t="n">
        <f aca="false">Data!K27</f>
        <v>0.0281</v>
      </c>
      <c r="C27" s="13" t="n">
        <f aca="false">Data!B27</f>
        <v>0.0249</v>
      </c>
      <c r="D27" s="13" t="n">
        <f aca="false">(B27-C27)*Inputs!B2</f>
        <v>0.0016</v>
      </c>
      <c r="E27" s="13" t="n">
        <f aca="false">4*Inputs!B2*Inputs!B4*Inputs!B3/10000</f>
        <v>0.001</v>
      </c>
      <c r="F27" s="13" t="n">
        <f aca="false">Inputs!B2*Inputs!B5/Inputs!B6</f>
        <v>0.000833333333333333</v>
      </c>
      <c r="G27" s="13" t="n">
        <f aca="false">D27-E27-F27</f>
        <v>-0.000233333333333333</v>
      </c>
      <c r="H27" s="4" t="n">
        <f aca="false">(1+G27)*H26</f>
        <v>1.08638409367492</v>
      </c>
      <c r="I27" s="4" t="n">
        <f aca="false">MAX(1,H$2:H27)</f>
        <v>1.1171732445006</v>
      </c>
      <c r="J27" s="13" t="n">
        <f aca="false">H27/I27-1</f>
        <v>-0.027559871288758</v>
      </c>
      <c r="K27" s="13" t="n">
        <f aca="false">Data!L27</f>
        <v>0.0024</v>
      </c>
    </row>
    <row r="28" customFormat="false" ht="30" hidden="false" customHeight="true" outlineLevel="0" collapsed="false">
      <c r="A28" s="5" t="str">
        <f aca="false">Data!A28</f>
        <v>1965-03</v>
      </c>
      <c r="B28" s="12" t="n">
        <f aca="false">Data!K28</f>
        <v>0.0028</v>
      </c>
      <c r="C28" s="12" t="n">
        <f aca="false">Data!B28</f>
        <v>-0.0111</v>
      </c>
      <c r="D28" s="12" t="n">
        <f aca="false">(B28-C28)*Inputs!B2</f>
        <v>0.00695</v>
      </c>
      <c r="E28" s="12" t="n">
        <f aca="false">4*Inputs!B2*Inputs!B4*Inputs!B3/10000</f>
        <v>0.001</v>
      </c>
      <c r="F28" s="12" t="n">
        <f aca="false">Inputs!B2*Inputs!B5/Inputs!B6</f>
        <v>0.000833333333333333</v>
      </c>
      <c r="G28" s="12" t="n">
        <f aca="false">D28-E28-F28</f>
        <v>0.00511666666666667</v>
      </c>
      <c r="H28" s="5" t="n">
        <f aca="false">(1+G28)*H27</f>
        <v>1.09194275895422</v>
      </c>
      <c r="I28" s="5" t="n">
        <f aca="false">MAX(1,H$2:H28)</f>
        <v>1.1171732445006</v>
      </c>
      <c r="J28" s="12" t="n">
        <f aca="false">H28/I28-1</f>
        <v>-0.0225842192968522</v>
      </c>
      <c r="K28" s="12" t="n">
        <f aca="false">Data!L28</f>
        <v>0.0017</v>
      </c>
    </row>
    <row r="29" customFormat="false" ht="30" hidden="false" customHeight="true" outlineLevel="0" collapsed="false">
      <c r="A29" s="4" t="str">
        <f aca="false">Data!A29</f>
        <v>1965-04</v>
      </c>
      <c r="B29" s="13" t="n">
        <f aca="false">Data!K29</f>
        <v>0.0507</v>
      </c>
      <c r="C29" s="13" t="n">
        <f aca="false">Data!B29</f>
        <v>0.0271</v>
      </c>
      <c r="D29" s="13" t="n">
        <f aca="false">(B29-C29)*Inputs!B2</f>
        <v>0.0118</v>
      </c>
      <c r="E29" s="13" t="n">
        <f aca="false">4*Inputs!B2*Inputs!B4*Inputs!B3/10000</f>
        <v>0.001</v>
      </c>
      <c r="F29" s="13" t="n">
        <f aca="false">Inputs!B2*Inputs!B5/Inputs!B6</f>
        <v>0.000833333333333333</v>
      </c>
      <c r="G29" s="13" t="n">
        <f aca="false">D29-E29-F29</f>
        <v>0.00996666666666667</v>
      </c>
      <c r="H29" s="4" t="n">
        <f aca="false">(1+G29)*H28</f>
        <v>1.1028257884518</v>
      </c>
      <c r="I29" s="4" t="n">
        <f aca="false">MAX(1,H$2:H29)</f>
        <v>1.1171732445006</v>
      </c>
      <c r="J29" s="13" t="n">
        <f aca="false">H29/I29-1</f>
        <v>-0.0128426420158442</v>
      </c>
      <c r="K29" s="13" t="n">
        <f aca="false">Data!L29</f>
        <v>0.0253</v>
      </c>
    </row>
    <row r="30" customFormat="false" ht="30" hidden="false" customHeight="true" outlineLevel="0" collapsed="false">
      <c r="A30" s="5" t="str">
        <f aca="false">Data!A30</f>
        <v>1965-05</v>
      </c>
      <c r="B30" s="12" t="n">
        <f aca="false">Data!K30</f>
        <v>-0.0062</v>
      </c>
      <c r="C30" s="12" t="n">
        <f aca="false">Data!B30</f>
        <v>-0.0123</v>
      </c>
      <c r="D30" s="12" t="n">
        <f aca="false">(B30-C30)*Inputs!B2</f>
        <v>0.00305</v>
      </c>
      <c r="E30" s="12" t="n">
        <f aca="false">4*Inputs!B2*Inputs!B4*Inputs!B3/10000</f>
        <v>0.001</v>
      </c>
      <c r="F30" s="12" t="n">
        <f aca="false">Inputs!B2*Inputs!B5/Inputs!B6</f>
        <v>0.000833333333333333</v>
      </c>
      <c r="G30" s="12" t="n">
        <f aca="false">D30-E30-F30</f>
        <v>0.00121666666666667</v>
      </c>
      <c r="H30" s="5" t="n">
        <f aca="false">(1+G30)*H29</f>
        <v>1.10416755982775</v>
      </c>
      <c r="I30" s="5" t="n">
        <f aca="false">MAX(1,H$2:H30)</f>
        <v>1.1171732445006</v>
      </c>
      <c r="J30" s="12" t="n">
        <f aca="false">H30/I30-1</f>
        <v>-0.0116416005636302</v>
      </c>
      <c r="K30" s="12" t="n">
        <f aca="false">Data!L30</f>
        <v>0.0056</v>
      </c>
    </row>
    <row r="31" customFormat="false" ht="30" hidden="false" customHeight="true" outlineLevel="0" collapsed="false">
      <c r="A31" s="4" t="str">
        <f aca="false">Data!A31</f>
        <v>1965-06</v>
      </c>
      <c r="B31" s="13" t="n">
        <f aca="false">Data!K31</f>
        <v>-0.094</v>
      </c>
      <c r="C31" s="13" t="n">
        <f aca="false">Data!B31</f>
        <v>-0.0346</v>
      </c>
      <c r="D31" s="13" t="n">
        <f aca="false">(B31-C31)*Inputs!B2</f>
        <v>-0.0297</v>
      </c>
      <c r="E31" s="13" t="n">
        <f aca="false">4*Inputs!B2*Inputs!B4*Inputs!B3/10000</f>
        <v>0.001</v>
      </c>
      <c r="F31" s="13" t="n">
        <f aca="false">Inputs!B2*Inputs!B5/Inputs!B6</f>
        <v>0.000833333333333333</v>
      </c>
      <c r="G31" s="13" t="n">
        <f aca="false">D31-E31-F31</f>
        <v>-0.0315333333333333</v>
      </c>
      <c r="H31" s="4" t="n">
        <f aca="false">(1+G31)*H30</f>
        <v>1.06934947610785</v>
      </c>
      <c r="I31" s="4" t="n">
        <f aca="false">MAX(1,H$2:H31)</f>
        <v>1.1171732445006</v>
      </c>
      <c r="J31" s="13" t="n">
        <f aca="false">H31/I31-1</f>
        <v>-0.042807835425857</v>
      </c>
      <c r="K31" s="13" t="n">
        <f aca="false">Data!L31</f>
        <v>-0.0318</v>
      </c>
    </row>
    <row r="32" customFormat="false" ht="30" hidden="false" customHeight="true" outlineLevel="0" collapsed="false">
      <c r="A32" s="5" t="str">
        <f aca="false">Data!A32</f>
        <v>1965-07</v>
      </c>
      <c r="B32" s="12" t="n">
        <f aca="false">Data!K32</f>
        <v>0.0746</v>
      </c>
      <c r="C32" s="12" t="n">
        <f aca="false">Data!B32</f>
        <v>0.0095</v>
      </c>
      <c r="D32" s="12" t="n">
        <f aca="false">(B32-C32)*Inputs!B2</f>
        <v>0.03255</v>
      </c>
      <c r="E32" s="12" t="n">
        <f aca="false">4*Inputs!B2*Inputs!B4*Inputs!B3/10000</f>
        <v>0.001</v>
      </c>
      <c r="F32" s="12" t="n">
        <f aca="false">Inputs!B2*Inputs!B5/Inputs!B6</f>
        <v>0.000833333333333333</v>
      </c>
      <c r="G32" s="12" t="n">
        <f aca="false">D32-E32-F32</f>
        <v>0.0307166666666667</v>
      </c>
      <c r="H32" s="5" t="n">
        <f aca="false">(1+G32)*H31</f>
        <v>1.10219632751563</v>
      </c>
      <c r="I32" s="5" t="n">
        <f aca="false">MAX(1,H$2:H32)</f>
        <v>1.1171732445006</v>
      </c>
      <c r="J32" s="12" t="n">
        <f aca="false">H32/I32-1</f>
        <v>-0.0134060827706879</v>
      </c>
      <c r="K32" s="12" t="n">
        <f aca="false">Data!L32</f>
        <v>0.0409</v>
      </c>
    </row>
    <row r="33" customFormat="false" ht="30" hidden="false" customHeight="true" outlineLevel="0" collapsed="false">
      <c r="A33" s="4" t="str">
        <f aca="false">Data!A33</f>
        <v>1965-08</v>
      </c>
      <c r="B33" s="13" t="n">
        <f aca="false">Data!K33</f>
        <v>0.0766</v>
      </c>
      <c r="C33" s="13" t="n">
        <f aca="false">Data!B33</f>
        <v>0.0465</v>
      </c>
      <c r="D33" s="13" t="n">
        <f aca="false">(B33-C33)*Inputs!B2</f>
        <v>0.01505</v>
      </c>
      <c r="E33" s="13" t="n">
        <f aca="false">4*Inputs!B2*Inputs!B4*Inputs!B3/10000</f>
        <v>0.001</v>
      </c>
      <c r="F33" s="13" t="n">
        <f aca="false">Inputs!B2*Inputs!B5/Inputs!B6</f>
        <v>0.000833333333333333</v>
      </c>
      <c r="G33" s="13" t="n">
        <f aca="false">D33-E33-F33</f>
        <v>0.0132166666666667</v>
      </c>
      <c r="H33" s="4" t="n">
        <f aca="false">(1+G33)*H32</f>
        <v>1.11676368897763</v>
      </c>
      <c r="I33" s="4" t="n">
        <f aca="false">MAX(1,H$2:H33)</f>
        <v>1.1171732445006</v>
      </c>
      <c r="J33" s="13" t="n">
        <f aca="false">H33/I33-1</f>
        <v>-0.000366599831307157</v>
      </c>
      <c r="K33" s="13" t="n">
        <f aca="false">Data!L33</f>
        <v>0.0257</v>
      </c>
    </row>
    <row r="34" customFormat="false" ht="30" hidden="false" customHeight="true" outlineLevel="0" collapsed="false">
      <c r="A34" s="5" t="str">
        <f aca="false">Data!A34</f>
        <v>1965-09</v>
      </c>
      <c r="B34" s="12" t="n">
        <f aca="false">Data!K34</f>
        <v>0.0533</v>
      </c>
      <c r="C34" s="12" t="n">
        <f aca="false">Data!B34</f>
        <v>0.0191</v>
      </c>
      <c r="D34" s="12" t="n">
        <f aca="false">(B34-C34)*Inputs!B2</f>
        <v>0.0171</v>
      </c>
      <c r="E34" s="12" t="n">
        <f aca="false">4*Inputs!B2*Inputs!B4*Inputs!B3/10000</f>
        <v>0.001</v>
      </c>
      <c r="F34" s="12" t="n">
        <f aca="false">Inputs!B2*Inputs!B5/Inputs!B6</f>
        <v>0.000833333333333333</v>
      </c>
      <c r="G34" s="12" t="n">
        <f aca="false">D34-E34-F34</f>
        <v>0.0152666666666667</v>
      </c>
      <c r="H34" s="5" t="n">
        <f aca="false">(1+G34)*H33</f>
        <v>1.13381294796269</v>
      </c>
      <c r="I34" s="5" t="n">
        <f aca="false">MAX(1,H$2:H34)</f>
        <v>1.13381294796269</v>
      </c>
      <c r="J34" s="12" t="n">
        <f aca="false">H34/I34-1</f>
        <v>0</v>
      </c>
      <c r="K34" s="12" t="n">
        <f aca="false">Data!L34</f>
        <v>0.0328</v>
      </c>
    </row>
    <row r="35" customFormat="false" ht="30" hidden="false" customHeight="true" outlineLevel="0" collapsed="false">
      <c r="A35" s="4" t="str">
        <f aca="false">Data!A35</f>
        <v>1965-10</v>
      </c>
      <c r="B35" s="13" t="n">
        <f aca="false">Data!K35</f>
        <v>0.0786</v>
      </c>
      <c r="C35" s="13" t="n">
        <f aca="false">Data!B35</f>
        <v>0.0392</v>
      </c>
      <c r="D35" s="13" t="n">
        <f aca="false">(B35-C35)*Inputs!B2</f>
        <v>0.0197</v>
      </c>
      <c r="E35" s="13" t="n">
        <f aca="false">4*Inputs!B2*Inputs!B4*Inputs!B3/10000</f>
        <v>0.001</v>
      </c>
      <c r="F35" s="13" t="n">
        <f aca="false">Inputs!B2*Inputs!B5/Inputs!B6</f>
        <v>0.000833333333333333</v>
      </c>
      <c r="G35" s="13" t="n">
        <f aca="false">D35-E35-F35</f>
        <v>0.0178666666666667</v>
      </c>
      <c r="H35" s="4" t="n">
        <f aca="false">(1+G35)*H34</f>
        <v>1.15407040596629</v>
      </c>
      <c r="I35" s="4" t="n">
        <f aca="false">MAX(1,H$2:H35)</f>
        <v>1.15407040596629</v>
      </c>
      <c r="J35" s="13" t="n">
        <f aca="false">H35/I35-1</f>
        <v>0</v>
      </c>
      <c r="K35" s="13" t="n">
        <f aca="false">Data!L35</f>
        <v>0.0344</v>
      </c>
    </row>
    <row r="36" customFormat="false" ht="30" hidden="false" customHeight="true" outlineLevel="0" collapsed="false">
      <c r="A36" s="5" t="str">
        <f aca="false">Data!A36</f>
        <v>1965-11</v>
      </c>
      <c r="B36" s="12" t="n">
        <f aca="false">Data!K36</f>
        <v>0.085</v>
      </c>
      <c r="C36" s="12" t="n">
        <f aca="false">Data!B36</f>
        <v>-0.0141</v>
      </c>
      <c r="D36" s="12" t="n">
        <f aca="false">(B36-C36)*Inputs!B2</f>
        <v>0.04955</v>
      </c>
      <c r="E36" s="12" t="n">
        <f aca="false">4*Inputs!B2*Inputs!B4*Inputs!B3/10000</f>
        <v>0.001</v>
      </c>
      <c r="F36" s="12" t="n">
        <f aca="false">Inputs!B2*Inputs!B5/Inputs!B6</f>
        <v>0.000833333333333333</v>
      </c>
      <c r="G36" s="12" t="n">
        <f aca="false">D36-E36-F36</f>
        <v>0.0477166666666667</v>
      </c>
      <c r="H36" s="5" t="n">
        <f aca="false">(1+G36)*H35</f>
        <v>1.20913879883764</v>
      </c>
      <c r="I36" s="5" t="n">
        <f aca="false">MAX(1,H$2:H36)</f>
        <v>1.20913879883764</v>
      </c>
      <c r="J36" s="12" t="n">
        <f aca="false">H36/I36-1</f>
        <v>0</v>
      </c>
      <c r="K36" s="12" t="n">
        <f aca="false">Data!L36</f>
        <v>0.0441</v>
      </c>
    </row>
    <row r="37" customFormat="false" ht="30" hidden="false" customHeight="true" outlineLevel="0" collapsed="false">
      <c r="A37" s="4" t="str">
        <f aca="false">Data!A37</f>
        <v>1965-12</v>
      </c>
      <c r="B37" s="13" t="n">
        <f aca="false">Data!K37</f>
        <v>0.0405</v>
      </c>
      <c r="C37" s="13" t="n">
        <f aca="false">Data!B37</f>
        <v>0.0335</v>
      </c>
      <c r="D37" s="13" t="n">
        <f aca="false">(B37-C37)*Inputs!B2</f>
        <v>0.0035</v>
      </c>
      <c r="E37" s="13" t="n">
        <f aca="false">4*Inputs!B2*Inputs!B4*Inputs!B3/10000</f>
        <v>0.001</v>
      </c>
      <c r="F37" s="13" t="n">
        <f aca="false">Inputs!B2*Inputs!B5/Inputs!B6</f>
        <v>0.000833333333333333</v>
      </c>
      <c r="G37" s="13" t="n">
        <f aca="false">D37-E37-F37</f>
        <v>0.00166666666666667</v>
      </c>
      <c r="H37" s="4" t="n">
        <f aca="false">(1+G37)*H36</f>
        <v>1.21115403016904</v>
      </c>
      <c r="I37" s="4" t="n">
        <f aca="false">MAX(1,H$2:H37)</f>
        <v>1.21115403016904</v>
      </c>
      <c r="J37" s="13" t="n">
        <f aca="false">H37/I37-1</f>
        <v>0</v>
      </c>
      <c r="K37" s="13" t="n">
        <f aca="false">Data!L37</f>
        <v>-0.001</v>
      </c>
    </row>
    <row r="38" customFormat="false" ht="30" hidden="false" customHeight="true" outlineLevel="0" collapsed="false">
      <c r="A38" s="5" t="str">
        <f aca="false">Data!A38</f>
        <v>1966-01</v>
      </c>
      <c r="B38" s="12" t="n">
        <f aca="false">Data!K38</f>
        <v>0.09</v>
      </c>
      <c r="C38" s="12" t="n">
        <f aca="false">Data!B38</f>
        <v>-0.002</v>
      </c>
      <c r="D38" s="12" t="n">
        <f aca="false">(B38-C38)*Inputs!B2</f>
        <v>0.046</v>
      </c>
      <c r="E38" s="12" t="n">
        <f aca="false">4*Inputs!B2*Inputs!B4*Inputs!B3/10000</f>
        <v>0.001</v>
      </c>
      <c r="F38" s="12" t="n">
        <f aca="false">Inputs!B2*Inputs!B5/Inputs!B6</f>
        <v>0.000833333333333333</v>
      </c>
      <c r="G38" s="12" t="n">
        <f aca="false">D38-E38-F38</f>
        <v>0.0441666666666667</v>
      </c>
      <c r="H38" s="5" t="n">
        <f aca="false">(1+G38)*H37</f>
        <v>1.26464666650151</v>
      </c>
      <c r="I38" s="5" t="n">
        <f aca="false">MAX(1,H$2:H38)</f>
        <v>1.26464666650151</v>
      </c>
      <c r="J38" s="12" t="n">
        <f aca="false">H38/I38-1</f>
        <v>0</v>
      </c>
      <c r="K38" s="12" t="n">
        <f aca="false">Data!L38</f>
        <v>0.0525</v>
      </c>
    </row>
    <row r="39" customFormat="false" ht="30" hidden="false" customHeight="true" outlineLevel="0" collapsed="false">
      <c r="A39" s="4" t="str">
        <f aca="false">Data!A39</f>
        <v>1966-02</v>
      </c>
      <c r="B39" s="13" t="n">
        <f aca="false">Data!K39</f>
        <v>0.0827</v>
      </c>
      <c r="C39" s="13" t="n">
        <f aca="false">Data!B39</f>
        <v>-0.0259</v>
      </c>
      <c r="D39" s="13" t="n">
        <f aca="false">(B39-C39)*Inputs!B2</f>
        <v>0.0543</v>
      </c>
      <c r="E39" s="13" t="n">
        <f aca="false">4*Inputs!B2*Inputs!B4*Inputs!B3/10000</f>
        <v>0.001</v>
      </c>
      <c r="F39" s="13" t="n">
        <f aca="false">Inputs!B2*Inputs!B5/Inputs!B6</f>
        <v>0.000833333333333333</v>
      </c>
      <c r="G39" s="13" t="n">
        <f aca="false">D39-E39-F39</f>
        <v>0.0524666666666667</v>
      </c>
      <c r="H39" s="4" t="n">
        <f aca="false">(1+G39)*H38</f>
        <v>1.33099846160395</v>
      </c>
      <c r="I39" s="4" t="n">
        <f aca="false">MAX(1,H$2:H39)</f>
        <v>1.33099846160395</v>
      </c>
      <c r="J39" s="13" t="n">
        <f aca="false">H39/I39-1</f>
        <v>0</v>
      </c>
      <c r="K39" s="13" t="n">
        <f aca="false">Data!L39</f>
        <v>0.0459</v>
      </c>
    </row>
    <row r="40" customFormat="false" ht="30" hidden="false" customHeight="true" outlineLevel="0" collapsed="false">
      <c r="A40" s="5" t="str">
        <f aca="false">Data!A40</f>
        <v>1966-03</v>
      </c>
      <c r="B40" s="12" t="n">
        <f aca="false">Data!K40</f>
        <v>0.0112</v>
      </c>
      <c r="C40" s="12" t="n">
        <f aca="false">Data!B40</f>
        <v>-0.0382</v>
      </c>
      <c r="D40" s="12" t="n">
        <f aca="false">(B40-C40)*Inputs!B2</f>
        <v>0.0247</v>
      </c>
      <c r="E40" s="12" t="n">
        <f aca="false">4*Inputs!B2*Inputs!B4*Inputs!B3/10000</f>
        <v>0.001</v>
      </c>
      <c r="F40" s="12" t="n">
        <f aca="false">Inputs!B2*Inputs!B5/Inputs!B6</f>
        <v>0.000833333333333333</v>
      </c>
      <c r="G40" s="12" t="n">
        <f aca="false">D40-E40-F40</f>
        <v>0.0228666666666667</v>
      </c>
      <c r="H40" s="5" t="n">
        <f aca="false">(1+G40)*H39</f>
        <v>1.36143395975929</v>
      </c>
      <c r="I40" s="5" t="n">
        <f aca="false">MAX(1,H$2:H40)</f>
        <v>1.36143395975929</v>
      </c>
      <c r="J40" s="12" t="n">
        <f aca="false">H40/I40-1</f>
        <v>0</v>
      </c>
      <c r="K40" s="12" t="n">
        <f aca="false">Data!L40</f>
        <v>0.0146</v>
      </c>
    </row>
    <row r="41" customFormat="false" ht="30" hidden="false" customHeight="true" outlineLevel="0" collapsed="false">
      <c r="A41" s="4" t="str">
        <f aca="false">Data!A41</f>
        <v>1966-04</v>
      </c>
      <c r="B41" s="13" t="n">
        <f aca="false">Data!K41</f>
        <v>0.0508</v>
      </c>
      <c r="C41" s="13" t="n">
        <f aca="false">Data!B41</f>
        <v>0.0189</v>
      </c>
      <c r="D41" s="13" t="n">
        <f aca="false">(B41-C41)*Inputs!B2</f>
        <v>0.01595</v>
      </c>
      <c r="E41" s="13" t="n">
        <f aca="false">4*Inputs!B2*Inputs!B4*Inputs!B3/10000</f>
        <v>0.001</v>
      </c>
      <c r="F41" s="13" t="n">
        <f aca="false">Inputs!B2*Inputs!B5/Inputs!B6</f>
        <v>0.000833333333333333</v>
      </c>
      <c r="G41" s="13" t="n">
        <f aca="false">D41-E41-F41</f>
        <v>0.0141166666666667</v>
      </c>
      <c r="H41" s="4" t="n">
        <f aca="false">(1+G41)*H40</f>
        <v>1.3806528691579</v>
      </c>
      <c r="I41" s="4" t="n">
        <f aca="false">MAX(1,H$2:H41)</f>
        <v>1.3806528691579</v>
      </c>
      <c r="J41" s="13" t="n">
        <f aca="false">H41/I41-1</f>
        <v>0</v>
      </c>
      <c r="K41" s="13" t="n">
        <f aca="false">Data!L41</f>
        <v>0.0593</v>
      </c>
    </row>
    <row r="42" customFormat="false" ht="30" hidden="false" customHeight="true" outlineLevel="0" collapsed="false">
      <c r="A42" s="5" t="str">
        <f aca="false">Data!A42</f>
        <v>1966-05</v>
      </c>
      <c r="B42" s="12" t="n">
        <f aca="false">Data!K42</f>
        <v>-0.1098</v>
      </c>
      <c r="C42" s="12" t="n">
        <f aca="false">Data!B42</f>
        <v>-0.0336</v>
      </c>
      <c r="D42" s="12" t="n">
        <f aca="false">(B42-C42)*Inputs!B2</f>
        <v>-0.0381</v>
      </c>
      <c r="E42" s="12" t="n">
        <f aca="false">4*Inputs!B2*Inputs!B4*Inputs!B3/10000</f>
        <v>0.001</v>
      </c>
      <c r="F42" s="12" t="n">
        <f aca="false">Inputs!B2*Inputs!B5/Inputs!B6</f>
        <v>0.000833333333333333</v>
      </c>
      <c r="G42" s="12" t="n">
        <f aca="false">D42-E42-F42</f>
        <v>-0.0399333333333333</v>
      </c>
      <c r="H42" s="5" t="n">
        <f aca="false">(1+G42)*H41</f>
        <v>1.32551879791619</v>
      </c>
      <c r="I42" s="5" t="n">
        <f aca="false">MAX(1,H$2:H42)</f>
        <v>1.3806528691579</v>
      </c>
      <c r="J42" s="12" t="n">
        <f aca="false">H42/I42-1</f>
        <v>-0.0399333333333334</v>
      </c>
      <c r="K42" s="12" t="n">
        <f aca="false">Data!L42</f>
        <v>-0.0473</v>
      </c>
    </row>
    <row r="43" customFormat="false" ht="30" hidden="false" customHeight="true" outlineLevel="0" collapsed="false">
      <c r="A43" s="4" t="str">
        <f aca="false">Data!A43</f>
        <v>1966-06</v>
      </c>
      <c r="B43" s="13" t="n">
        <f aca="false">Data!K43</f>
        <v>0.0361</v>
      </c>
      <c r="C43" s="13" t="n">
        <f aca="false">Data!B43</f>
        <v>-0.0152</v>
      </c>
      <c r="D43" s="13" t="n">
        <f aca="false">(B43-C43)*Inputs!B2</f>
        <v>0.02565</v>
      </c>
      <c r="E43" s="13" t="n">
        <f aca="false">4*Inputs!B2*Inputs!B4*Inputs!B3/10000</f>
        <v>0.001</v>
      </c>
      <c r="F43" s="13" t="n">
        <f aca="false">Inputs!B2*Inputs!B5/Inputs!B6</f>
        <v>0.000833333333333333</v>
      </c>
      <c r="G43" s="13" t="n">
        <f aca="false">D43-E43-F43</f>
        <v>0.0238166666666667</v>
      </c>
      <c r="H43" s="4" t="n">
        <f aca="false">(1+G43)*H42</f>
        <v>1.35708823728656</v>
      </c>
      <c r="I43" s="4" t="n">
        <f aca="false">MAX(1,H$2:H43)</f>
        <v>1.3806528691579</v>
      </c>
      <c r="J43" s="13" t="n">
        <f aca="false">H43/I43-1</f>
        <v>-0.0170677455555557</v>
      </c>
      <c r="K43" s="13" t="n">
        <f aca="false">Data!L43</f>
        <v>0.0324</v>
      </c>
    </row>
    <row r="44" customFormat="false" ht="30" hidden="false" customHeight="true" outlineLevel="0" collapsed="false">
      <c r="A44" s="5" t="str">
        <f aca="false">Data!A44</f>
        <v>1966-07</v>
      </c>
      <c r="B44" s="12" t="n">
        <f aca="false">Data!K44</f>
        <v>-0.0216</v>
      </c>
      <c r="C44" s="12" t="n">
        <f aca="false">Data!B44</f>
        <v>-0.0177</v>
      </c>
      <c r="D44" s="12" t="n">
        <f aca="false">(B44-C44)*Inputs!B2</f>
        <v>-0.00195</v>
      </c>
      <c r="E44" s="12" t="n">
        <f aca="false">4*Inputs!B2*Inputs!B4*Inputs!B3/10000</f>
        <v>0.001</v>
      </c>
      <c r="F44" s="12" t="n">
        <f aca="false">Inputs!B2*Inputs!B5/Inputs!B6</f>
        <v>0.000833333333333333</v>
      </c>
      <c r="G44" s="12" t="n">
        <f aca="false">D44-E44-F44</f>
        <v>-0.00378333333333333</v>
      </c>
      <c r="H44" s="5" t="n">
        <f aca="false">(1+G44)*H43</f>
        <v>1.35195392012216</v>
      </c>
      <c r="I44" s="5" t="n">
        <f aca="false">MAX(1,H$2:H44)</f>
        <v>1.3806528691579</v>
      </c>
      <c r="J44" s="12" t="n">
        <f aca="false">H44/I44-1</f>
        <v>-0.020786505918204</v>
      </c>
      <c r="K44" s="12" t="n">
        <f aca="false">Data!L44</f>
        <v>-0.013</v>
      </c>
    </row>
    <row r="45" customFormat="false" ht="30" hidden="false" customHeight="true" outlineLevel="0" collapsed="false">
      <c r="A45" s="4" t="str">
        <f aca="false">Data!A45</f>
        <v>1966-08</v>
      </c>
      <c r="B45" s="13" t="n">
        <f aca="false">Data!K45</f>
        <v>-0.0918</v>
      </c>
      <c r="C45" s="13" t="n">
        <f aca="false">Data!B45</f>
        <v>-0.0507</v>
      </c>
      <c r="D45" s="13" t="n">
        <f aca="false">(B45-C45)*Inputs!B2</f>
        <v>-0.02055</v>
      </c>
      <c r="E45" s="13" t="n">
        <f aca="false">4*Inputs!B2*Inputs!B4*Inputs!B3/10000</f>
        <v>0.001</v>
      </c>
      <c r="F45" s="13" t="n">
        <f aca="false">Inputs!B2*Inputs!B5/Inputs!B6</f>
        <v>0.000833333333333333</v>
      </c>
      <c r="G45" s="13" t="n">
        <f aca="false">D45-E45-F45</f>
        <v>-0.0223833333333333</v>
      </c>
      <c r="H45" s="4" t="n">
        <f aca="false">(1+G45)*H44</f>
        <v>1.32169268487676</v>
      </c>
      <c r="I45" s="4" t="n">
        <f aca="false">MAX(1,H$2:H45)</f>
        <v>1.3806528691579</v>
      </c>
      <c r="J45" s="13" t="n">
        <f aca="false">H45/I45-1</f>
        <v>-0.0427045679607349</v>
      </c>
      <c r="K45" s="13" t="n">
        <f aca="false">Data!L45</f>
        <v>-0.0221</v>
      </c>
    </row>
    <row r="46" customFormat="false" ht="30" hidden="false" customHeight="true" outlineLevel="0" collapsed="false">
      <c r="A46" s="5" t="str">
        <f aca="false">Data!A46</f>
        <v>1966-09</v>
      </c>
      <c r="B46" s="12" t="n">
        <f aca="false">Data!K46</f>
        <v>-0.0487</v>
      </c>
      <c r="C46" s="12" t="n">
        <f aca="false">Data!B46</f>
        <v>-0.0387</v>
      </c>
      <c r="D46" s="12" t="n">
        <f aca="false">(B46-C46)*Inputs!B2</f>
        <v>-0.005</v>
      </c>
      <c r="E46" s="12" t="n">
        <f aca="false">4*Inputs!B2*Inputs!B4*Inputs!B3/10000</f>
        <v>0.001</v>
      </c>
      <c r="F46" s="12" t="n">
        <f aca="false">Inputs!B2*Inputs!B5/Inputs!B6</f>
        <v>0.000833333333333333</v>
      </c>
      <c r="G46" s="12" t="n">
        <f aca="false">D46-E46-F46</f>
        <v>-0.00683333333333333</v>
      </c>
      <c r="H46" s="5" t="n">
        <f aca="false">(1+G46)*H45</f>
        <v>1.31266111819677</v>
      </c>
      <c r="I46" s="5" t="n">
        <f aca="false">MAX(1,H$2:H46)</f>
        <v>1.3806528691579</v>
      </c>
      <c r="J46" s="12" t="n">
        <f aca="false">H46/I46-1</f>
        <v>-0.0492460867463365</v>
      </c>
      <c r="K46" s="12" t="n">
        <f aca="false">Data!L46</f>
        <v>-0.0187</v>
      </c>
    </row>
    <row r="47" customFormat="false" ht="30" hidden="false" customHeight="true" outlineLevel="0" collapsed="false">
      <c r="A47" s="4" t="str">
        <f aca="false">Data!A47</f>
        <v>1966-10</v>
      </c>
      <c r="B47" s="13" t="n">
        <f aca="false">Data!K47</f>
        <v>-0.0576</v>
      </c>
      <c r="C47" s="13" t="n">
        <f aca="false">Data!B47</f>
        <v>0.0233</v>
      </c>
      <c r="D47" s="13" t="n">
        <f aca="false">(B47-C47)*Inputs!B2</f>
        <v>-0.04045</v>
      </c>
      <c r="E47" s="13" t="n">
        <f aca="false">4*Inputs!B2*Inputs!B4*Inputs!B3/10000</f>
        <v>0.001</v>
      </c>
      <c r="F47" s="13" t="n">
        <f aca="false">Inputs!B2*Inputs!B5/Inputs!B6</f>
        <v>0.000833333333333333</v>
      </c>
      <c r="G47" s="13" t="n">
        <f aca="false">D47-E47-F47</f>
        <v>-0.0422833333333333</v>
      </c>
      <c r="H47" s="4" t="n">
        <f aca="false">(1+G47)*H46</f>
        <v>1.25715743058235</v>
      </c>
      <c r="I47" s="4" t="n">
        <f aca="false">MAX(1,H$2:H47)</f>
        <v>1.3806528691579</v>
      </c>
      <c r="J47" s="13" t="n">
        <f aca="false">H47/I47-1</f>
        <v>-0.0894471313784121</v>
      </c>
      <c r="K47" s="13" t="n">
        <f aca="false">Data!L47</f>
        <v>-0.052</v>
      </c>
    </row>
    <row r="48" customFormat="false" ht="30" hidden="false" customHeight="true" outlineLevel="0" collapsed="false">
      <c r="A48" s="5" t="str">
        <f aca="false">Data!A48</f>
        <v>1966-11</v>
      </c>
      <c r="B48" s="12" t="n">
        <f aca="false">Data!K48</f>
        <v>0.121</v>
      </c>
      <c r="C48" s="12" t="n">
        <f aca="false">Data!B48</f>
        <v>-0.0093</v>
      </c>
      <c r="D48" s="12" t="n">
        <f aca="false">(B48-C48)*Inputs!B2</f>
        <v>0.06515</v>
      </c>
      <c r="E48" s="12" t="n">
        <f aca="false">4*Inputs!B2*Inputs!B4*Inputs!B3/10000</f>
        <v>0.001</v>
      </c>
      <c r="F48" s="12" t="n">
        <f aca="false">Inputs!B2*Inputs!B5/Inputs!B6</f>
        <v>0.000833333333333333</v>
      </c>
      <c r="G48" s="12" t="n">
        <f aca="false">D48-E48-F48</f>
        <v>0.0633166666666667</v>
      </c>
      <c r="H48" s="5" t="n">
        <f aca="false">(1+G48)*H47</f>
        <v>1.33675644856205</v>
      </c>
      <c r="I48" s="5" t="n">
        <f aca="false">MAX(1,H$2:H48)</f>
        <v>1.3806528691579</v>
      </c>
      <c r="J48" s="12" t="n">
        <f aca="false">H48/I48-1</f>
        <v>-0.0317939589135219</v>
      </c>
      <c r="K48" s="12" t="n">
        <f aca="false">Data!L48</f>
        <v>0.0576</v>
      </c>
    </row>
    <row r="49" customFormat="false" ht="30" hidden="false" customHeight="true" outlineLevel="0" collapsed="false">
      <c r="A49" s="4" t="str">
        <f aca="false">Data!A49</f>
        <v>1966-12</v>
      </c>
      <c r="B49" s="13" t="n">
        <f aca="false">Data!K49</f>
        <v>0.0138</v>
      </c>
      <c r="C49" s="13" t="n">
        <f aca="false">Data!B49</f>
        <v>0.0249</v>
      </c>
      <c r="D49" s="13" t="n">
        <f aca="false">(B49-C49)*Inputs!B2</f>
        <v>-0.00555</v>
      </c>
      <c r="E49" s="13" t="n">
        <f aca="false">4*Inputs!B2*Inputs!B4*Inputs!B3/10000</f>
        <v>0.001</v>
      </c>
      <c r="F49" s="13" t="n">
        <f aca="false">Inputs!B2*Inputs!B5/Inputs!B6</f>
        <v>0.000833333333333333</v>
      </c>
      <c r="G49" s="13" t="n">
        <f aca="false">D49-E49-F49</f>
        <v>-0.00738333333333333</v>
      </c>
      <c r="H49" s="4" t="n">
        <f aca="false">(1+G49)*H48</f>
        <v>1.32688673011684</v>
      </c>
      <c r="I49" s="4" t="n">
        <f aca="false">MAX(1,H$2:H49)</f>
        <v>1.3806528691579</v>
      </c>
      <c r="J49" s="13" t="n">
        <f aca="false">H49/I49-1</f>
        <v>-0.0389425468502105</v>
      </c>
      <c r="K49" s="13" t="n">
        <f aca="false">Data!L49</f>
        <v>0.0099</v>
      </c>
    </row>
    <row r="50" customFormat="false" ht="30" hidden="false" customHeight="true" outlineLevel="0" collapsed="false">
      <c r="A50" s="5" t="str">
        <f aca="false">Data!A50</f>
        <v>1967-01</v>
      </c>
      <c r="B50" s="12" t="n">
        <f aca="false">Data!K50</f>
        <v>0.0852</v>
      </c>
      <c r="C50" s="12" t="n">
        <f aca="false">Data!B50</f>
        <v>0.1446</v>
      </c>
      <c r="D50" s="12" t="n">
        <f aca="false">(B50-C50)*Inputs!B2</f>
        <v>-0.0297</v>
      </c>
      <c r="E50" s="12" t="n">
        <f aca="false">4*Inputs!B2*Inputs!B4*Inputs!B3/10000</f>
        <v>0.001</v>
      </c>
      <c r="F50" s="12" t="n">
        <f aca="false">Inputs!B2*Inputs!B5/Inputs!B6</f>
        <v>0.000833333333333333</v>
      </c>
      <c r="G50" s="12" t="n">
        <f aca="false">D50-E50-F50</f>
        <v>-0.0315333333333333</v>
      </c>
      <c r="H50" s="5" t="n">
        <f aca="false">(1+G50)*H49</f>
        <v>1.28504556856049</v>
      </c>
      <c r="I50" s="5" t="n">
        <f aca="false">MAX(1,H$2:H50)</f>
        <v>1.3806528691579</v>
      </c>
      <c r="J50" s="12" t="n">
        <f aca="false">H50/I50-1</f>
        <v>-0.0692478918728672</v>
      </c>
      <c r="K50" s="12" t="n">
        <f aca="false">Data!L50</f>
        <v>-0.0694</v>
      </c>
    </row>
    <row r="51" customFormat="false" ht="30" hidden="false" customHeight="true" outlineLevel="0" collapsed="false">
      <c r="A51" s="4" t="str">
        <f aca="false">Data!A51</f>
        <v>1967-02</v>
      </c>
      <c r="B51" s="13" t="n">
        <f aca="false">Data!K51</f>
        <v>0.0529</v>
      </c>
      <c r="C51" s="13" t="n">
        <f aca="false">Data!B51</f>
        <v>0.0031</v>
      </c>
      <c r="D51" s="13" t="n">
        <f aca="false">(B51-C51)*Inputs!B2</f>
        <v>0.0249</v>
      </c>
      <c r="E51" s="13" t="n">
        <f aca="false">4*Inputs!B2*Inputs!B4*Inputs!B3/10000</f>
        <v>0.001</v>
      </c>
      <c r="F51" s="13" t="n">
        <f aca="false">Inputs!B2*Inputs!B5/Inputs!B6</f>
        <v>0.000833333333333333</v>
      </c>
      <c r="G51" s="13" t="n">
        <f aca="false">D51-E51-F51</f>
        <v>0.0230666666666667</v>
      </c>
      <c r="H51" s="4" t="n">
        <f aca="false">(1+G51)*H50</f>
        <v>1.31468728634195</v>
      </c>
      <c r="I51" s="4" t="n">
        <f aca="false">MAX(1,H$2:H51)</f>
        <v>1.3806528691579</v>
      </c>
      <c r="J51" s="13" t="n">
        <f aca="false">H51/I51-1</f>
        <v>-0.0477785432454013</v>
      </c>
      <c r="K51" s="13" t="n">
        <f aca="false">Data!L51</f>
        <v>0.0351</v>
      </c>
    </row>
    <row r="52" customFormat="false" ht="30" hidden="false" customHeight="true" outlineLevel="0" collapsed="false">
      <c r="A52" s="5" t="str">
        <f aca="false">Data!A52</f>
        <v>1967-03</v>
      </c>
      <c r="B52" s="12" t="n">
        <f aca="false">Data!K52</f>
        <v>0.0639</v>
      </c>
      <c r="C52" s="12" t="n">
        <f aca="false">Data!B52</f>
        <v>0.0248</v>
      </c>
      <c r="D52" s="12" t="n">
        <f aca="false">(B52-C52)*Inputs!B2</f>
        <v>0.01955</v>
      </c>
      <c r="E52" s="12" t="n">
        <f aca="false">4*Inputs!B2*Inputs!B4*Inputs!B3/10000</f>
        <v>0.001</v>
      </c>
      <c r="F52" s="12" t="n">
        <f aca="false">Inputs!B2*Inputs!B5/Inputs!B6</f>
        <v>0.000833333333333333</v>
      </c>
      <c r="G52" s="12" t="n">
        <f aca="false">D52-E52-F52</f>
        <v>0.0177166666666667</v>
      </c>
      <c r="H52" s="5" t="n">
        <f aca="false">(1+G52)*H51</f>
        <v>1.33797916276497</v>
      </c>
      <c r="I52" s="5" t="n">
        <f aca="false">MAX(1,H$2:H52)</f>
        <v>1.3806528691579</v>
      </c>
      <c r="J52" s="12" t="n">
        <f aca="false">H52/I52-1</f>
        <v>-0.0309083531032325</v>
      </c>
      <c r="K52" s="12" t="n">
        <f aca="false">Data!L52</f>
        <v>0.0139</v>
      </c>
    </row>
    <row r="53" customFormat="false" ht="30" hidden="false" customHeight="true" outlineLevel="0" collapsed="false">
      <c r="A53" s="4" t="str">
        <f aca="false">Data!A53</f>
        <v>1967-04</v>
      </c>
      <c r="B53" s="13" t="n">
        <f aca="false">Data!K53</f>
        <v>0.0631</v>
      </c>
      <c r="C53" s="13" t="n">
        <f aca="false">Data!B53</f>
        <v>0.0682</v>
      </c>
      <c r="D53" s="13" t="n">
        <f aca="false">(B53-C53)*Inputs!B2</f>
        <v>-0.00255</v>
      </c>
      <c r="E53" s="13" t="n">
        <f aca="false">4*Inputs!B2*Inputs!B4*Inputs!B3/10000</f>
        <v>0.001</v>
      </c>
      <c r="F53" s="13" t="n">
        <f aca="false">Inputs!B2*Inputs!B5/Inputs!B6</f>
        <v>0.000833333333333333</v>
      </c>
      <c r="G53" s="13" t="n">
        <f aca="false">D53-E53-F53</f>
        <v>-0.00438333333333334</v>
      </c>
      <c r="H53" s="4" t="n">
        <f aca="false">(1+G53)*H52</f>
        <v>1.33211435410152</v>
      </c>
      <c r="I53" s="4" t="n">
        <f aca="false">MAX(1,H$2:H53)</f>
        <v>1.3806528691579</v>
      </c>
      <c r="J53" s="13" t="n">
        <f aca="false">H53/I53-1</f>
        <v>-0.03515620482213</v>
      </c>
      <c r="K53" s="13" t="n">
        <f aca="false">Data!L53</f>
        <v>0.0052</v>
      </c>
    </row>
    <row r="54" customFormat="false" ht="30" hidden="false" customHeight="true" outlineLevel="0" collapsed="false">
      <c r="A54" s="5" t="str">
        <f aca="false">Data!A54</f>
        <v>1967-05</v>
      </c>
      <c r="B54" s="12" t="n">
        <f aca="false">Data!K54</f>
        <v>-0.0336</v>
      </c>
      <c r="C54" s="12" t="n">
        <f aca="false">Data!B54</f>
        <v>-0.0702</v>
      </c>
      <c r="D54" s="12" t="n">
        <f aca="false">(B54-C54)*Inputs!B2</f>
        <v>0.0183</v>
      </c>
      <c r="E54" s="12" t="n">
        <f aca="false">4*Inputs!B2*Inputs!B4*Inputs!B3/10000</f>
        <v>0.001</v>
      </c>
      <c r="F54" s="12" t="n">
        <f aca="false">Inputs!B2*Inputs!B5/Inputs!B6</f>
        <v>0.000833333333333333</v>
      </c>
      <c r="G54" s="12" t="n">
        <f aca="false">D54-E54-F54</f>
        <v>0.0164666666666667</v>
      </c>
      <c r="H54" s="5" t="n">
        <f aca="false">(1+G54)*H53</f>
        <v>1.35404983713239</v>
      </c>
      <c r="I54" s="5" t="n">
        <f aca="false">MAX(1,H$2:H54)</f>
        <v>1.3806528691579</v>
      </c>
      <c r="J54" s="12" t="n">
        <f aca="false">H54/I54-1</f>
        <v>-0.0192684436615345</v>
      </c>
      <c r="K54" s="12" t="n">
        <f aca="false">Data!L54</f>
        <v>0.0065</v>
      </c>
    </row>
    <row r="55" customFormat="false" ht="30" hidden="false" customHeight="true" outlineLevel="0" collapsed="false">
      <c r="A55" s="4" t="str">
        <f aca="false">Data!A55</f>
        <v>1967-06</v>
      </c>
      <c r="B55" s="13" t="n">
        <f aca="false">Data!K55</f>
        <v>0.0846</v>
      </c>
      <c r="C55" s="13" t="n">
        <f aca="false">Data!B55</f>
        <v>0.0258</v>
      </c>
      <c r="D55" s="13" t="n">
        <f aca="false">(B55-C55)*Inputs!B2</f>
        <v>0.0294</v>
      </c>
      <c r="E55" s="13" t="n">
        <f aca="false">4*Inputs!B2*Inputs!B4*Inputs!B3/10000</f>
        <v>0.001</v>
      </c>
      <c r="F55" s="13" t="n">
        <f aca="false">Inputs!B2*Inputs!B5/Inputs!B6</f>
        <v>0.000833333333333333</v>
      </c>
      <c r="G55" s="13" t="n">
        <f aca="false">D55-E55-F55</f>
        <v>0.0275666666666667</v>
      </c>
      <c r="H55" s="4" t="n">
        <f aca="false">(1+G55)*H54</f>
        <v>1.39137647764267</v>
      </c>
      <c r="I55" s="4" t="n">
        <f aca="false">MAX(1,H$2:H55)</f>
        <v>1.39137647764267</v>
      </c>
      <c r="J55" s="13" t="n">
        <f aca="false">H55/I55-1</f>
        <v>0</v>
      </c>
      <c r="K55" s="13" t="n">
        <f aca="false">Data!L55</f>
        <v>0.0601</v>
      </c>
    </row>
    <row r="56" customFormat="false" ht="30" hidden="false" customHeight="true" outlineLevel="0" collapsed="false">
      <c r="A56" s="5" t="str">
        <f aca="false">Data!A56</f>
        <v>1967-07</v>
      </c>
      <c r="B56" s="12" t="n">
        <f aca="false">Data!K56</f>
        <v>0.0725</v>
      </c>
      <c r="C56" s="12" t="n">
        <f aca="false">Data!B56</f>
        <v>0.1006</v>
      </c>
      <c r="D56" s="12" t="n">
        <f aca="false">(B56-C56)*Inputs!B2</f>
        <v>-0.01405</v>
      </c>
      <c r="E56" s="12" t="n">
        <f aca="false">4*Inputs!B2*Inputs!B4*Inputs!B3/10000</f>
        <v>0.001</v>
      </c>
      <c r="F56" s="12" t="n">
        <f aca="false">Inputs!B2*Inputs!B5/Inputs!B6</f>
        <v>0.000833333333333333</v>
      </c>
      <c r="G56" s="12" t="n">
        <f aca="false">D56-E56-F56</f>
        <v>-0.0158833333333333</v>
      </c>
      <c r="H56" s="5" t="n">
        <f aca="false">(1+G56)*H55</f>
        <v>1.36927678125612</v>
      </c>
      <c r="I56" s="5" t="n">
        <f aca="false">MAX(1,H$2:H56)</f>
        <v>1.39137647764267</v>
      </c>
      <c r="J56" s="12" t="n">
        <f aca="false">H56/I56-1</f>
        <v>-0.0158833333333334</v>
      </c>
      <c r="K56" s="12" t="n">
        <f aca="false">Data!L56</f>
        <v>-0.0108</v>
      </c>
    </row>
    <row r="57" customFormat="false" ht="30" hidden="false" customHeight="true" outlineLevel="0" collapsed="false">
      <c r="A57" s="4" t="str">
        <f aca="false">Data!A57</f>
        <v>1967-08</v>
      </c>
      <c r="B57" s="13" t="n">
        <f aca="false">Data!K57</f>
        <v>-0.0174</v>
      </c>
      <c r="C57" s="13" t="n">
        <f aca="false">Data!B57</f>
        <v>-0.0061</v>
      </c>
      <c r="D57" s="13" t="n">
        <f aca="false">(B57-C57)*Inputs!B2</f>
        <v>-0.00565</v>
      </c>
      <c r="E57" s="13" t="n">
        <f aca="false">4*Inputs!B2*Inputs!B4*Inputs!B3/10000</f>
        <v>0.001</v>
      </c>
      <c r="F57" s="13" t="n">
        <f aca="false">Inputs!B2*Inputs!B5/Inputs!B6</f>
        <v>0.000833333333333333</v>
      </c>
      <c r="G57" s="13" t="n">
        <f aca="false">D57-E57-F57</f>
        <v>-0.00748333333333333</v>
      </c>
      <c r="H57" s="4" t="n">
        <f aca="false">(1+G57)*H56</f>
        <v>1.35903002667638</v>
      </c>
      <c r="I57" s="4" t="n">
        <f aca="false">MAX(1,H$2:H57)</f>
        <v>1.39137647764267</v>
      </c>
      <c r="J57" s="13" t="n">
        <f aca="false">H57/I57-1</f>
        <v>-0.0232478063888888</v>
      </c>
      <c r="K57" s="13" t="n">
        <f aca="false">Data!L57</f>
        <v>-0.0133</v>
      </c>
    </row>
    <row r="58" customFormat="false" ht="30" hidden="false" customHeight="true" outlineLevel="0" collapsed="false">
      <c r="A58" s="5" t="str">
        <f aca="false">Data!A58</f>
        <v>1967-09</v>
      </c>
      <c r="B58" s="12" t="n">
        <f aca="false">Data!K58</f>
        <v>0.0448</v>
      </c>
      <c r="C58" s="12" t="n">
        <f aca="false">Data!B58</f>
        <v>0.0436</v>
      </c>
      <c r="D58" s="12" t="n">
        <f aca="false">(B58-C58)*Inputs!B2</f>
        <v>0.000600000000000007</v>
      </c>
      <c r="E58" s="12" t="n">
        <f aca="false">4*Inputs!B2*Inputs!B4*Inputs!B3/10000</f>
        <v>0.001</v>
      </c>
      <c r="F58" s="12" t="n">
        <f aca="false">Inputs!B2*Inputs!B5/Inputs!B6</f>
        <v>0.000833333333333333</v>
      </c>
      <c r="G58" s="12" t="n">
        <f aca="false">D58-E58-F58</f>
        <v>-0.00123333333333333</v>
      </c>
      <c r="H58" s="5" t="n">
        <f aca="false">(1+G58)*H57</f>
        <v>1.35735388964348</v>
      </c>
      <c r="I58" s="5" t="n">
        <f aca="false">MAX(1,H$2:H58)</f>
        <v>1.39137647764267</v>
      </c>
      <c r="J58" s="12" t="n">
        <f aca="false">H58/I58-1</f>
        <v>-0.0244524674276758</v>
      </c>
      <c r="K58" s="12" t="n">
        <f aca="false">Data!L58</f>
        <v>0.0239</v>
      </c>
    </row>
    <row r="59" customFormat="false" ht="30" hidden="false" customHeight="true" outlineLevel="0" collapsed="false">
      <c r="A59" s="4" t="str">
        <f aca="false">Data!A59</f>
        <v>1967-10</v>
      </c>
      <c r="B59" s="13" t="n">
        <f aca="false">Data!K59</f>
        <v>0.0071</v>
      </c>
      <c r="C59" s="13" t="n">
        <f aca="false">Data!B59</f>
        <v>-0.0401</v>
      </c>
      <c r="D59" s="13" t="n">
        <f aca="false">(B59-C59)*Inputs!B2</f>
        <v>0.0236</v>
      </c>
      <c r="E59" s="13" t="n">
        <f aca="false">4*Inputs!B2*Inputs!B4*Inputs!B3/10000</f>
        <v>0.001</v>
      </c>
      <c r="F59" s="13" t="n">
        <f aca="false">Inputs!B2*Inputs!B5/Inputs!B6</f>
        <v>0.000833333333333333</v>
      </c>
      <c r="G59" s="13" t="n">
        <f aca="false">D59-E59-F59</f>
        <v>0.0217666666666667</v>
      </c>
      <c r="H59" s="4" t="n">
        <f aca="false">(1+G59)*H58</f>
        <v>1.38689895930806</v>
      </c>
      <c r="I59" s="4" t="n">
        <f aca="false">MAX(1,H$2:H59)</f>
        <v>1.39137647764267</v>
      </c>
      <c r="J59" s="13" t="n">
        <f aca="false">H59/I59-1</f>
        <v>-0.00321804946868487</v>
      </c>
      <c r="K59" s="13" t="n">
        <f aca="false">Data!L59</f>
        <v>0.0364</v>
      </c>
    </row>
    <row r="60" customFormat="false" ht="30" hidden="false" customHeight="true" outlineLevel="0" collapsed="false">
      <c r="A60" s="5" t="str">
        <f aca="false">Data!A60</f>
        <v>1967-11</v>
      </c>
      <c r="B60" s="12" t="n">
        <f aca="false">Data!K60</f>
        <v>0.0112</v>
      </c>
      <c r="C60" s="12" t="n">
        <f aca="false">Data!B60</f>
        <v>0.0137</v>
      </c>
      <c r="D60" s="12" t="n">
        <f aca="false">(B60-C60)*Inputs!B2</f>
        <v>-0.00125</v>
      </c>
      <c r="E60" s="12" t="n">
        <f aca="false">4*Inputs!B2*Inputs!B4*Inputs!B3/10000</f>
        <v>0.001</v>
      </c>
      <c r="F60" s="12" t="n">
        <f aca="false">Inputs!B2*Inputs!B5/Inputs!B6</f>
        <v>0.000833333333333333</v>
      </c>
      <c r="G60" s="12" t="n">
        <f aca="false">D60-E60-F60</f>
        <v>-0.00308333333333333</v>
      </c>
      <c r="H60" s="5" t="n">
        <f aca="false">(1+G60)*H59</f>
        <v>1.38262268751686</v>
      </c>
      <c r="I60" s="5" t="n">
        <f aca="false">MAX(1,H$2:H60)</f>
        <v>1.39137647764267</v>
      </c>
      <c r="J60" s="12" t="n">
        <f aca="false">H60/I60-1</f>
        <v>-0.00629146048282314</v>
      </c>
      <c r="K60" s="12" t="n">
        <f aca="false">Data!L60</f>
        <v>0.0122</v>
      </c>
    </row>
    <row r="61" customFormat="false" ht="30" hidden="false" customHeight="true" outlineLevel="0" collapsed="false">
      <c r="A61" s="4" t="str">
        <f aca="false">Data!A61</f>
        <v>1967-12</v>
      </c>
      <c r="B61" s="13" t="n">
        <f aca="false">Data!K61</f>
        <v>0.0901</v>
      </c>
      <c r="C61" s="13" t="n">
        <f aca="false">Data!B61</f>
        <v>0.0237</v>
      </c>
      <c r="D61" s="13" t="n">
        <f aca="false">(B61-C61)*Inputs!B2</f>
        <v>0.0332</v>
      </c>
      <c r="E61" s="13" t="n">
        <f aca="false">4*Inputs!B2*Inputs!B4*Inputs!B3/10000</f>
        <v>0.001</v>
      </c>
      <c r="F61" s="13" t="n">
        <f aca="false">Inputs!B2*Inputs!B5/Inputs!B6</f>
        <v>0.000833333333333333</v>
      </c>
      <c r="G61" s="13" t="n">
        <f aca="false">D61-E61-F61</f>
        <v>0.0313666666666667</v>
      </c>
      <c r="H61" s="4" t="n">
        <f aca="false">(1+G61)*H60</f>
        <v>1.42599095248197</v>
      </c>
      <c r="I61" s="4" t="n">
        <f aca="false">MAX(1,H$2:H61)</f>
        <v>1.42599095248197</v>
      </c>
      <c r="J61" s="13" t="n">
        <f aca="false">H61/I61-1</f>
        <v>0</v>
      </c>
      <c r="K61" s="13" t="n">
        <f aca="false">Data!L61</f>
        <v>0.0321</v>
      </c>
    </row>
    <row r="62" customFormat="false" ht="30" hidden="false" customHeight="true" outlineLevel="0" collapsed="false">
      <c r="A62" s="5" t="str">
        <f aca="false">Data!A62</f>
        <v>1968-01</v>
      </c>
      <c r="B62" s="12" t="n">
        <f aca="false">Data!K62</f>
        <v>-0.0694</v>
      </c>
      <c r="C62" s="12" t="n">
        <f aca="false">Data!B62</f>
        <v>0.0018</v>
      </c>
      <c r="D62" s="12" t="n">
        <f aca="false">(B62-C62)*Inputs!B2</f>
        <v>-0.0356</v>
      </c>
      <c r="E62" s="12" t="n">
        <f aca="false">4*Inputs!B2*Inputs!B4*Inputs!B3/10000</f>
        <v>0.001</v>
      </c>
      <c r="F62" s="12" t="n">
        <f aca="false">Inputs!B2*Inputs!B5/Inputs!B6</f>
        <v>0.000833333333333333</v>
      </c>
      <c r="G62" s="12" t="n">
        <f aca="false">D62-E62-F62</f>
        <v>-0.0374333333333333</v>
      </c>
      <c r="H62" s="5" t="n">
        <f aca="false">(1+G62)*H61</f>
        <v>1.37261135782739</v>
      </c>
      <c r="I62" s="5" t="n">
        <f aca="false">MAX(1,H$2:H62)</f>
        <v>1.42599095248197</v>
      </c>
      <c r="J62" s="12" t="n">
        <f aca="false">H62/I62-1</f>
        <v>-0.0374333333333333</v>
      </c>
      <c r="K62" s="12" t="n">
        <f aca="false">Data!L62</f>
        <v>-0.0449</v>
      </c>
    </row>
    <row r="63" customFormat="false" ht="30" hidden="false" customHeight="true" outlineLevel="0" collapsed="false">
      <c r="A63" s="4" t="str">
        <f aca="false">Data!A63</f>
        <v>1968-02</v>
      </c>
      <c r="B63" s="13" t="n">
        <f aca="false">Data!K63</f>
        <v>-0.0895</v>
      </c>
      <c r="C63" s="13" t="n">
        <f aca="false">Data!B63</f>
        <v>-0.036</v>
      </c>
      <c r="D63" s="13" t="n">
        <f aca="false">(B63-C63)*Inputs!B2</f>
        <v>-0.02675</v>
      </c>
      <c r="E63" s="13" t="n">
        <f aca="false">4*Inputs!B2*Inputs!B4*Inputs!B3/10000</f>
        <v>0.001</v>
      </c>
      <c r="F63" s="13" t="n">
        <f aca="false">Inputs!B2*Inputs!B5/Inputs!B6</f>
        <v>0.000833333333333333</v>
      </c>
      <c r="G63" s="13" t="n">
        <f aca="false">D63-E63-F63</f>
        <v>-0.0285833333333333</v>
      </c>
      <c r="H63" s="4" t="n">
        <f aca="false">(1+G63)*H62</f>
        <v>1.33337754984949</v>
      </c>
      <c r="I63" s="4" t="n">
        <f aca="false">MAX(1,H$2:H63)</f>
        <v>1.42599095248197</v>
      </c>
      <c r="J63" s="13" t="n">
        <f aca="false">H63/I63-1</f>
        <v>-0.0649466972222221</v>
      </c>
      <c r="K63" s="13" t="n">
        <f aca="false">Data!L63</f>
        <v>-0.0336</v>
      </c>
    </row>
    <row r="64" customFormat="false" ht="30" hidden="false" customHeight="true" outlineLevel="0" collapsed="false">
      <c r="A64" s="5" t="str">
        <f aca="false">Data!A64</f>
        <v>1968-03</v>
      </c>
      <c r="B64" s="12" t="n">
        <f aca="false">Data!K64</f>
        <v>0.0256</v>
      </c>
      <c r="C64" s="12" t="n">
        <f aca="false">Data!B64</f>
        <v>-0.0185</v>
      </c>
      <c r="D64" s="12" t="n">
        <f aca="false">(B64-C64)*Inputs!B2</f>
        <v>0.02205</v>
      </c>
      <c r="E64" s="12" t="n">
        <f aca="false">4*Inputs!B2*Inputs!B4*Inputs!B3/10000</f>
        <v>0.001</v>
      </c>
      <c r="F64" s="12" t="n">
        <f aca="false">Inputs!B2*Inputs!B5/Inputs!B6</f>
        <v>0.000833333333333333</v>
      </c>
      <c r="G64" s="12" t="n">
        <f aca="false">D64-E64-F64</f>
        <v>0.0202166666666667</v>
      </c>
      <c r="H64" s="5" t="n">
        <f aca="false">(1+G64)*H63</f>
        <v>1.36033399931562</v>
      </c>
      <c r="I64" s="5" t="n">
        <f aca="false">MAX(1,H$2:H64)</f>
        <v>1.42599095248197</v>
      </c>
      <c r="J64" s="12" t="n">
        <f aca="false">H64/I64-1</f>
        <v>-0.046043036284398</v>
      </c>
      <c r="K64" s="12" t="n">
        <f aca="false">Data!L64</f>
        <v>0.0319</v>
      </c>
    </row>
    <row r="65" customFormat="false" ht="30" hidden="false" customHeight="true" outlineLevel="0" collapsed="false">
      <c r="A65" s="4" t="str">
        <f aca="false">Data!A65</f>
        <v>1968-04</v>
      </c>
      <c r="B65" s="13" t="n">
        <f aca="false">Data!K65</f>
        <v>0.1922</v>
      </c>
      <c r="C65" s="13" t="n">
        <f aca="false">Data!B65</f>
        <v>0.1094</v>
      </c>
      <c r="D65" s="13" t="n">
        <f aca="false">(B65-C65)*Inputs!B2</f>
        <v>0.0414</v>
      </c>
      <c r="E65" s="13" t="n">
        <f aca="false">4*Inputs!B2*Inputs!B4*Inputs!B3/10000</f>
        <v>0.001</v>
      </c>
      <c r="F65" s="13" t="n">
        <f aca="false">Inputs!B2*Inputs!B5/Inputs!B6</f>
        <v>0.000833333333333333</v>
      </c>
      <c r="G65" s="13" t="n">
        <f aca="false">D65-E65-F65</f>
        <v>0.0395666666666667</v>
      </c>
      <c r="H65" s="4" t="n">
        <f aca="false">(1+G65)*H64</f>
        <v>1.41415788122187</v>
      </c>
      <c r="I65" s="4" t="n">
        <f aca="false">MAX(1,H$2:H65)</f>
        <v>1.42599095248197</v>
      </c>
      <c r="J65" s="13" t="n">
        <f aca="false">H65/I65-1</f>
        <v>-0.00829813908671728</v>
      </c>
      <c r="K65" s="13" t="n">
        <f aca="false">Data!L65</f>
        <v>0.0513</v>
      </c>
    </row>
    <row r="66" customFormat="false" ht="30" hidden="false" customHeight="true" outlineLevel="0" collapsed="false">
      <c r="A66" s="5" t="str">
        <f aca="false">Data!A66</f>
        <v>1968-05</v>
      </c>
      <c r="B66" s="12" t="n">
        <f aca="false">Data!K66</f>
        <v>0.1024</v>
      </c>
      <c r="C66" s="12" t="n">
        <f aca="false">Data!B66</f>
        <v>0.0157</v>
      </c>
      <c r="D66" s="12" t="n">
        <f aca="false">(B66-C66)*Inputs!B2</f>
        <v>0.04335</v>
      </c>
      <c r="E66" s="12" t="n">
        <f aca="false">4*Inputs!B2*Inputs!B4*Inputs!B3/10000</f>
        <v>0.001</v>
      </c>
      <c r="F66" s="12" t="n">
        <f aca="false">Inputs!B2*Inputs!B5/Inputs!B6</f>
        <v>0.000833333333333333</v>
      </c>
      <c r="G66" s="12" t="n">
        <f aca="false">D66-E66-F66</f>
        <v>0.0415166666666667</v>
      </c>
      <c r="H66" s="5" t="n">
        <f aca="false">(1+G66)*H65</f>
        <v>1.4728690025906</v>
      </c>
      <c r="I66" s="5" t="n">
        <f aca="false">MAX(1,H$2:H66)</f>
        <v>1.4728690025906</v>
      </c>
      <c r="J66" s="12" t="n">
        <f aca="false">H66/I66-1</f>
        <v>0</v>
      </c>
      <c r="K66" s="12" t="n">
        <f aca="false">Data!L66</f>
        <v>0.0377</v>
      </c>
    </row>
    <row r="67" customFormat="false" ht="30" hidden="false" customHeight="true" outlineLevel="0" collapsed="false">
      <c r="A67" s="4" t="str">
        <f aca="false">Data!A67</f>
        <v>1968-06</v>
      </c>
      <c r="B67" s="13" t="n">
        <f aca="false">Data!K67</f>
        <v>0.0073</v>
      </c>
      <c r="C67" s="13" t="n">
        <f aca="false">Data!B67</f>
        <v>0.018</v>
      </c>
      <c r="D67" s="13" t="n">
        <f aca="false">(B67-C67)*Inputs!B2</f>
        <v>-0.00535</v>
      </c>
      <c r="E67" s="13" t="n">
        <f aca="false">4*Inputs!B2*Inputs!B4*Inputs!B3/10000</f>
        <v>0.001</v>
      </c>
      <c r="F67" s="13" t="n">
        <f aca="false">Inputs!B2*Inputs!B5/Inputs!B6</f>
        <v>0.000833333333333333</v>
      </c>
      <c r="G67" s="13" t="n">
        <f aca="false">D67-E67-F67</f>
        <v>-0.00718333333333333</v>
      </c>
      <c r="H67" s="4" t="n">
        <f aca="false">(1+G67)*H66</f>
        <v>1.46228889358866</v>
      </c>
      <c r="I67" s="4" t="n">
        <f aca="false">MAX(1,H$2:H67)</f>
        <v>1.4728690025906</v>
      </c>
      <c r="J67" s="13" t="n">
        <f aca="false">H67/I67-1</f>
        <v>-0.00718333333333332</v>
      </c>
      <c r="K67" s="13" t="n">
        <f aca="false">Data!L67</f>
        <v>-0.021</v>
      </c>
    </row>
    <row r="68" customFormat="false" ht="30" hidden="false" customHeight="true" outlineLevel="0" collapsed="false">
      <c r="A68" s="5" t="str">
        <f aca="false">Data!A68</f>
        <v>1968-07</v>
      </c>
      <c r="B68" s="12" t="n">
        <f aca="false">Data!K68</f>
        <v>-0.0445</v>
      </c>
      <c r="C68" s="12" t="n">
        <f aca="false">Data!B68</f>
        <v>-0.0239</v>
      </c>
      <c r="D68" s="12" t="n">
        <f aca="false">(B68-C68)*Inputs!B2</f>
        <v>-0.0103</v>
      </c>
      <c r="E68" s="12" t="n">
        <f aca="false">4*Inputs!B2*Inputs!B4*Inputs!B3/10000</f>
        <v>0.001</v>
      </c>
      <c r="F68" s="12" t="n">
        <f aca="false">Inputs!B2*Inputs!B5/Inputs!B6</f>
        <v>0.000833333333333333</v>
      </c>
      <c r="G68" s="12" t="n">
        <f aca="false">D68-E68-F68</f>
        <v>-0.0121333333333333</v>
      </c>
      <c r="H68" s="5" t="n">
        <f aca="false">(1+G68)*H67</f>
        <v>1.44454645501312</v>
      </c>
      <c r="I68" s="5" t="n">
        <f aca="false">MAX(1,H$2:H68)</f>
        <v>1.4728690025906</v>
      </c>
      <c r="J68" s="12" t="n">
        <f aca="false">H68/I68-1</f>
        <v>-0.0192295088888889</v>
      </c>
      <c r="K68" s="12" t="n">
        <f aca="false">Data!L68</f>
        <v>-0.0088</v>
      </c>
    </row>
    <row r="69" customFormat="false" ht="30" hidden="false" customHeight="true" outlineLevel="0" collapsed="false">
      <c r="A69" s="4" t="str">
        <f aca="false">Data!A69</f>
        <v>1968-08</v>
      </c>
      <c r="B69" s="13" t="n">
        <f aca="false">Data!K69</f>
        <v>0.0491</v>
      </c>
      <c r="C69" s="13" t="n">
        <f aca="false">Data!B69</f>
        <v>0.0086</v>
      </c>
      <c r="D69" s="13" t="n">
        <f aca="false">(B69-C69)*Inputs!B2</f>
        <v>0.02025</v>
      </c>
      <c r="E69" s="13" t="n">
        <f aca="false">4*Inputs!B2*Inputs!B4*Inputs!B3/10000</f>
        <v>0.001</v>
      </c>
      <c r="F69" s="13" t="n">
        <f aca="false">Inputs!B2*Inputs!B5/Inputs!B6</f>
        <v>0.000833333333333333</v>
      </c>
      <c r="G69" s="13" t="n">
        <f aca="false">D69-E69-F69</f>
        <v>0.0184166666666667</v>
      </c>
      <c r="H69" s="4" t="n">
        <f aca="false">(1+G69)*H68</f>
        <v>1.47115018555961</v>
      </c>
      <c r="I69" s="4" t="n">
        <f aca="false">MAX(1,H$2:H69)</f>
        <v>1.4728690025906</v>
      </c>
      <c r="J69" s="13" t="n">
        <f aca="false">H69/I69-1</f>
        <v>-0.00116698567759255</v>
      </c>
      <c r="K69" s="13" t="n">
        <f aca="false">Data!L69</f>
        <v>0.0193</v>
      </c>
    </row>
    <row r="70" customFormat="false" ht="30" hidden="false" customHeight="true" outlineLevel="0" collapsed="false">
      <c r="A70" s="5" t="str">
        <f aca="false">Data!A70</f>
        <v>1968-09</v>
      </c>
      <c r="B70" s="12" t="n">
        <f aca="false">Data!K70</f>
        <v>0.0983</v>
      </c>
      <c r="C70" s="12" t="n">
        <f aca="false">Data!B70</f>
        <v>0.0685</v>
      </c>
      <c r="D70" s="12" t="n">
        <f aca="false">(B70-C70)*Inputs!B2</f>
        <v>0.0149</v>
      </c>
      <c r="E70" s="12" t="n">
        <f aca="false">4*Inputs!B2*Inputs!B4*Inputs!B3/10000</f>
        <v>0.001</v>
      </c>
      <c r="F70" s="12" t="n">
        <f aca="false">Inputs!B2*Inputs!B5/Inputs!B6</f>
        <v>0.000833333333333333</v>
      </c>
      <c r="G70" s="12" t="n">
        <f aca="false">D70-E70-F70</f>
        <v>0.0130666666666667</v>
      </c>
      <c r="H70" s="5" t="n">
        <f aca="false">(1+G70)*H69</f>
        <v>1.49037321465092</v>
      </c>
      <c r="I70" s="5" t="n">
        <f aca="false">MAX(1,H$2:H70)</f>
        <v>1.49037321465092</v>
      </c>
      <c r="J70" s="12" t="n">
        <f aca="false">H70/I70-1</f>
        <v>0</v>
      </c>
      <c r="K70" s="12" t="n">
        <f aca="false">Data!L70</f>
        <v>-0.0068</v>
      </c>
    </row>
    <row r="71" customFormat="false" ht="30" hidden="false" customHeight="true" outlineLevel="0" collapsed="false">
      <c r="A71" s="4" t="str">
        <f aca="false">Data!A71</f>
        <v>1968-10</v>
      </c>
      <c r="B71" s="13" t="n">
        <f aca="false">Data!K71</f>
        <v>-0.0157</v>
      </c>
      <c r="C71" s="13" t="n">
        <f aca="false">Data!B71</f>
        <v>0.019</v>
      </c>
      <c r="D71" s="13" t="n">
        <f aca="false">(B71-C71)*Inputs!B2</f>
        <v>-0.01735</v>
      </c>
      <c r="E71" s="13" t="n">
        <f aca="false">4*Inputs!B2*Inputs!B4*Inputs!B3/10000</f>
        <v>0.001</v>
      </c>
      <c r="F71" s="13" t="n">
        <f aca="false">Inputs!B2*Inputs!B5/Inputs!B6</f>
        <v>0.000833333333333333</v>
      </c>
      <c r="G71" s="13" t="n">
        <f aca="false">D71-E71-F71</f>
        <v>-0.0191833333333333</v>
      </c>
      <c r="H71" s="4" t="n">
        <f aca="false">(1+G71)*H70</f>
        <v>1.4617828884832</v>
      </c>
      <c r="I71" s="4" t="n">
        <f aca="false">MAX(1,H$2:H71)</f>
        <v>1.49037321465092</v>
      </c>
      <c r="J71" s="13" t="n">
        <f aca="false">H71/I71-1</f>
        <v>-0.0191833333333333</v>
      </c>
      <c r="K71" s="13" t="n">
        <f aca="false">Data!L71</f>
        <v>-0.0144</v>
      </c>
    </row>
    <row r="72" customFormat="false" ht="30" hidden="false" customHeight="true" outlineLevel="0" collapsed="false">
      <c r="A72" s="5" t="str">
        <f aca="false">Data!A72</f>
        <v>1968-11</v>
      </c>
      <c r="B72" s="12" t="n">
        <f aca="false">Data!K72</f>
        <v>0.1004</v>
      </c>
      <c r="C72" s="12" t="n">
        <f aca="false">Data!B72</f>
        <v>0.0855</v>
      </c>
      <c r="D72" s="12" t="n">
        <f aca="false">(B72-C72)*Inputs!B2</f>
        <v>0.00745</v>
      </c>
      <c r="E72" s="12" t="n">
        <f aca="false">4*Inputs!B2*Inputs!B4*Inputs!B3/10000</f>
        <v>0.001</v>
      </c>
      <c r="F72" s="12" t="n">
        <f aca="false">Inputs!B2*Inputs!B5/Inputs!B6</f>
        <v>0.000833333333333333</v>
      </c>
      <c r="G72" s="12" t="n">
        <f aca="false">D72-E72-F72</f>
        <v>0.00561666666666667</v>
      </c>
      <c r="H72" s="5" t="n">
        <f aca="false">(1+G72)*H71</f>
        <v>1.46999323570685</v>
      </c>
      <c r="I72" s="5" t="n">
        <f aca="false">MAX(1,H$2:H72)</f>
        <v>1.49037321465092</v>
      </c>
      <c r="J72" s="12" t="n">
        <f aca="false">H72/I72-1</f>
        <v>-0.0136744130555556</v>
      </c>
      <c r="K72" s="12" t="n">
        <f aca="false">Data!L72</f>
        <v>0.0179</v>
      </c>
    </row>
    <row r="73" customFormat="false" ht="30" hidden="false" customHeight="true" outlineLevel="0" collapsed="false">
      <c r="A73" s="4" t="str">
        <f aca="false">Data!A73</f>
        <v>1968-12</v>
      </c>
      <c r="B73" s="13" t="n">
        <f aca="false">Data!K73</f>
        <v>-0.0287</v>
      </c>
      <c r="C73" s="13" t="n">
        <f aca="false">Data!B73</f>
        <v>-0.0495</v>
      </c>
      <c r="D73" s="13" t="n">
        <f aca="false">(B73-C73)*Inputs!B2</f>
        <v>0.0104</v>
      </c>
      <c r="E73" s="13" t="n">
        <f aca="false">4*Inputs!B2*Inputs!B4*Inputs!B3/10000</f>
        <v>0.001</v>
      </c>
      <c r="F73" s="13" t="n">
        <f aca="false">Inputs!B2*Inputs!B5/Inputs!B6</f>
        <v>0.000833333333333333</v>
      </c>
      <c r="G73" s="13" t="n">
        <f aca="false">D73-E73-F73</f>
        <v>0.00856666666666667</v>
      </c>
      <c r="H73" s="4" t="n">
        <f aca="false">(1+G73)*H72</f>
        <v>1.4825861777594</v>
      </c>
      <c r="I73" s="4" t="n">
        <f aca="false">MAX(1,H$2:H73)</f>
        <v>1.49037321465092</v>
      </c>
      <c r="J73" s="13" t="n">
        <f aca="false">H73/I73-1</f>
        <v>-0.00522489052739816</v>
      </c>
      <c r="K73" s="13" t="n">
        <f aca="false">Data!L73</f>
        <v>0.0032</v>
      </c>
    </row>
    <row r="74" customFormat="false" ht="30" hidden="false" customHeight="true" outlineLevel="0" collapsed="false">
      <c r="A74" s="5" t="str">
        <f aca="false">Data!A74</f>
        <v>1969-01</v>
      </c>
      <c r="B74" s="12" t="n">
        <f aca="false">Data!K74</f>
        <v>-0.0187</v>
      </c>
      <c r="C74" s="12" t="n">
        <f aca="false">Data!B74</f>
        <v>-0.0282</v>
      </c>
      <c r="D74" s="12" t="n">
        <f aca="false">(B74-C74)*Inputs!B2</f>
        <v>0.00475</v>
      </c>
      <c r="E74" s="12" t="n">
        <f aca="false">4*Inputs!B2*Inputs!B4*Inputs!B3/10000</f>
        <v>0.001</v>
      </c>
      <c r="F74" s="12" t="n">
        <f aca="false">Inputs!B2*Inputs!B5/Inputs!B6</f>
        <v>0.000833333333333333</v>
      </c>
      <c r="G74" s="12" t="n">
        <f aca="false">D74-E74-F74</f>
        <v>0.00291666666666667</v>
      </c>
      <c r="H74" s="5" t="n">
        <f aca="false">(1+G74)*H73</f>
        <v>1.48691038744453</v>
      </c>
      <c r="I74" s="5" t="n">
        <f aca="false">MAX(1,H$2:H74)</f>
        <v>1.49037321465092</v>
      </c>
      <c r="J74" s="12" t="n">
        <f aca="false">H74/I74-1</f>
        <v>-0.00232346312476972</v>
      </c>
      <c r="K74" s="12" t="n">
        <f aca="false">Data!L74</f>
        <v>-0.0013</v>
      </c>
    </row>
    <row r="75" customFormat="false" ht="30" hidden="false" customHeight="true" outlineLevel="0" collapsed="false">
      <c r="A75" s="4" t="str">
        <f aca="false">Data!A75</f>
        <v>1969-02</v>
      </c>
      <c r="B75" s="13" t="n">
        <f aca="false">Data!K75</f>
        <v>-0.1046</v>
      </c>
      <c r="C75" s="13" t="n">
        <f aca="false">Data!B75</f>
        <v>-0.0788</v>
      </c>
      <c r="D75" s="13" t="n">
        <f aca="false">(B75-C75)*Inputs!B2</f>
        <v>-0.0129</v>
      </c>
      <c r="E75" s="13" t="n">
        <f aca="false">4*Inputs!B2*Inputs!B4*Inputs!B3/10000</f>
        <v>0.001</v>
      </c>
      <c r="F75" s="13" t="n">
        <f aca="false">Inputs!B2*Inputs!B5/Inputs!B6</f>
        <v>0.000833333333333333</v>
      </c>
      <c r="G75" s="13" t="n">
        <f aca="false">D75-E75-F75</f>
        <v>-0.0147333333333333</v>
      </c>
      <c r="H75" s="4" t="n">
        <f aca="false">(1+G75)*H74</f>
        <v>1.46500324106952</v>
      </c>
      <c r="I75" s="4" t="n">
        <f aca="false">MAX(1,H$2:H75)</f>
        <v>1.49037321465092</v>
      </c>
      <c r="J75" s="13" t="n">
        <f aca="false">H75/I75-1</f>
        <v>-0.0170225641013981</v>
      </c>
      <c r="K75" s="13" t="n">
        <f aca="false">Data!L75</f>
        <v>-0.025</v>
      </c>
    </row>
    <row r="76" customFormat="false" ht="30" hidden="false" customHeight="true" outlineLevel="0" collapsed="false">
      <c r="A76" s="5" t="str">
        <f aca="false">Data!A76</f>
        <v>1969-03</v>
      </c>
      <c r="B76" s="12" t="n">
        <f aca="false">Data!K76</f>
        <v>0.0569</v>
      </c>
      <c r="C76" s="12" t="n">
        <f aca="false">Data!B76</f>
        <v>-0.0109</v>
      </c>
      <c r="D76" s="12" t="n">
        <f aca="false">(B76-C76)*Inputs!B2</f>
        <v>0.0339</v>
      </c>
      <c r="E76" s="12" t="n">
        <f aca="false">4*Inputs!B2*Inputs!B4*Inputs!B3/10000</f>
        <v>0.001</v>
      </c>
      <c r="F76" s="12" t="n">
        <f aca="false">Inputs!B2*Inputs!B5/Inputs!B6</f>
        <v>0.000833333333333333</v>
      </c>
      <c r="G76" s="12" t="n">
        <f aca="false">D76-E76-F76</f>
        <v>0.0320666666666667</v>
      </c>
      <c r="H76" s="5" t="n">
        <f aca="false">(1+G76)*H75</f>
        <v>1.51198101166648</v>
      </c>
      <c r="I76" s="5" t="n">
        <f aca="false">MAX(1,H$2:H76)</f>
        <v>1.51198101166648</v>
      </c>
      <c r="J76" s="12" t="n">
        <f aca="false">H76/I76-1</f>
        <v>0</v>
      </c>
      <c r="K76" s="12" t="n">
        <f aca="false">Data!L76</f>
        <v>0.0406</v>
      </c>
    </row>
    <row r="77" customFormat="false" ht="30" hidden="false" customHeight="true" outlineLevel="0" collapsed="false">
      <c r="A77" s="4" t="str">
        <f aca="false">Data!A77</f>
        <v>1969-04</v>
      </c>
      <c r="B77" s="13" t="n">
        <f aca="false">Data!K77</f>
        <v>0.0336</v>
      </c>
      <c r="C77" s="13" t="n">
        <f aca="false">Data!B77</f>
        <v>0.0038</v>
      </c>
      <c r="D77" s="13" t="n">
        <f aca="false">(B77-C77)*Inputs!B2</f>
        <v>0.0149</v>
      </c>
      <c r="E77" s="13" t="n">
        <f aca="false">4*Inputs!B2*Inputs!B4*Inputs!B3/10000</f>
        <v>0.001</v>
      </c>
      <c r="F77" s="13" t="n">
        <f aca="false">Inputs!B2*Inputs!B5/Inputs!B6</f>
        <v>0.000833333333333333</v>
      </c>
      <c r="G77" s="13" t="n">
        <f aca="false">D77-E77-F77</f>
        <v>0.0130666666666667</v>
      </c>
      <c r="H77" s="4" t="n">
        <f aca="false">(1+G77)*H76</f>
        <v>1.53173756355225</v>
      </c>
      <c r="I77" s="4" t="n">
        <f aca="false">MAX(1,H$2:H77)</f>
        <v>1.53173756355225</v>
      </c>
      <c r="J77" s="13" t="n">
        <f aca="false">H77/I77-1</f>
        <v>0</v>
      </c>
      <c r="K77" s="13" t="n">
        <f aca="false">Data!L77</f>
        <v>0.011</v>
      </c>
    </row>
    <row r="78" customFormat="false" ht="30" hidden="false" customHeight="true" outlineLevel="0" collapsed="false">
      <c r="A78" s="5" t="str">
        <f aca="false">Data!A78</f>
        <v>1969-05</v>
      </c>
      <c r="B78" s="12" t="n">
        <f aca="false">Data!K78</f>
        <v>0.0299</v>
      </c>
      <c r="C78" s="12" t="n">
        <f aca="false">Data!B78</f>
        <v>-0.0274</v>
      </c>
      <c r="D78" s="12" t="n">
        <f aca="false">(B78-C78)*Inputs!B2</f>
        <v>0.02865</v>
      </c>
      <c r="E78" s="12" t="n">
        <f aca="false">4*Inputs!B2*Inputs!B4*Inputs!B3/10000</f>
        <v>0.001</v>
      </c>
      <c r="F78" s="12" t="n">
        <f aca="false">Inputs!B2*Inputs!B5/Inputs!B6</f>
        <v>0.000833333333333333</v>
      </c>
      <c r="G78" s="12" t="n">
        <f aca="false">D78-E78-F78</f>
        <v>0.0268166666666667</v>
      </c>
      <c r="H78" s="5" t="n">
        <f aca="false">(1+G78)*H77</f>
        <v>1.57281365921485</v>
      </c>
      <c r="I78" s="5" t="n">
        <f aca="false">MAX(1,H$2:H78)</f>
        <v>1.57281365921485</v>
      </c>
      <c r="J78" s="12" t="n">
        <f aca="false">H78/I78-1</f>
        <v>0</v>
      </c>
      <c r="K78" s="12" t="n">
        <f aca="false">Data!L78</f>
        <v>0.0177</v>
      </c>
    </row>
    <row r="79" customFormat="false" ht="30" hidden="false" customHeight="true" outlineLevel="0" collapsed="false">
      <c r="A79" s="4" t="str">
        <f aca="false">Data!A79</f>
        <v>1969-06</v>
      </c>
      <c r="B79" s="13" t="n">
        <f aca="false">Data!K79</f>
        <v>-0.1147</v>
      </c>
      <c r="C79" s="13" t="n">
        <f aca="false">Data!B79</f>
        <v>-0.1188</v>
      </c>
      <c r="D79" s="13" t="n">
        <f aca="false">(B79-C79)*Inputs!B2</f>
        <v>0.00205</v>
      </c>
      <c r="E79" s="13" t="n">
        <f aca="false">4*Inputs!B2*Inputs!B4*Inputs!B3/10000</f>
        <v>0.001</v>
      </c>
      <c r="F79" s="13" t="n">
        <f aca="false">Inputs!B2*Inputs!B5/Inputs!B6</f>
        <v>0.000833333333333333</v>
      </c>
      <c r="G79" s="13" t="n">
        <f aca="false">D79-E79-F79</f>
        <v>0.00021666666666667</v>
      </c>
      <c r="H79" s="4" t="n">
        <f aca="false">(1+G79)*H78</f>
        <v>1.57315443550768</v>
      </c>
      <c r="I79" s="4" t="n">
        <f aca="false">MAX(1,H$2:H79)</f>
        <v>1.57315443550768</v>
      </c>
      <c r="J79" s="13" t="n">
        <f aca="false">H79/I79-1</f>
        <v>0</v>
      </c>
      <c r="K79" s="13" t="n">
        <f aca="false">Data!L79</f>
        <v>-0.023</v>
      </c>
    </row>
    <row r="80" customFormat="false" ht="30" hidden="false" customHeight="true" outlineLevel="0" collapsed="false">
      <c r="A80" s="5" t="str">
        <f aca="false">Data!A80</f>
        <v>1969-07</v>
      </c>
      <c r="B80" s="12" t="n">
        <f aca="false">Data!K80</f>
        <v>-0.069</v>
      </c>
      <c r="C80" s="12" t="n">
        <f aca="false">Data!B80</f>
        <v>-0.1233</v>
      </c>
      <c r="D80" s="12" t="n">
        <f aca="false">(B80-C80)*Inputs!B2</f>
        <v>0.02715</v>
      </c>
      <c r="E80" s="12" t="n">
        <f aca="false">4*Inputs!B2*Inputs!B4*Inputs!B3/10000</f>
        <v>0.001</v>
      </c>
      <c r="F80" s="12" t="n">
        <f aca="false">Inputs!B2*Inputs!B5/Inputs!B6</f>
        <v>0.000833333333333333</v>
      </c>
      <c r="G80" s="12" t="n">
        <f aca="false">D80-E80-F80</f>
        <v>0.0253166666666667</v>
      </c>
      <c r="H80" s="5" t="n">
        <f aca="false">(1+G80)*H79</f>
        <v>1.61298146196661</v>
      </c>
      <c r="I80" s="5" t="n">
        <f aca="false">MAX(1,H$2:H80)</f>
        <v>1.61298146196661</v>
      </c>
      <c r="J80" s="12" t="n">
        <f aca="false">H80/I80-1</f>
        <v>0</v>
      </c>
      <c r="K80" s="12" t="n">
        <f aca="false">Data!L80</f>
        <v>0.0181</v>
      </c>
    </row>
    <row r="81" customFormat="false" ht="30" hidden="false" customHeight="true" outlineLevel="0" collapsed="false">
      <c r="A81" s="4" t="str">
        <f aca="false">Data!A81</f>
        <v>1969-08</v>
      </c>
      <c r="B81" s="13" t="n">
        <f aca="false">Data!K81</f>
        <v>0.1045</v>
      </c>
      <c r="C81" s="13" t="n">
        <f aca="false">Data!B81</f>
        <v>0.0641</v>
      </c>
      <c r="D81" s="13" t="n">
        <f aca="false">(B81-C81)*Inputs!B2</f>
        <v>0.0202</v>
      </c>
      <c r="E81" s="13" t="n">
        <f aca="false">4*Inputs!B2*Inputs!B4*Inputs!B3/10000</f>
        <v>0.001</v>
      </c>
      <c r="F81" s="13" t="n">
        <f aca="false">Inputs!B2*Inputs!B5/Inputs!B6</f>
        <v>0.000833333333333333</v>
      </c>
      <c r="G81" s="13" t="n">
        <f aca="false">D81-E81-F81</f>
        <v>0.0183666666666667</v>
      </c>
      <c r="H81" s="4" t="n">
        <f aca="false">(1+G81)*H80</f>
        <v>1.64260655481807</v>
      </c>
      <c r="I81" s="4" t="n">
        <f aca="false">MAX(1,H$2:H81)</f>
        <v>1.64260655481807</v>
      </c>
      <c r="J81" s="13" t="n">
        <f aca="false">H81/I81-1</f>
        <v>0</v>
      </c>
      <c r="K81" s="13" t="n">
        <f aca="false">Data!L81</f>
        <v>0.021</v>
      </c>
    </row>
    <row r="82" customFormat="false" ht="30" hidden="false" customHeight="true" outlineLevel="0" collapsed="false">
      <c r="A82" s="5" t="str">
        <f aca="false">Data!A82</f>
        <v>1969-09</v>
      </c>
      <c r="B82" s="12" t="n">
        <f aca="false">Data!K82</f>
        <v>-0.0266</v>
      </c>
      <c r="C82" s="12" t="n">
        <f aca="false">Data!B82</f>
        <v>-0.0441</v>
      </c>
      <c r="D82" s="12" t="n">
        <f aca="false">(B82-C82)*Inputs!B2</f>
        <v>0.00875</v>
      </c>
      <c r="E82" s="12" t="n">
        <f aca="false">4*Inputs!B2*Inputs!B4*Inputs!B3/10000</f>
        <v>0.001</v>
      </c>
      <c r="F82" s="12" t="n">
        <f aca="false">Inputs!B2*Inputs!B5/Inputs!B6</f>
        <v>0.000833333333333333</v>
      </c>
      <c r="G82" s="12" t="n">
        <f aca="false">D82-E82-F82</f>
        <v>0.00691666666666667</v>
      </c>
      <c r="H82" s="5" t="n">
        <f aca="false">(1+G82)*H81</f>
        <v>1.65396791682223</v>
      </c>
      <c r="I82" s="5" t="n">
        <f aca="false">MAX(1,H$2:H82)</f>
        <v>1.65396791682223</v>
      </c>
      <c r="J82" s="12" t="n">
        <f aca="false">H82/I82-1</f>
        <v>0</v>
      </c>
      <c r="K82" s="12" t="n">
        <f aca="false">Data!L82</f>
        <v>0.0241</v>
      </c>
    </row>
    <row r="83" customFormat="false" ht="30" hidden="false" customHeight="true" outlineLevel="0" collapsed="false">
      <c r="A83" s="4" t="str">
        <f aca="false">Data!A83</f>
        <v>1969-10</v>
      </c>
      <c r="B83" s="13" t="n">
        <f aca="false">Data!K83</f>
        <v>0.0665</v>
      </c>
      <c r="C83" s="13" t="n">
        <f aca="false">Data!B83</f>
        <v>0.1071</v>
      </c>
      <c r="D83" s="13" t="n">
        <f aca="false">(B83-C83)*Inputs!B2</f>
        <v>-0.0203</v>
      </c>
      <c r="E83" s="13" t="n">
        <f aca="false">4*Inputs!B2*Inputs!B4*Inputs!B3/10000</f>
        <v>0.001</v>
      </c>
      <c r="F83" s="13" t="n">
        <f aca="false">Inputs!B2*Inputs!B5/Inputs!B6</f>
        <v>0.000833333333333333</v>
      </c>
      <c r="G83" s="13" t="n">
        <f aca="false">D83-E83-F83</f>
        <v>-0.0221333333333333</v>
      </c>
      <c r="H83" s="4" t="n">
        <f aca="false">(1+G83)*H82</f>
        <v>1.61736009359656</v>
      </c>
      <c r="I83" s="4" t="n">
        <f aca="false">MAX(1,H$2:H83)</f>
        <v>1.65396791682223</v>
      </c>
      <c r="J83" s="13" t="n">
        <f aca="false">H83/I83-1</f>
        <v>-0.0221333333333333</v>
      </c>
      <c r="K83" s="13" t="n">
        <f aca="false">Data!L83</f>
        <v>-0.0436</v>
      </c>
    </row>
    <row r="84" customFormat="false" ht="30" hidden="false" customHeight="true" outlineLevel="0" collapsed="false">
      <c r="A84" s="5" t="str">
        <f aca="false">Data!A84</f>
        <v>1969-11</v>
      </c>
      <c r="B84" s="12" t="n">
        <f aca="false">Data!K84</f>
        <v>-0.0053</v>
      </c>
      <c r="C84" s="12" t="n">
        <f aca="false">Data!B84</f>
        <v>-0.069</v>
      </c>
      <c r="D84" s="12" t="n">
        <f aca="false">(B84-C84)*Inputs!B2</f>
        <v>0.03185</v>
      </c>
      <c r="E84" s="12" t="n">
        <f aca="false">4*Inputs!B2*Inputs!B4*Inputs!B3/10000</f>
        <v>0.001</v>
      </c>
      <c r="F84" s="12" t="n">
        <f aca="false">Inputs!B2*Inputs!B5/Inputs!B6</f>
        <v>0.000833333333333333</v>
      </c>
      <c r="G84" s="12" t="n">
        <f aca="false">D84-E84-F84</f>
        <v>0.0300166666666667</v>
      </c>
      <c r="H84" s="5" t="n">
        <f aca="false">(1+G84)*H83</f>
        <v>1.66590785240602</v>
      </c>
      <c r="I84" s="5" t="n">
        <f aca="false">MAX(1,H$2:H84)</f>
        <v>1.66590785240602</v>
      </c>
      <c r="J84" s="12" t="n">
        <f aca="false">H84/I84-1</f>
        <v>0</v>
      </c>
      <c r="K84" s="12" t="n">
        <f aca="false">Data!L84</f>
        <v>0.0368</v>
      </c>
    </row>
    <row r="85" customFormat="false" ht="30" hidden="false" customHeight="true" outlineLevel="0" collapsed="false">
      <c r="A85" s="4" t="str">
        <f aca="false">Data!A85</f>
        <v>1969-12</v>
      </c>
      <c r="B85" s="13" t="n">
        <f aca="false">Data!K85</f>
        <v>0.0137</v>
      </c>
      <c r="C85" s="13" t="n">
        <f aca="false">Data!B85</f>
        <v>-0.082</v>
      </c>
      <c r="D85" s="13" t="n">
        <f aca="false">(B85-C85)*Inputs!B2</f>
        <v>0.04785</v>
      </c>
      <c r="E85" s="13" t="n">
        <f aca="false">4*Inputs!B2*Inputs!B4*Inputs!B3/10000</f>
        <v>0.001</v>
      </c>
      <c r="F85" s="13" t="n">
        <f aca="false">Inputs!B2*Inputs!B5/Inputs!B6</f>
        <v>0.000833333333333333</v>
      </c>
      <c r="G85" s="13" t="n">
        <f aca="false">D85-E85-F85</f>
        <v>0.0460166666666667</v>
      </c>
      <c r="H85" s="4" t="n">
        <f aca="false">(1+G85)*H84</f>
        <v>1.74256737874757</v>
      </c>
      <c r="I85" s="4" t="n">
        <f aca="false">MAX(1,H$2:H85)</f>
        <v>1.74256737874757</v>
      </c>
      <c r="J85" s="13" t="n">
        <f aca="false">H85/I85-1</f>
        <v>0</v>
      </c>
      <c r="K85" s="13" t="n">
        <f aca="false">Data!L85</f>
        <v>0.0527</v>
      </c>
    </row>
    <row r="86" customFormat="false" ht="30" hidden="false" customHeight="true" outlineLevel="0" collapsed="false">
      <c r="A86" s="5" t="str">
        <f aca="false">Data!A86</f>
        <v>1970-01</v>
      </c>
      <c r="B86" s="12" t="n">
        <f aca="false">Data!K86</f>
        <v>-0.0705</v>
      </c>
      <c r="C86" s="12" t="n">
        <f aca="false">Data!B86</f>
        <v>-0.0649</v>
      </c>
      <c r="D86" s="12" t="n">
        <f aca="false">(B86-C86)*Inputs!B2</f>
        <v>-0.0028</v>
      </c>
      <c r="E86" s="12" t="n">
        <f aca="false">4*Inputs!B2*Inputs!B4*Inputs!B3/10000</f>
        <v>0.001</v>
      </c>
      <c r="F86" s="12" t="n">
        <f aca="false">Inputs!B2*Inputs!B5/Inputs!B6</f>
        <v>0.000833333333333333</v>
      </c>
      <c r="G86" s="12" t="n">
        <f aca="false">D86-E86-F86</f>
        <v>-0.00463333333333333</v>
      </c>
      <c r="H86" s="5" t="n">
        <f aca="false">(1+G86)*H85</f>
        <v>1.73449348322604</v>
      </c>
      <c r="I86" s="5" t="n">
        <f aca="false">MAX(1,H$2:H86)</f>
        <v>1.74256737874757</v>
      </c>
      <c r="J86" s="12" t="n">
        <f aca="false">H86/I86-1</f>
        <v>-0.00463333333333338</v>
      </c>
      <c r="K86" s="12" t="n">
        <f aca="false">Data!L86</f>
        <v>0.0056</v>
      </c>
    </row>
    <row r="87" customFormat="false" ht="30" hidden="false" customHeight="true" outlineLevel="0" collapsed="false">
      <c r="A87" s="4" t="str">
        <f aca="false">Data!A87</f>
        <v>1970-02</v>
      </c>
      <c r="B87" s="13" t="n">
        <f aca="false">Data!K87</f>
        <v>0.0318</v>
      </c>
      <c r="C87" s="13" t="n">
        <f aca="false">Data!B87</f>
        <v>0.0353</v>
      </c>
      <c r="D87" s="13" t="n">
        <f aca="false">(B87-C87)*Inputs!B2</f>
        <v>-0.00175</v>
      </c>
      <c r="E87" s="13" t="n">
        <f aca="false">4*Inputs!B2*Inputs!B4*Inputs!B3/10000</f>
        <v>0.001</v>
      </c>
      <c r="F87" s="13" t="n">
        <f aca="false">Inputs!B2*Inputs!B5/Inputs!B6</f>
        <v>0.000833333333333333</v>
      </c>
      <c r="G87" s="13" t="n">
        <f aca="false">D87-E87-F87</f>
        <v>-0.00358333333333333</v>
      </c>
      <c r="H87" s="4" t="n">
        <f aca="false">(1+G87)*H86</f>
        <v>1.72827821491114</v>
      </c>
      <c r="I87" s="4" t="n">
        <f aca="false">MAX(1,H$2:H87)</f>
        <v>1.74256737874757</v>
      </c>
      <c r="J87" s="13" t="n">
        <f aca="false">H87/I87-1</f>
        <v>-0.00820006388888894</v>
      </c>
      <c r="K87" s="13" t="n">
        <f aca="false">Data!L87</f>
        <v>0.0027</v>
      </c>
    </row>
    <row r="88" customFormat="false" ht="30" hidden="false" customHeight="true" outlineLevel="0" collapsed="false">
      <c r="A88" s="5" t="str">
        <f aca="false">Data!A88</f>
        <v>1970-03</v>
      </c>
      <c r="B88" s="12" t="n">
        <f aca="false">Data!K88</f>
        <v>-0.0296</v>
      </c>
      <c r="C88" s="12" t="n">
        <f aca="false">Data!B88</f>
        <v>-0.0387</v>
      </c>
      <c r="D88" s="12" t="n">
        <f aca="false">(B88-C88)*Inputs!B2</f>
        <v>0.00455</v>
      </c>
      <c r="E88" s="12" t="n">
        <f aca="false">4*Inputs!B2*Inputs!B4*Inputs!B3/10000</f>
        <v>0.001</v>
      </c>
      <c r="F88" s="12" t="n">
        <f aca="false">Inputs!B2*Inputs!B5/Inputs!B6</f>
        <v>0.000833333333333333</v>
      </c>
      <c r="G88" s="12" t="n">
        <f aca="false">D88-E88-F88</f>
        <v>0.00271666666666667</v>
      </c>
      <c r="H88" s="5" t="n">
        <f aca="false">(1+G88)*H87</f>
        <v>1.73297337072832</v>
      </c>
      <c r="I88" s="5" t="n">
        <f aca="false">MAX(1,H$2:H88)</f>
        <v>1.74256737874757</v>
      </c>
      <c r="J88" s="12" t="n">
        <f aca="false">H88/I88-1</f>
        <v>-0.00550567406245373</v>
      </c>
      <c r="K88" s="12" t="n">
        <f aca="false">Data!L88</f>
        <v>-0.0037</v>
      </c>
    </row>
    <row r="89" customFormat="false" ht="30" hidden="false" customHeight="true" outlineLevel="0" collapsed="false">
      <c r="A89" s="4" t="str">
        <f aca="false">Data!A89</f>
        <v>1970-04</v>
      </c>
      <c r="B89" s="13" t="n">
        <f aca="false">Data!K89</f>
        <v>-0.1146</v>
      </c>
      <c r="C89" s="13" t="n">
        <f aca="false">Data!B89</f>
        <v>-0.1738</v>
      </c>
      <c r="D89" s="13" t="n">
        <f aca="false">(B89-C89)*Inputs!B2</f>
        <v>0.0296</v>
      </c>
      <c r="E89" s="13" t="n">
        <f aca="false">4*Inputs!B2*Inputs!B4*Inputs!B3/10000</f>
        <v>0.001</v>
      </c>
      <c r="F89" s="13" t="n">
        <f aca="false">Inputs!B2*Inputs!B5/Inputs!B6</f>
        <v>0.000833333333333333</v>
      </c>
      <c r="G89" s="13" t="n">
        <f aca="false">D89-E89-F89</f>
        <v>0.0277666666666667</v>
      </c>
      <c r="H89" s="4" t="n">
        <f aca="false">(1+G89)*H88</f>
        <v>1.78109226465554</v>
      </c>
      <c r="I89" s="4" t="n">
        <f aca="false">MAX(1,H$2:H89)</f>
        <v>1.78109226465554</v>
      </c>
      <c r="J89" s="13" t="n">
        <f aca="false">H89/I89-1</f>
        <v>0</v>
      </c>
      <c r="K89" s="13" t="n">
        <f aca="false">Data!L89</f>
        <v>-0.0083</v>
      </c>
    </row>
    <row r="90" customFormat="false" ht="30" hidden="false" customHeight="true" outlineLevel="0" collapsed="false">
      <c r="A90" s="5" t="str">
        <f aca="false">Data!A90</f>
        <v>1970-05</v>
      </c>
      <c r="B90" s="12" t="n">
        <f aca="false">Data!K90</f>
        <v>-0.062</v>
      </c>
      <c r="C90" s="12" t="n">
        <f aca="false">Data!B90</f>
        <v>-0.0964</v>
      </c>
      <c r="D90" s="12" t="n">
        <f aca="false">(B90-C90)*Inputs!B2</f>
        <v>0.0172</v>
      </c>
      <c r="E90" s="12" t="n">
        <f aca="false">4*Inputs!B2*Inputs!B4*Inputs!B3/10000</f>
        <v>0.001</v>
      </c>
      <c r="F90" s="12" t="n">
        <f aca="false">Inputs!B2*Inputs!B5/Inputs!B6</f>
        <v>0.000833333333333333</v>
      </c>
      <c r="G90" s="12" t="n">
        <f aca="false">D90-E90-F90</f>
        <v>0.0153666666666667</v>
      </c>
      <c r="H90" s="5" t="n">
        <f aca="false">(1+G90)*H89</f>
        <v>1.80846171578908</v>
      </c>
      <c r="I90" s="5" t="n">
        <f aca="false">MAX(1,H$2:H90)</f>
        <v>1.80846171578908</v>
      </c>
      <c r="J90" s="12" t="n">
        <f aca="false">H90/I90-1</f>
        <v>0</v>
      </c>
      <c r="K90" s="12" t="n">
        <f aca="false">Data!L90</f>
        <v>-0.0266</v>
      </c>
    </row>
    <row r="91" customFormat="false" ht="30" hidden="false" customHeight="true" outlineLevel="0" collapsed="false">
      <c r="A91" s="4" t="str">
        <f aca="false">Data!A91</f>
        <v>1970-06</v>
      </c>
      <c r="B91" s="13" t="n">
        <f aca="false">Data!K91</f>
        <v>-0.0093</v>
      </c>
      <c r="C91" s="13" t="n">
        <f aca="false">Data!B91</f>
        <v>-0.1146</v>
      </c>
      <c r="D91" s="13" t="n">
        <f aca="false">(B91-C91)*Inputs!B2</f>
        <v>0.05265</v>
      </c>
      <c r="E91" s="13" t="n">
        <f aca="false">4*Inputs!B2*Inputs!B4*Inputs!B3/10000</f>
        <v>0.001</v>
      </c>
      <c r="F91" s="13" t="n">
        <f aca="false">Inputs!B2*Inputs!B5/Inputs!B6</f>
        <v>0.000833333333333333</v>
      </c>
      <c r="G91" s="13" t="n">
        <f aca="false">D91-E91-F91</f>
        <v>0.0508166666666667</v>
      </c>
      <c r="H91" s="4" t="n">
        <f aca="false">(1+G91)*H90</f>
        <v>1.90036171197976</v>
      </c>
      <c r="I91" s="4" t="n">
        <f aca="false">MAX(1,H$2:H91)</f>
        <v>1.90036171197976</v>
      </c>
      <c r="J91" s="13" t="n">
        <f aca="false">H91/I91-1</f>
        <v>0</v>
      </c>
      <c r="K91" s="13" t="n">
        <f aca="false">Data!L91</f>
        <v>0.0563</v>
      </c>
    </row>
    <row r="92" customFormat="false" ht="30" hidden="false" customHeight="true" outlineLevel="0" collapsed="false">
      <c r="A92" s="5" t="str">
        <f aca="false">Data!A92</f>
        <v>1970-07</v>
      </c>
      <c r="B92" s="12" t="n">
        <f aca="false">Data!K92</f>
        <v>0.0443</v>
      </c>
      <c r="C92" s="12" t="n">
        <f aca="false">Data!B92</f>
        <v>0.047</v>
      </c>
      <c r="D92" s="12" t="n">
        <f aca="false">(B92-C92)*Inputs!B2</f>
        <v>-0.00135</v>
      </c>
      <c r="E92" s="12" t="n">
        <f aca="false">4*Inputs!B2*Inputs!B4*Inputs!B3/10000</f>
        <v>0.001</v>
      </c>
      <c r="F92" s="12" t="n">
        <f aca="false">Inputs!B2*Inputs!B5/Inputs!B6</f>
        <v>0.000833333333333333</v>
      </c>
      <c r="G92" s="12" t="n">
        <f aca="false">D92-E92-F92</f>
        <v>-0.00318333333333333</v>
      </c>
      <c r="H92" s="5" t="n">
        <f aca="false">(1+G92)*H91</f>
        <v>1.89431222719663</v>
      </c>
      <c r="I92" s="5" t="n">
        <f aca="false">MAX(1,H$2:H92)</f>
        <v>1.90036171197976</v>
      </c>
      <c r="J92" s="12" t="n">
        <f aca="false">H92/I92-1</f>
        <v>-0.00318333333333332</v>
      </c>
      <c r="K92" s="12" t="n">
        <f aca="false">Data!L92</f>
        <v>-0.0311</v>
      </c>
    </row>
    <row r="93" customFormat="false" ht="30" hidden="false" customHeight="true" outlineLevel="0" collapsed="false">
      <c r="A93" s="4" t="str">
        <f aca="false">Data!A93</f>
        <v>1970-08</v>
      </c>
      <c r="B93" s="13" t="n">
        <f aca="false">Data!K93</f>
        <v>0.0201</v>
      </c>
      <c r="C93" s="13" t="n">
        <f aca="false">Data!B93</f>
        <v>0.1296</v>
      </c>
      <c r="D93" s="13" t="n">
        <f aca="false">(B93-C93)*Inputs!B2</f>
        <v>-0.05475</v>
      </c>
      <c r="E93" s="13" t="n">
        <f aca="false">4*Inputs!B2*Inputs!B4*Inputs!B3/10000</f>
        <v>0.001</v>
      </c>
      <c r="F93" s="13" t="n">
        <f aca="false">Inputs!B2*Inputs!B5/Inputs!B6</f>
        <v>0.000833333333333333</v>
      </c>
      <c r="G93" s="13" t="n">
        <f aca="false">D93-E93-F93</f>
        <v>-0.0565833333333333</v>
      </c>
      <c r="H93" s="4" t="n">
        <f aca="false">(1+G93)*H92</f>
        <v>1.78712572700775</v>
      </c>
      <c r="I93" s="4" t="n">
        <f aca="false">MAX(1,H$2:H93)</f>
        <v>1.90036171197976</v>
      </c>
      <c r="J93" s="13" t="n">
        <f aca="false">H93/I93-1</f>
        <v>-0.0595865430555556</v>
      </c>
      <c r="K93" s="13" t="n">
        <f aca="false">Data!L93</f>
        <v>-0.0673</v>
      </c>
    </row>
    <row r="94" customFormat="false" ht="30" hidden="false" customHeight="true" outlineLevel="0" collapsed="false">
      <c r="A94" s="5" t="str">
        <f aca="false">Data!A94</f>
        <v>1970-09</v>
      </c>
      <c r="B94" s="12" t="n">
        <f aca="false">Data!K94</f>
        <v>0.0414</v>
      </c>
      <c r="C94" s="12" t="n">
        <f aca="false">Data!B94</f>
        <v>0.2269</v>
      </c>
      <c r="D94" s="12" t="n">
        <f aca="false">(B94-C94)*Inputs!B2</f>
        <v>-0.09275</v>
      </c>
      <c r="E94" s="12" t="n">
        <f aca="false">4*Inputs!B2*Inputs!B4*Inputs!B3/10000</f>
        <v>0.001</v>
      </c>
      <c r="F94" s="12" t="n">
        <f aca="false">Inputs!B2*Inputs!B5/Inputs!B6</f>
        <v>0.000833333333333333</v>
      </c>
      <c r="G94" s="12" t="n">
        <f aca="false">D94-E94-F94</f>
        <v>-0.0945833333333333</v>
      </c>
      <c r="H94" s="5" t="n">
        <f aca="false">(1+G94)*H93</f>
        <v>1.6180934186616</v>
      </c>
      <c r="I94" s="5" t="n">
        <f aca="false">MAX(1,H$2:H94)</f>
        <v>1.90036171197976</v>
      </c>
      <c r="J94" s="12" t="n">
        <f aca="false">H94/I94-1</f>
        <v>-0.148533982524884</v>
      </c>
      <c r="K94" s="12" t="n">
        <f aca="false">Data!L94</f>
        <v>-0.0864</v>
      </c>
    </row>
    <row r="95" customFormat="false" ht="30" hidden="false" customHeight="true" outlineLevel="0" collapsed="false">
      <c r="A95" s="4" t="str">
        <f aca="false">Data!A95</f>
        <v>1970-10</v>
      </c>
      <c r="B95" s="13" t="n">
        <f aca="false">Data!K95</f>
        <v>-0.0128</v>
      </c>
      <c r="C95" s="13" t="n">
        <f aca="false">Data!B95</f>
        <v>-0.1451</v>
      </c>
      <c r="D95" s="13" t="n">
        <f aca="false">(B95-C95)*Inputs!B2</f>
        <v>0.06615</v>
      </c>
      <c r="E95" s="13" t="n">
        <f aca="false">4*Inputs!B2*Inputs!B4*Inputs!B3/10000</f>
        <v>0.001</v>
      </c>
      <c r="F95" s="13" t="n">
        <f aca="false">Inputs!B2*Inputs!B5/Inputs!B6</f>
        <v>0.000833333333333333</v>
      </c>
      <c r="G95" s="13" t="n">
        <f aca="false">D95-E95-F95</f>
        <v>0.0643166666666667</v>
      </c>
      <c r="H95" s="4" t="n">
        <f aca="false">(1+G95)*H94</f>
        <v>1.72216379370519</v>
      </c>
      <c r="I95" s="4" t="n">
        <f aca="false">MAX(1,H$2:H95)</f>
        <v>1.90036171197976</v>
      </c>
      <c r="J95" s="13" t="n">
        <f aca="false">H95/I95-1</f>
        <v>-0.0937705265009432</v>
      </c>
      <c r="K95" s="13" t="n">
        <f aca="false">Data!L95</f>
        <v>0.0946</v>
      </c>
    </row>
    <row r="96" customFormat="false" ht="30" hidden="false" customHeight="true" outlineLevel="0" collapsed="false">
      <c r="A96" s="5" t="str">
        <f aca="false">Data!A96</f>
        <v>1970-11</v>
      </c>
      <c r="B96" s="12" t="n">
        <f aca="false">Data!K96</f>
        <v>0.0566</v>
      </c>
      <c r="C96" s="12" t="n">
        <f aca="false">Data!B96</f>
        <v>-0.0121</v>
      </c>
      <c r="D96" s="12" t="n">
        <f aca="false">(B96-C96)*Inputs!B2</f>
        <v>0.03435</v>
      </c>
      <c r="E96" s="12" t="n">
        <f aca="false">4*Inputs!B2*Inputs!B4*Inputs!B3/10000</f>
        <v>0.001</v>
      </c>
      <c r="F96" s="12" t="n">
        <f aca="false">Inputs!B2*Inputs!B5/Inputs!B6</f>
        <v>0.000833333333333333</v>
      </c>
      <c r="G96" s="12" t="n">
        <f aca="false">D96-E96-F96</f>
        <v>0.0325166666666667</v>
      </c>
      <c r="H96" s="5" t="n">
        <f aca="false">(1+G96)*H95</f>
        <v>1.7781628197305</v>
      </c>
      <c r="I96" s="5" t="n">
        <f aca="false">MAX(1,H$2:H96)</f>
        <v>1.90036171197976</v>
      </c>
      <c r="J96" s="12" t="n">
        <f aca="false">H96/I96-1</f>
        <v>-0.0643029647876655</v>
      </c>
      <c r="K96" s="12" t="n">
        <f aca="false">Data!L96</f>
        <v>0.026</v>
      </c>
    </row>
    <row r="97" customFormat="false" ht="30" hidden="false" customHeight="true" outlineLevel="0" collapsed="false">
      <c r="A97" s="4" t="str">
        <f aca="false">Data!A97</f>
        <v>1970-12</v>
      </c>
      <c r="B97" s="13" t="n">
        <f aca="false">Data!K97</f>
        <v>0.0345</v>
      </c>
      <c r="C97" s="13" t="n">
        <f aca="false">Data!B97</f>
        <v>0.0589</v>
      </c>
      <c r="D97" s="13" t="n">
        <f aca="false">(B97-C97)*Inputs!B2</f>
        <v>-0.0122</v>
      </c>
      <c r="E97" s="13" t="n">
        <f aca="false">4*Inputs!B2*Inputs!B4*Inputs!B3/10000</f>
        <v>0.001</v>
      </c>
      <c r="F97" s="13" t="n">
        <f aca="false">Inputs!B2*Inputs!B5/Inputs!B6</f>
        <v>0.000833333333333333</v>
      </c>
      <c r="G97" s="13" t="n">
        <f aca="false">D97-E97-F97</f>
        <v>-0.0140333333333333</v>
      </c>
      <c r="H97" s="4" t="n">
        <f aca="false">(1+G97)*H96</f>
        <v>1.75320926816028</v>
      </c>
      <c r="I97" s="4" t="n">
        <f aca="false">MAX(1,H$2:H97)</f>
        <v>1.90036171197976</v>
      </c>
      <c r="J97" s="13" t="n">
        <f aca="false">H97/I97-1</f>
        <v>-0.0774339131818119</v>
      </c>
      <c r="K97" s="13" t="n">
        <f aca="false">Data!L97</f>
        <v>-0.0229</v>
      </c>
    </row>
    <row r="98" customFormat="false" ht="30" hidden="false" customHeight="true" outlineLevel="0" collapsed="false">
      <c r="A98" s="5" t="str">
        <f aca="false">Data!A98</f>
        <v>1971-01</v>
      </c>
      <c r="B98" s="12" t="n">
        <f aca="false">Data!K98</f>
        <v>0.0207</v>
      </c>
      <c r="C98" s="12" t="n">
        <f aca="false">Data!B98</f>
        <v>0.1369</v>
      </c>
      <c r="D98" s="12" t="n">
        <f aca="false">(B98-C98)*Inputs!B2</f>
        <v>-0.0581</v>
      </c>
      <c r="E98" s="12" t="n">
        <f aca="false">4*Inputs!B2*Inputs!B4*Inputs!B3/10000</f>
        <v>0.001</v>
      </c>
      <c r="F98" s="12" t="n">
        <f aca="false">Inputs!B2*Inputs!B5/Inputs!B6</f>
        <v>0.000833333333333333</v>
      </c>
      <c r="G98" s="12" t="n">
        <f aca="false">D98-E98-F98</f>
        <v>-0.0599333333333333</v>
      </c>
      <c r="H98" s="5" t="n">
        <f aca="false">(1+G98)*H97</f>
        <v>1.64813359268854</v>
      </c>
      <c r="I98" s="5" t="n">
        <f aca="false">MAX(1,H$2:H98)</f>
        <v>1.90036171197976</v>
      </c>
      <c r="J98" s="12" t="n">
        <f aca="false">H98/I98-1</f>
        <v>-0.132726373985115</v>
      </c>
      <c r="K98" s="12" t="n">
        <f aca="false">Data!L98</f>
        <v>-0.0685</v>
      </c>
    </row>
    <row r="99" customFormat="false" ht="30" hidden="false" customHeight="true" outlineLevel="0" collapsed="false">
      <c r="A99" s="4" t="str">
        <f aca="false">Data!A99</f>
        <v>1971-02</v>
      </c>
      <c r="B99" s="13" t="n">
        <f aca="false">Data!K99</f>
        <v>0.04</v>
      </c>
      <c r="C99" s="13" t="n">
        <f aca="false">Data!B99</f>
        <v>0.0452</v>
      </c>
      <c r="D99" s="13" t="n">
        <f aca="false">(B99-C99)*Inputs!B2</f>
        <v>-0.0026</v>
      </c>
      <c r="E99" s="13" t="n">
        <f aca="false">4*Inputs!B2*Inputs!B4*Inputs!B3/10000</f>
        <v>0.001</v>
      </c>
      <c r="F99" s="13" t="n">
        <f aca="false">Inputs!B2*Inputs!B5/Inputs!B6</f>
        <v>0.000833333333333333</v>
      </c>
      <c r="G99" s="13" t="n">
        <f aca="false">D99-E99-F99</f>
        <v>-0.00443333333333333</v>
      </c>
      <c r="H99" s="4" t="n">
        <f aca="false">(1+G99)*H98</f>
        <v>1.64082686709429</v>
      </c>
      <c r="I99" s="4" t="n">
        <f aca="false">MAX(1,H$2:H99)</f>
        <v>1.90036171197976</v>
      </c>
      <c r="J99" s="13" t="n">
        <f aca="false">H99/I99-1</f>
        <v>-0.136571287060448</v>
      </c>
      <c r="K99" s="13" t="n">
        <f aca="false">Data!L99</f>
        <v>0.0083</v>
      </c>
    </row>
    <row r="100" customFormat="false" ht="30" hidden="false" customHeight="true" outlineLevel="0" collapsed="false">
      <c r="A100" s="5" t="str">
        <f aca="false">Data!A100</f>
        <v>1971-03</v>
      </c>
      <c r="B100" s="12" t="n">
        <f aca="false">Data!K100</f>
        <v>0.0521</v>
      </c>
      <c r="C100" s="12" t="n">
        <f aca="false">Data!B100</f>
        <v>0.0797</v>
      </c>
      <c r="D100" s="12" t="n">
        <f aca="false">(B100-C100)*Inputs!B2</f>
        <v>-0.0138</v>
      </c>
      <c r="E100" s="12" t="n">
        <f aca="false">4*Inputs!B2*Inputs!B4*Inputs!B3/10000</f>
        <v>0.001</v>
      </c>
      <c r="F100" s="12" t="n">
        <f aca="false">Inputs!B2*Inputs!B5/Inputs!B6</f>
        <v>0.000833333333333333</v>
      </c>
      <c r="G100" s="12" t="n">
        <f aca="false">D100-E100-F100</f>
        <v>-0.0156333333333333</v>
      </c>
      <c r="H100" s="5" t="n">
        <f aca="false">(1+G100)*H99</f>
        <v>1.61517527373872</v>
      </c>
      <c r="I100" s="5" t="n">
        <f aca="false">MAX(1,H$2:H100)</f>
        <v>1.90036171197976</v>
      </c>
      <c r="J100" s="12" t="n">
        <f aca="false">H100/I100-1</f>
        <v>-0.150069555939403</v>
      </c>
      <c r="K100" s="12" t="n">
        <f aca="false">Data!L100</f>
        <v>-0.0136</v>
      </c>
    </row>
    <row r="101" customFormat="false" ht="30" hidden="false" customHeight="true" outlineLevel="0" collapsed="false">
      <c r="A101" s="4" t="str">
        <f aca="false">Data!A101</f>
        <v>1971-04</v>
      </c>
      <c r="B101" s="13" t="n">
        <f aca="false">Data!K101</f>
        <v>0.0491</v>
      </c>
      <c r="C101" s="13" t="n">
        <f aca="false">Data!B101</f>
        <v>0.0364</v>
      </c>
      <c r="D101" s="13" t="n">
        <f aca="false">(B101-C101)*Inputs!B2</f>
        <v>0.00635</v>
      </c>
      <c r="E101" s="13" t="n">
        <f aca="false">4*Inputs!B2*Inputs!B4*Inputs!B3/10000</f>
        <v>0.001</v>
      </c>
      <c r="F101" s="13" t="n">
        <f aca="false">Inputs!B2*Inputs!B5/Inputs!B6</f>
        <v>0.000833333333333333</v>
      </c>
      <c r="G101" s="13" t="n">
        <f aca="false">D101-E101-F101</f>
        <v>0.00451666666666666</v>
      </c>
      <c r="H101" s="4" t="n">
        <f aca="false">(1+G101)*H100</f>
        <v>1.62247048205844</v>
      </c>
      <c r="I101" s="4" t="n">
        <f aca="false">MAX(1,H$2:H101)</f>
        <v>1.90036171197976</v>
      </c>
      <c r="J101" s="13" t="n">
        <f aca="false">H101/I101-1</f>
        <v>-0.146230703433729</v>
      </c>
      <c r="K101" s="13" t="n">
        <f aca="false">Data!L101</f>
        <v>0.0134</v>
      </c>
    </row>
    <row r="102" customFormat="false" ht="30" hidden="false" customHeight="true" outlineLevel="0" collapsed="false">
      <c r="A102" s="5" t="str">
        <f aca="false">Data!A102</f>
        <v>1971-05</v>
      </c>
      <c r="B102" s="12" t="n">
        <f aca="false">Data!K102</f>
        <v>-0.0298</v>
      </c>
      <c r="C102" s="12" t="n">
        <f aca="false">Data!B102</f>
        <v>-0.059</v>
      </c>
      <c r="D102" s="12" t="n">
        <f aca="false">(B102-C102)*Inputs!B2</f>
        <v>0.0146</v>
      </c>
      <c r="E102" s="12" t="n">
        <f aca="false">4*Inputs!B2*Inputs!B4*Inputs!B3/10000</f>
        <v>0.001</v>
      </c>
      <c r="F102" s="12" t="n">
        <f aca="false">Inputs!B2*Inputs!B5/Inputs!B6</f>
        <v>0.000833333333333333</v>
      </c>
      <c r="G102" s="12" t="n">
        <f aca="false">D102-E102-F102</f>
        <v>0.0127666666666667</v>
      </c>
      <c r="H102" s="5" t="n">
        <f aca="false">(1+G102)*H101</f>
        <v>1.64318402187938</v>
      </c>
      <c r="I102" s="5" t="n">
        <f aca="false">MAX(1,H$2:H102)</f>
        <v>1.90036171197976</v>
      </c>
      <c r="J102" s="12" t="n">
        <f aca="false">H102/I102-1</f>
        <v>-0.135330915414233</v>
      </c>
      <c r="K102" s="12" t="n">
        <f aca="false">Data!L102</f>
        <v>0.0093</v>
      </c>
    </row>
    <row r="103" customFormat="false" ht="30" hidden="false" customHeight="true" outlineLevel="0" collapsed="false">
      <c r="A103" s="4" t="str">
        <f aca="false">Data!A103</f>
        <v>1971-06</v>
      </c>
      <c r="B103" s="13" t="n">
        <f aca="false">Data!K103</f>
        <v>0.0271</v>
      </c>
      <c r="C103" s="13" t="n">
        <f aca="false">Data!B103</f>
        <v>-0.0312</v>
      </c>
      <c r="D103" s="13" t="n">
        <f aca="false">(B103-C103)*Inputs!B2</f>
        <v>0.02915</v>
      </c>
      <c r="E103" s="13" t="n">
        <f aca="false">4*Inputs!B2*Inputs!B4*Inputs!B3/10000</f>
        <v>0.001</v>
      </c>
      <c r="F103" s="13" t="n">
        <f aca="false">Inputs!B2*Inputs!B5/Inputs!B6</f>
        <v>0.000833333333333333</v>
      </c>
      <c r="G103" s="13" t="n">
        <f aca="false">D103-E103-F103</f>
        <v>0.0273166666666667</v>
      </c>
      <c r="H103" s="4" t="n">
        <f aca="false">(1+G103)*H102</f>
        <v>1.68807033207706</v>
      </c>
      <c r="I103" s="4" t="n">
        <f aca="false">MAX(1,H$2:H103)</f>
        <v>1.90036171197976</v>
      </c>
      <c r="J103" s="13" t="n">
        <f aca="false">H103/I103-1</f>
        <v>-0.111711038253632</v>
      </c>
      <c r="K103" s="13" t="n">
        <f aca="false">Data!L103</f>
        <v>0.0269</v>
      </c>
    </row>
    <row r="104" customFormat="false" ht="30" hidden="false" customHeight="true" outlineLevel="0" collapsed="false">
      <c r="A104" s="5" t="str">
        <f aca="false">Data!A104</f>
        <v>1971-07</v>
      </c>
      <c r="B104" s="12" t="n">
        <f aca="false">Data!K104</f>
        <v>-0.0621</v>
      </c>
      <c r="C104" s="12" t="n">
        <f aca="false">Data!B104</f>
        <v>-0.0497</v>
      </c>
      <c r="D104" s="12" t="n">
        <f aca="false">(B104-C104)*Inputs!B2</f>
        <v>-0.00620000000000001</v>
      </c>
      <c r="E104" s="12" t="n">
        <f aca="false">4*Inputs!B2*Inputs!B4*Inputs!B3/10000</f>
        <v>0.001</v>
      </c>
      <c r="F104" s="12" t="n">
        <f aca="false">Inputs!B2*Inputs!B5/Inputs!B6</f>
        <v>0.000833333333333333</v>
      </c>
      <c r="G104" s="12" t="n">
        <f aca="false">D104-E104-F104</f>
        <v>-0.00803333333333334</v>
      </c>
      <c r="H104" s="5" t="n">
        <f aca="false">(1+G104)*H103</f>
        <v>1.67450950040937</v>
      </c>
      <c r="I104" s="5" t="n">
        <f aca="false">MAX(1,H$2:H104)</f>
        <v>1.90036171197976</v>
      </c>
      <c r="J104" s="12" t="n">
        <f aca="false">H104/I104-1</f>
        <v>-0.118846959579661</v>
      </c>
      <c r="K104" s="12" t="n">
        <f aca="false">Data!L104</f>
        <v>-0.0232</v>
      </c>
    </row>
    <row r="105" customFormat="false" ht="30" hidden="false" customHeight="true" outlineLevel="0" collapsed="false">
      <c r="A105" s="4" t="str">
        <f aca="false">Data!A105</f>
        <v>1971-08</v>
      </c>
      <c r="B105" s="13" t="n">
        <f aca="false">Data!K105</f>
        <v>0.086</v>
      </c>
      <c r="C105" s="13" t="n">
        <f aca="false">Data!B105</f>
        <v>0.0237</v>
      </c>
      <c r="D105" s="13" t="n">
        <f aca="false">(B105-C105)*Inputs!B2</f>
        <v>0.03115</v>
      </c>
      <c r="E105" s="13" t="n">
        <f aca="false">4*Inputs!B2*Inputs!B4*Inputs!B3/10000</f>
        <v>0.001</v>
      </c>
      <c r="F105" s="13" t="n">
        <f aca="false">Inputs!B2*Inputs!B5/Inputs!B6</f>
        <v>0.000833333333333333</v>
      </c>
      <c r="G105" s="13" t="n">
        <f aca="false">D105-E105-F105</f>
        <v>0.0293166666666667</v>
      </c>
      <c r="H105" s="4" t="n">
        <f aca="false">(1+G105)*H104</f>
        <v>1.72360053726304</v>
      </c>
      <c r="I105" s="4" t="n">
        <f aca="false">MAX(1,H$2:H105)</f>
        <v>1.90036171197976</v>
      </c>
      <c r="J105" s="13" t="n">
        <f aca="false">H105/I105-1</f>
        <v>-0.0930144896113383</v>
      </c>
      <c r="K105" s="13" t="n">
        <f aca="false">Data!L105</f>
        <v>0.0345</v>
      </c>
    </row>
    <row r="106" customFormat="false" ht="30" hidden="false" customHeight="true" outlineLevel="0" collapsed="false">
      <c r="A106" s="5" t="str">
        <f aca="false">Data!A106</f>
        <v>1971-09</v>
      </c>
      <c r="B106" s="12" t="n">
        <f aca="false">Data!K106</f>
        <v>0.0062</v>
      </c>
      <c r="C106" s="12" t="n">
        <f aca="false">Data!B106</f>
        <v>-0.0367</v>
      </c>
      <c r="D106" s="12" t="n">
        <f aca="false">(B106-C106)*Inputs!B2</f>
        <v>0.02145</v>
      </c>
      <c r="E106" s="12" t="n">
        <f aca="false">4*Inputs!B2*Inputs!B4*Inputs!B3/10000</f>
        <v>0.001</v>
      </c>
      <c r="F106" s="12" t="n">
        <f aca="false">Inputs!B2*Inputs!B5/Inputs!B6</f>
        <v>0.000833333333333333</v>
      </c>
      <c r="G106" s="12" t="n">
        <f aca="false">D106-E106-F106</f>
        <v>0.0196166666666667</v>
      </c>
      <c r="H106" s="5" t="n">
        <f aca="false">(1+G106)*H105</f>
        <v>1.75741183446901</v>
      </c>
      <c r="I106" s="5" t="n">
        <f aca="false">MAX(1,H$2:H106)</f>
        <v>1.90036171197976</v>
      </c>
      <c r="J106" s="12" t="n">
        <f aca="false">H106/I106-1</f>
        <v>-0.0752224571825474</v>
      </c>
      <c r="K106" s="12" t="n">
        <f aca="false">Data!L106</f>
        <v>0.021</v>
      </c>
    </row>
    <row r="107" customFormat="false" ht="30" hidden="false" customHeight="true" outlineLevel="0" collapsed="false">
      <c r="A107" s="4" t="str">
        <f aca="false">Data!A107</f>
        <v>1971-10</v>
      </c>
      <c r="B107" s="13" t="n">
        <f aca="false">Data!K107</f>
        <v>-0.0411</v>
      </c>
      <c r="C107" s="13" t="n">
        <f aca="false">Data!B107</f>
        <v>-0.0915</v>
      </c>
      <c r="D107" s="13" t="n">
        <f aca="false">(B107-C107)*Inputs!B2</f>
        <v>0.0252</v>
      </c>
      <c r="E107" s="13" t="n">
        <f aca="false">4*Inputs!B2*Inputs!B4*Inputs!B3/10000</f>
        <v>0.001</v>
      </c>
      <c r="F107" s="13" t="n">
        <f aca="false">Inputs!B2*Inputs!B5/Inputs!B6</f>
        <v>0.000833333333333333</v>
      </c>
      <c r="G107" s="13" t="n">
        <f aca="false">D107-E107-F107</f>
        <v>0.0233666666666667</v>
      </c>
      <c r="H107" s="4" t="n">
        <f aca="false">(1+G107)*H106</f>
        <v>1.79847669100111</v>
      </c>
      <c r="I107" s="4" t="n">
        <f aca="false">MAX(1,H$2:H107)</f>
        <v>1.90036171197976</v>
      </c>
      <c r="J107" s="13" t="n">
        <f aca="false">H107/I107-1</f>
        <v>-0.0536134885987128</v>
      </c>
      <c r="K107" s="13" t="n">
        <f aca="false">Data!L107</f>
        <v>0.005</v>
      </c>
    </row>
    <row r="108" customFormat="false" ht="30" hidden="false" customHeight="true" outlineLevel="0" collapsed="false">
      <c r="A108" s="5" t="str">
        <f aca="false">Data!A108</f>
        <v>1971-11</v>
      </c>
      <c r="B108" s="12" t="n">
        <f aca="false">Data!K108</f>
        <v>0.0097</v>
      </c>
      <c r="C108" s="12" t="n">
        <f aca="false">Data!B108</f>
        <v>-0.0343</v>
      </c>
      <c r="D108" s="12" t="n">
        <f aca="false">(B108-C108)*Inputs!B2</f>
        <v>0.022</v>
      </c>
      <c r="E108" s="12" t="n">
        <f aca="false">4*Inputs!B2*Inputs!B4*Inputs!B3/10000</f>
        <v>0.001</v>
      </c>
      <c r="F108" s="12" t="n">
        <f aca="false">Inputs!B2*Inputs!B5/Inputs!B6</f>
        <v>0.000833333333333333</v>
      </c>
      <c r="G108" s="12" t="n">
        <f aca="false">D108-E108-F108</f>
        <v>0.0201666666666667</v>
      </c>
      <c r="H108" s="5" t="n">
        <f aca="false">(1+G108)*H107</f>
        <v>1.8347459709363</v>
      </c>
      <c r="I108" s="5" t="n">
        <f aca="false">MAX(1,H$2:H108)</f>
        <v>1.90036171197976</v>
      </c>
      <c r="J108" s="12" t="n">
        <f aca="false">H108/I108-1</f>
        <v>-0.0345280272854536</v>
      </c>
      <c r="K108" s="12" t="n">
        <f aca="false">Data!L108</f>
        <v>0.0151</v>
      </c>
    </row>
    <row r="109" customFormat="false" ht="30" hidden="false" customHeight="true" outlineLevel="0" collapsed="false">
      <c r="A109" s="4" t="str">
        <f aca="false">Data!A109</f>
        <v>1971-12</v>
      </c>
      <c r="B109" s="13" t="n">
        <f aca="false">Data!K109</f>
        <v>0.108</v>
      </c>
      <c r="C109" s="13" t="n">
        <f aca="false">Data!B109</f>
        <v>0.118</v>
      </c>
      <c r="D109" s="13" t="n">
        <f aca="false">(B109-C109)*Inputs!B2</f>
        <v>-0.005</v>
      </c>
      <c r="E109" s="13" t="n">
        <f aca="false">4*Inputs!B2*Inputs!B4*Inputs!B3/10000</f>
        <v>0.001</v>
      </c>
      <c r="F109" s="13" t="n">
        <f aca="false">Inputs!B2*Inputs!B5/Inputs!B6</f>
        <v>0.000833333333333333</v>
      </c>
      <c r="G109" s="13" t="n">
        <f aca="false">D109-E109-F109</f>
        <v>-0.00683333333333333</v>
      </c>
      <c r="H109" s="4" t="n">
        <f aca="false">(1+G109)*H108</f>
        <v>1.8222085401349</v>
      </c>
      <c r="I109" s="4" t="n">
        <f aca="false">MAX(1,H$2:H109)</f>
        <v>1.90036171197976</v>
      </c>
      <c r="J109" s="13" t="n">
        <f aca="false">H109/I109-1</f>
        <v>-0.041125419099003</v>
      </c>
      <c r="K109" s="13" t="n">
        <f aca="false">Data!L109</f>
        <v>-0.0061</v>
      </c>
    </row>
    <row r="110" customFormat="false" ht="30" hidden="false" customHeight="true" outlineLevel="0" collapsed="false">
      <c r="A110" s="5" t="str">
        <f aca="false">Data!A110</f>
        <v>1972-01</v>
      </c>
      <c r="B110" s="12" t="n">
        <f aca="false">Data!K110</f>
        <v>0.0611</v>
      </c>
      <c r="C110" s="12" t="n">
        <f aca="false">Data!B110</f>
        <v>0.0624</v>
      </c>
      <c r="D110" s="12" t="n">
        <f aca="false">(B110-C110)*Inputs!B2</f>
        <v>-0.000649999999999998</v>
      </c>
      <c r="E110" s="12" t="n">
        <f aca="false">4*Inputs!B2*Inputs!B4*Inputs!B3/10000</f>
        <v>0.001</v>
      </c>
      <c r="F110" s="12" t="n">
        <f aca="false">Inputs!B2*Inputs!B5/Inputs!B6</f>
        <v>0.000833333333333333</v>
      </c>
      <c r="G110" s="12" t="n">
        <f aca="false">D110-E110-F110</f>
        <v>-0.00248333333333333</v>
      </c>
      <c r="H110" s="5" t="n">
        <f aca="false">(1+G110)*H109</f>
        <v>1.8176833889269</v>
      </c>
      <c r="I110" s="5" t="n">
        <f aca="false">MAX(1,H$2:H110)</f>
        <v>1.90036171197976</v>
      </c>
      <c r="J110" s="12" t="n">
        <f aca="false">H110/I110-1</f>
        <v>-0.0435066243082405</v>
      </c>
      <c r="K110" s="12" t="n">
        <f aca="false">Data!L110</f>
        <v>0.0007</v>
      </c>
    </row>
    <row r="111" customFormat="false" ht="30" hidden="false" customHeight="true" outlineLevel="0" collapsed="false">
      <c r="A111" s="4" t="str">
        <f aca="false">Data!A111</f>
        <v>1972-02</v>
      </c>
      <c r="B111" s="13" t="n">
        <f aca="false">Data!K111</f>
        <v>0.0568</v>
      </c>
      <c r="C111" s="13" t="n">
        <f aca="false">Data!B111</f>
        <v>0.0486</v>
      </c>
      <c r="D111" s="13" t="n">
        <f aca="false">(B111-C111)*Inputs!B2</f>
        <v>0.0041</v>
      </c>
      <c r="E111" s="13" t="n">
        <f aca="false">4*Inputs!B2*Inputs!B4*Inputs!B3/10000</f>
        <v>0.001</v>
      </c>
      <c r="F111" s="13" t="n">
        <f aca="false">Inputs!B2*Inputs!B5/Inputs!B6</f>
        <v>0.000833333333333333</v>
      </c>
      <c r="G111" s="13" t="n">
        <f aca="false">D111-E111-F111</f>
        <v>0.00226666666666667</v>
      </c>
      <c r="H111" s="4" t="n">
        <f aca="false">(1+G111)*H110</f>
        <v>1.82180347127513</v>
      </c>
      <c r="I111" s="4" t="n">
        <f aca="false">MAX(1,H$2:H111)</f>
        <v>1.90036171197976</v>
      </c>
      <c r="J111" s="13" t="n">
        <f aca="false">H111/I111-1</f>
        <v>-0.0413385726566724</v>
      </c>
      <c r="K111" s="13" t="n">
        <f aca="false">Data!L111</f>
        <v>0.0253</v>
      </c>
    </row>
    <row r="112" customFormat="false" ht="30" hidden="false" customHeight="true" outlineLevel="0" collapsed="false">
      <c r="A112" s="5" t="str">
        <f aca="false">Data!A112</f>
        <v>1972-03</v>
      </c>
      <c r="B112" s="12" t="n">
        <f aca="false">Data!K112</f>
        <v>0.0131</v>
      </c>
      <c r="C112" s="12" t="n">
        <f aca="false">Data!B112</f>
        <v>-0.0166</v>
      </c>
      <c r="D112" s="12" t="n">
        <f aca="false">(B112-C112)*Inputs!B2</f>
        <v>0.01485</v>
      </c>
      <c r="E112" s="12" t="n">
        <f aca="false">4*Inputs!B2*Inputs!B4*Inputs!B3/10000</f>
        <v>0.001</v>
      </c>
      <c r="F112" s="12" t="n">
        <f aca="false">Inputs!B2*Inputs!B5/Inputs!B6</f>
        <v>0.000833333333333333</v>
      </c>
      <c r="G112" s="12" t="n">
        <f aca="false">D112-E112-F112</f>
        <v>0.0130166666666667</v>
      </c>
      <c r="H112" s="5" t="n">
        <f aca="false">(1+G112)*H111</f>
        <v>1.84551727979289</v>
      </c>
      <c r="I112" s="5" t="n">
        <f aca="false">MAX(1,H$2:H112)</f>
        <v>1.90036171197976</v>
      </c>
      <c r="J112" s="12" t="n">
        <f aca="false">H112/I112-1</f>
        <v>-0.0288599964107534</v>
      </c>
      <c r="K112" s="12" t="n">
        <f aca="false">Data!L112</f>
        <v>0.0294</v>
      </c>
    </row>
    <row r="113" customFormat="false" ht="30" hidden="false" customHeight="true" outlineLevel="0" collapsed="false">
      <c r="A113" s="4" t="str">
        <f aca="false">Data!A113</f>
        <v>1972-04</v>
      </c>
      <c r="B113" s="13" t="n">
        <f aca="false">Data!K113</f>
        <v>0.0126</v>
      </c>
      <c r="C113" s="13" t="n">
        <f aca="false">Data!B113</f>
        <v>-0.0236</v>
      </c>
      <c r="D113" s="13" t="n">
        <f aca="false">(B113-C113)*Inputs!B2</f>
        <v>0.0181</v>
      </c>
      <c r="E113" s="13" t="n">
        <f aca="false">4*Inputs!B2*Inputs!B4*Inputs!B3/10000</f>
        <v>0.001</v>
      </c>
      <c r="F113" s="13" t="n">
        <f aca="false">Inputs!B2*Inputs!B5/Inputs!B6</f>
        <v>0.000833333333333333</v>
      </c>
      <c r="G113" s="13" t="n">
        <f aca="false">D113-E113-F113</f>
        <v>0.0162666666666667</v>
      </c>
      <c r="H113" s="4" t="n">
        <f aca="false">(1+G113)*H112</f>
        <v>1.87553769421086</v>
      </c>
      <c r="I113" s="4" t="n">
        <f aca="false">MAX(1,H$2:H113)</f>
        <v>1.90036171197976</v>
      </c>
      <c r="J113" s="13" t="n">
        <f aca="false">H113/I113-1</f>
        <v>-0.0130627856857017</v>
      </c>
      <c r="K113" s="13" t="n">
        <f aca="false">Data!L113</f>
        <v>0.0279</v>
      </c>
    </row>
    <row r="114" customFormat="false" ht="30" hidden="false" customHeight="true" outlineLevel="0" collapsed="false">
      <c r="A114" s="5" t="str">
        <f aca="false">Data!A114</f>
        <v>1972-05</v>
      </c>
      <c r="B114" s="12" t="n">
        <f aca="false">Data!K114</f>
        <v>0.0565</v>
      </c>
      <c r="C114" s="12" t="n">
        <f aca="false">Data!B114</f>
        <v>-0.0255</v>
      </c>
      <c r="D114" s="12" t="n">
        <f aca="false">(B114-C114)*Inputs!B2</f>
        <v>0.041</v>
      </c>
      <c r="E114" s="12" t="n">
        <f aca="false">4*Inputs!B2*Inputs!B4*Inputs!B3/10000</f>
        <v>0.001</v>
      </c>
      <c r="F114" s="12" t="n">
        <f aca="false">Inputs!B2*Inputs!B5/Inputs!B6</f>
        <v>0.000833333333333333</v>
      </c>
      <c r="G114" s="12" t="n">
        <f aca="false">D114-E114-F114</f>
        <v>0.0391666666666667</v>
      </c>
      <c r="H114" s="5" t="n">
        <f aca="false">(1+G114)*H113</f>
        <v>1.94899625390078</v>
      </c>
      <c r="I114" s="5" t="n">
        <f aca="false">MAX(1,H$2:H114)</f>
        <v>1.94899625390078</v>
      </c>
      <c r="J114" s="12" t="n">
        <f aca="false">H114/I114-1</f>
        <v>0</v>
      </c>
      <c r="K114" s="12" t="n">
        <f aca="false">Data!L114</f>
        <v>0.0333</v>
      </c>
    </row>
    <row r="115" customFormat="false" ht="30" hidden="false" customHeight="true" outlineLevel="0" collapsed="false">
      <c r="A115" s="4" t="str">
        <f aca="false">Data!A115</f>
        <v>1972-06</v>
      </c>
      <c r="B115" s="13" t="n">
        <f aca="false">Data!K115</f>
        <v>0.0056</v>
      </c>
      <c r="C115" s="13" t="n">
        <f aca="false">Data!B115</f>
        <v>-0.06</v>
      </c>
      <c r="D115" s="13" t="n">
        <f aca="false">(B115-C115)*Inputs!B2</f>
        <v>0.0328</v>
      </c>
      <c r="E115" s="13" t="n">
        <f aca="false">4*Inputs!B2*Inputs!B4*Inputs!B3/10000</f>
        <v>0.001</v>
      </c>
      <c r="F115" s="13" t="n">
        <f aca="false">Inputs!B2*Inputs!B5/Inputs!B6</f>
        <v>0.000833333333333333</v>
      </c>
      <c r="G115" s="13" t="n">
        <f aca="false">D115-E115-F115</f>
        <v>0.0309666666666667</v>
      </c>
      <c r="H115" s="4" t="n">
        <f aca="false">(1+G115)*H114</f>
        <v>2.00935017122991</v>
      </c>
      <c r="I115" s="4" t="n">
        <f aca="false">MAX(1,H$2:H115)</f>
        <v>2.00935017122991</v>
      </c>
      <c r="J115" s="13" t="n">
        <f aca="false">H115/I115-1</f>
        <v>0</v>
      </c>
      <c r="K115" s="13" t="n">
        <f aca="false">Data!L115</f>
        <v>0.019</v>
      </c>
    </row>
    <row r="116" customFormat="false" ht="30" hidden="false" customHeight="true" outlineLevel="0" collapsed="false">
      <c r="A116" s="5" t="str">
        <f aca="false">Data!A116</f>
        <v>1972-07</v>
      </c>
      <c r="B116" s="12" t="n">
        <f aca="false">Data!K116</f>
        <v>0.0001</v>
      </c>
      <c r="C116" s="12" t="n">
        <f aca="false">Data!B116</f>
        <v>-0.0475</v>
      </c>
      <c r="D116" s="12" t="n">
        <f aca="false">(B116-C116)*Inputs!B2</f>
        <v>0.0238</v>
      </c>
      <c r="E116" s="12" t="n">
        <f aca="false">4*Inputs!B2*Inputs!B4*Inputs!B3/10000</f>
        <v>0.001</v>
      </c>
      <c r="F116" s="12" t="n">
        <f aca="false">Inputs!B2*Inputs!B5/Inputs!B6</f>
        <v>0.000833333333333333</v>
      </c>
      <c r="G116" s="12" t="n">
        <f aca="false">D116-E116-F116</f>
        <v>0.0219666666666667</v>
      </c>
      <c r="H116" s="5" t="n">
        <f aca="false">(1+G116)*H115</f>
        <v>2.05348889665793</v>
      </c>
      <c r="I116" s="5" t="n">
        <f aca="false">MAX(1,H$2:H116)</f>
        <v>2.05348889665793</v>
      </c>
      <c r="J116" s="12" t="n">
        <f aca="false">H116/I116-1</f>
        <v>0</v>
      </c>
      <c r="K116" s="12" t="n">
        <f aca="false">Data!L116</f>
        <v>0.0268</v>
      </c>
    </row>
    <row r="117" customFormat="false" ht="30" hidden="false" customHeight="true" outlineLevel="0" collapsed="false">
      <c r="A117" s="4" t="str">
        <f aca="false">Data!A117</f>
        <v>1972-08</v>
      </c>
      <c r="B117" s="13" t="n">
        <f aca="false">Data!K117</f>
        <v>-0.0154</v>
      </c>
      <c r="C117" s="13" t="n">
        <f aca="false">Data!B117</f>
        <v>0.0438</v>
      </c>
      <c r="D117" s="13" t="n">
        <f aca="false">(B117-C117)*Inputs!B2</f>
        <v>-0.0296</v>
      </c>
      <c r="E117" s="13" t="n">
        <f aca="false">4*Inputs!B2*Inputs!B4*Inputs!B3/10000</f>
        <v>0.001</v>
      </c>
      <c r="F117" s="13" t="n">
        <f aca="false">Inputs!B2*Inputs!B5/Inputs!B6</f>
        <v>0.000833333333333333</v>
      </c>
      <c r="G117" s="13" t="n">
        <f aca="false">D117-E117-F117</f>
        <v>-0.0314333333333333</v>
      </c>
      <c r="H117" s="4" t="n">
        <f aca="false">(1+G117)*H116</f>
        <v>1.98894089567298</v>
      </c>
      <c r="I117" s="4" t="n">
        <f aca="false">MAX(1,H$2:H117)</f>
        <v>2.05348889665793</v>
      </c>
      <c r="J117" s="13" t="n">
        <f aca="false">H117/I117-1</f>
        <v>-0.0314333333333333</v>
      </c>
      <c r="K117" s="13" t="n">
        <f aca="false">Data!L117</f>
        <v>-0.0536</v>
      </c>
    </row>
    <row r="118" customFormat="false" ht="30" hidden="false" customHeight="true" outlineLevel="0" collapsed="false">
      <c r="A118" s="5" t="str">
        <f aca="false">Data!A118</f>
        <v>1972-09</v>
      </c>
      <c r="B118" s="12" t="n">
        <f aca="false">Data!K118</f>
        <v>0.0052</v>
      </c>
      <c r="C118" s="12" t="n">
        <f aca="false">Data!B118</f>
        <v>-0.0429</v>
      </c>
      <c r="D118" s="12" t="n">
        <f aca="false">(B118-C118)*Inputs!B2</f>
        <v>0.02405</v>
      </c>
      <c r="E118" s="12" t="n">
        <f aca="false">4*Inputs!B2*Inputs!B4*Inputs!B3/10000</f>
        <v>0.001</v>
      </c>
      <c r="F118" s="12" t="n">
        <f aca="false">Inputs!B2*Inputs!B5/Inputs!B6</f>
        <v>0.000833333333333333</v>
      </c>
      <c r="G118" s="12" t="n">
        <f aca="false">D118-E118-F118</f>
        <v>0.0222166666666667</v>
      </c>
      <c r="H118" s="5" t="n">
        <f aca="false">(1+G118)*H117</f>
        <v>2.03312853257185</v>
      </c>
      <c r="I118" s="5" t="n">
        <f aca="false">MAX(1,H$2:H118)</f>
        <v>2.05348889665793</v>
      </c>
      <c r="J118" s="12" t="n">
        <f aca="false">H118/I118-1</f>
        <v>-0.00991501055555544</v>
      </c>
      <c r="K118" s="12" t="n">
        <f aca="false">Data!L118</f>
        <v>0.0182</v>
      </c>
    </row>
    <row r="119" customFormat="false" ht="30" hidden="false" customHeight="true" outlineLevel="0" collapsed="false">
      <c r="A119" s="4" t="str">
        <f aca="false">Data!A119</f>
        <v>1972-10</v>
      </c>
      <c r="B119" s="13" t="n">
        <f aca="false">Data!K119</f>
        <v>0.0171</v>
      </c>
      <c r="C119" s="13" t="n">
        <f aca="false">Data!B119</f>
        <v>-0.0333</v>
      </c>
      <c r="D119" s="13" t="n">
        <f aca="false">(B119-C119)*Inputs!B2</f>
        <v>0.0252</v>
      </c>
      <c r="E119" s="13" t="n">
        <f aca="false">4*Inputs!B2*Inputs!B4*Inputs!B3/10000</f>
        <v>0.001</v>
      </c>
      <c r="F119" s="13" t="n">
        <f aca="false">Inputs!B2*Inputs!B5/Inputs!B6</f>
        <v>0.000833333333333333</v>
      </c>
      <c r="G119" s="13" t="n">
        <f aca="false">D119-E119-F119</f>
        <v>0.0233666666666667</v>
      </c>
      <c r="H119" s="4" t="n">
        <f aca="false">(1+G119)*H118</f>
        <v>2.08063596928295</v>
      </c>
      <c r="I119" s="4" t="n">
        <f aca="false">MAX(1,H$2:H119)</f>
        <v>2.08063596928295</v>
      </c>
      <c r="J119" s="13" t="n">
        <f aca="false">H119/I119-1</f>
        <v>0</v>
      </c>
      <c r="K119" s="13" t="n">
        <f aca="false">Data!L119</f>
        <v>0.007</v>
      </c>
    </row>
    <row r="120" customFormat="false" ht="30" hidden="false" customHeight="true" outlineLevel="0" collapsed="false">
      <c r="A120" s="5" t="str">
        <f aca="false">Data!A120</f>
        <v>1972-11</v>
      </c>
      <c r="B120" s="12" t="n">
        <f aca="false">Data!K120</f>
        <v>0.0158</v>
      </c>
      <c r="C120" s="12" t="n">
        <f aca="false">Data!B120</f>
        <v>0.0931</v>
      </c>
      <c r="D120" s="12" t="n">
        <f aca="false">(B120-C120)*Inputs!B2</f>
        <v>-0.03865</v>
      </c>
      <c r="E120" s="12" t="n">
        <f aca="false">4*Inputs!B2*Inputs!B4*Inputs!B3/10000</f>
        <v>0.001</v>
      </c>
      <c r="F120" s="12" t="n">
        <f aca="false">Inputs!B2*Inputs!B5/Inputs!B6</f>
        <v>0.000833333333333333</v>
      </c>
      <c r="G120" s="12" t="n">
        <f aca="false">D120-E120-F120</f>
        <v>-0.0404833333333333</v>
      </c>
      <c r="H120" s="5" t="n">
        <f aca="false">(1+G120)*H119</f>
        <v>1.99640488979314</v>
      </c>
      <c r="I120" s="5" t="n">
        <f aca="false">MAX(1,H$2:H120)</f>
        <v>2.08063596928295</v>
      </c>
      <c r="J120" s="12" t="n">
        <f aca="false">H120/I120-1</f>
        <v>-0.0404833333333333</v>
      </c>
      <c r="K120" s="12" t="n">
        <f aca="false">Data!L120</f>
        <v>-0.0508</v>
      </c>
    </row>
    <row r="121" customFormat="false" ht="30" hidden="false" customHeight="true" outlineLevel="0" collapsed="false">
      <c r="A121" s="4" t="str">
        <f aca="false">Data!A121</f>
        <v>1972-12</v>
      </c>
      <c r="B121" s="13" t="n">
        <f aca="false">Data!K121</f>
        <v>0.0535</v>
      </c>
      <c r="C121" s="13" t="n">
        <f aca="false">Data!B121</f>
        <v>-0.043</v>
      </c>
      <c r="D121" s="13" t="n">
        <f aca="false">(B121-C121)*Inputs!B2</f>
        <v>0.04825</v>
      </c>
      <c r="E121" s="13" t="n">
        <f aca="false">4*Inputs!B2*Inputs!B4*Inputs!B3/10000</f>
        <v>0.001</v>
      </c>
      <c r="F121" s="13" t="n">
        <f aca="false">Inputs!B2*Inputs!B5/Inputs!B6</f>
        <v>0.000833333333333333</v>
      </c>
      <c r="G121" s="13" t="n">
        <f aca="false">D121-E121-F121</f>
        <v>0.0464166666666667</v>
      </c>
      <c r="H121" s="4" t="n">
        <f aca="false">(1+G121)*H120</f>
        <v>2.08907135009437</v>
      </c>
      <c r="I121" s="4" t="n">
        <f aca="false">MAX(1,H$2:H121)</f>
        <v>2.08907135009437</v>
      </c>
      <c r="J121" s="13" t="n">
        <f aca="false">H121/I121-1</f>
        <v>0</v>
      </c>
      <c r="K121" s="13" t="n">
        <f aca="false">Data!L121</f>
        <v>0.0495</v>
      </c>
    </row>
    <row r="122" customFormat="false" ht="30" hidden="false" customHeight="true" outlineLevel="0" collapsed="false">
      <c r="A122" s="5" t="str">
        <f aca="false">Data!A122</f>
        <v>1973-01</v>
      </c>
      <c r="B122" s="12" t="n">
        <f aca="false">Data!K122</f>
        <v>-0.0288</v>
      </c>
      <c r="C122" s="12" t="n">
        <f aca="false">Data!B122</f>
        <v>-0.1075</v>
      </c>
      <c r="D122" s="12" t="n">
        <f aca="false">(B122-C122)*Inputs!B2</f>
        <v>0.03935</v>
      </c>
      <c r="E122" s="12" t="n">
        <f aca="false">4*Inputs!B2*Inputs!B4*Inputs!B3/10000</f>
        <v>0.001</v>
      </c>
      <c r="F122" s="12" t="n">
        <f aca="false">Inputs!B2*Inputs!B5/Inputs!B6</f>
        <v>0.000833333333333333</v>
      </c>
      <c r="G122" s="12" t="n">
        <f aca="false">D122-E122-F122</f>
        <v>0.0375166666666667</v>
      </c>
      <c r="H122" s="5" t="n">
        <f aca="false">(1+G122)*H121</f>
        <v>2.16744634357875</v>
      </c>
      <c r="I122" s="5" t="n">
        <f aca="false">MAX(1,H$2:H122)</f>
        <v>2.16744634357875</v>
      </c>
      <c r="J122" s="12" t="n">
        <f aca="false">H122/I122-1</f>
        <v>0</v>
      </c>
      <c r="K122" s="12" t="n">
        <f aca="false">Data!L122</f>
        <v>0.0382</v>
      </c>
    </row>
    <row r="123" customFormat="false" ht="30" hidden="false" customHeight="true" outlineLevel="0" collapsed="false">
      <c r="A123" s="4" t="str">
        <f aca="false">Data!A123</f>
        <v>1973-02</v>
      </c>
      <c r="B123" s="13" t="n">
        <f aca="false">Data!K123</f>
        <v>-0.0512</v>
      </c>
      <c r="C123" s="13" t="n">
        <f aca="false">Data!B123</f>
        <v>-0.0929</v>
      </c>
      <c r="D123" s="13" t="n">
        <f aca="false">(B123-C123)*Inputs!B2</f>
        <v>0.02085</v>
      </c>
      <c r="E123" s="13" t="n">
        <f aca="false">4*Inputs!B2*Inputs!B4*Inputs!B3/10000</f>
        <v>0.001</v>
      </c>
      <c r="F123" s="13" t="n">
        <f aca="false">Inputs!B2*Inputs!B5/Inputs!B6</f>
        <v>0.000833333333333333</v>
      </c>
      <c r="G123" s="13" t="n">
        <f aca="false">D123-E123-F123</f>
        <v>0.0190166666666667</v>
      </c>
      <c r="H123" s="4" t="n">
        <f aca="false">(1+G123)*H122</f>
        <v>2.20866394821247</v>
      </c>
      <c r="I123" s="4" t="n">
        <f aca="false">MAX(1,H$2:H123)</f>
        <v>2.20866394821247</v>
      </c>
      <c r="J123" s="13" t="n">
        <f aca="false">H123/I123-1</f>
        <v>0</v>
      </c>
      <c r="K123" s="13" t="n">
        <f aca="false">Data!L123</f>
        <v>0.0218</v>
      </c>
    </row>
    <row r="124" customFormat="false" ht="30" hidden="false" customHeight="true" outlineLevel="0" collapsed="false">
      <c r="A124" s="5" t="str">
        <f aca="false">Data!A124</f>
        <v>1973-03</v>
      </c>
      <c r="B124" s="12" t="n">
        <f aca="false">Data!K124</f>
        <v>0.0179</v>
      </c>
      <c r="C124" s="12" t="n">
        <f aca="false">Data!B124</f>
        <v>-0.041</v>
      </c>
      <c r="D124" s="12" t="n">
        <f aca="false">(B124-C124)*Inputs!B2</f>
        <v>0.02945</v>
      </c>
      <c r="E124" s="12" t="n">
        <f aca="false">4*Inputs!B2*Inputs!B4*Inputs!B3/10000</f>
        <v>0.001</v>
      </c>
      <c r="F124" s="12" t="n">
        <f aca="false">Inputs!B2*Inputs!B5/Inputs!B6</f>
        <v>0.000833333333333333</v>
      </c>
      <c r="G124" s="12" t="n">
        <f aca="false">D124-E124-F124</f>
        <v>0.0276166666666667</v>
      </c>
      <c r="H124" s="5" t="n">
        <f aca="false">(1+G124)*H123</f>
        <v>2.26965988424894</v>
      </c>
      <c r="I124" s="5" t="n">
        <f aca="false">MAX(1,H$2:H124)</f>
        <v>2.26965988424894</v>
      </c>
      <c r="J124" s="12" t="n">
        <f aca="false">H124/I124-1</f>
        <v>0</v>
      </c>
      <c r="K124" s="12" t="n">
        <f aca="false">Data!L124</f>
        <v>0.0355</v>
      </c>
    </row>
    <row r="125" customFormat="false" ht="30" hidden="false" customHeight="true" outlineLevel="0" collapsed="false">
      <c r="A125" s="4" t="str">
        <f aca="false">Data!A125</f>
        <v>1973-04</v>
      </c>
      <c r="B125" s="13" t="n">
        <f aca="false">Data!K125</f>
        <v>-0.0308</v>
      </c>
      <c r="C125" s="13" t="n">
        <f aca="false">Data!B125</f>
        <v>-0.115</v>
      </c>
      <c r="D125" s="13" t="n">
        <f aca="false">(B125-C125)*Inputs!B2</f>
        <v>0.0421</v>
      </c>
      <c r="E125" s="13" t="n">
        <f aca="false">4*Inputs!B2*Inputs!B4*Inputs!B3/10000</f>
        <v>0.001</v>
      </c>
      <c r="F125" s="13" t="n">
        <f aca="false">Inputs!B2*Inputs!B5/Inputs!B6</f>
        <v>0.000833333333333333</v>
      </c>
      <c r="G125" s="13" t="n">
        <f aca="false">D125-E125-F125</f>
        <v>0.0402666666666667</v>
      </c>
      <c r="H125" s="4" t="n">
        <f aca="false">(1+G125)*H124</f>
        <v>2.36105152225469</v>
      </c>
      <c r="I125" s="4" t="n">
        <f aca="false">MAX(1,H$2:H125)</f>
        <v>2.36105152225469</v>
      </c>
      <c r="J125" s="13" t="n">
        <f aca="false">H125/I125-1</f>
        <v>0</v>
      </c>
      <c r="K125" s="13" t="n">
        <f aca="false">Data!L125</f>
        <v>0.0635</v>
      </c>
    </row>
    <row r="126" customFormat="false" ht="30" hidden="false" customHeight="true" outlineLevel="0" collapsed="false">
      <c r="A126" s="5" t="str">
        <f aca="false">Data!A126</f>
        <v>1973-05</v>
      </c>
      <c r="B126" s="12" t="n">
        <f aca="false">Data!K126</f>
        <v>-0.0023</v>
      </c>
      <c r="C126" s="12" t="n">
        <f aca="false">Data!B126</f>
        <v>-0.1294</v>
      </c>
      <c r="D126" s="12" t="n">
        <f aca="false">(B126-C126)*Inputs!B2</f>
        <v>0.06355</v>
      </c>
      <c r="E126" s="12" t="n">
        <f aca="false">4*Inputs!B2*Inputs!B4*Inputs!B3/10000</f>
        <v>0.001</v>
      </c>
      <c r="F126" s="12" t="n">
        <f aca="false">Inputs!B2*Inputs!B5/Inputs!B6</f>
        <v>0.000833333333333333</v>
      </c>
      <c r="G126" s="12" t="n">
        <f aca="false">D126-E126-F126</f>
        <v>0.0617166666666667</v>
      </c>
      <c r="H126" s="5" t="n">
        <f aca="false">(1+G126)*H125</f>
        <v>2.50676775203651</v>
      </c>
      <c r="I126" s="5" t="n">
        <f aca="false">MAX(1,H$2:H126)</f>
        <v>2.50676775203651</v>
      </c>
      <c r="J126" s="12" t="n">
        <f aca="false">H126/I126-1</f>
        <v>0</v>
      </c>
      <c r="K126" s="12" t="n">
        <f aca="false">Data!L126</f>
        <v>0.0718</v>
      </c>
    </row>
    <row r="127" customFormat="false" ht="30" hidden="false" customHeight="true" outlineLevel="0" collapsed="false">
      <c r="A127" s="4" t="str">
        <f aca="false">Data!A127</f>
        <v>1973-06</v>
      </c>
      <c r="B127" s="13" t="n">
        <f aca="false">Data!K127</f>
        <v>0.0073</v>
      </c>
      <c r="C127" s="13" t="n">
        <f aca="false">Data!B127</f>
        <v>-0.0862</v>
      </c>
      <c r="D127" s="13" t="n">
        <f aca="false">(B127-C127)*Inputs!B2</f>
        <v>0.04675</v>
      </c>
      <c r="E127" s="13" t="n">
        <f aca="false">4*Inputs!B2*Inputs!B4*Inputs!B3/10000</f>
        <v>0.001</v>
      </c>
      <c r="F127" s="13" t="n">
        <f aca="false">Inputs!B2*Inputs!B5/Inputs!B6</f>
        <v>0.000833333333333333</v>
      </c>
      <c r="G127" s="13" t="n">
        <f aca="false">D127-E127-F127</f>
        <v>0.0449166666666667</v>
      </c>
      <c r="H127" s="4" t="n">
        <f aca="false">(1+G127)*H126</f>
        <v>2.61936340356549</v>
      </c>
      <c r="I127" s="4" t="n">
        <f aca="false">MAX(1,H$2:H127)</f>
        <v>2.61936340356549</v>
      </c>
      <c r="J127" s="13" t="n">
        <f aca="false">H127/I127-1</f>
        <v>0</v>
      </c>
      <c r="K127" s="13" t="n">
        <f aca="false">Data!L127</f>
        <v>0.0431</v>
      </c>
    </row>
    <row r="128" customFormat="false" ht="30" hidden="false" customHeight="true" outlineLevel="0" collapsed="false">
      <c r="A128" s="5" t="str">
        <f aca="false">Data!A128</f>
        <v>1973-07</v>
      </c>
      <c r="B128" s="12" t="n">
        <f aca="false">Data!K128</f>
        <v>0.0243</v>
      </c>
      <c r="C128" s="12" t="n">
        <f aca="false">Data!B128</f>
        <v>0.2092</v>
      </c>
      <c r="D128" s="12" t="n">
        <f aca="false">(B128-C128)*Inputs!B2</f>
        <v>-0.09245</v>
      </c>
      <c r="E128" s="12" t="n">
        <f aca="false">4*Inputs!B2*Inputs!B4*Inputs!B3/10000</f>
        <v>0.001</v>
      </c>
      <c r="F128" s="12" t="n">
        <f aca="false">Inputs!B2*Inputs!B5/Inputs!B6</f>
        <v>0.000833333333333333</v>
      </c>
      <c r="G128" s="12" t="n">
        <f aca="false">D128-E128-F128</f>
        <v>-0.0942833333333333</v>
      </c>
      <c r="H128" s="5" t="n">
        <f aca="false">(1+G128)*H127</f>
        <v>2.37240109066599</v>
      </c>
      <c r="I128" s="5" t="n">
        <f aca="false">MAX(1,H$2:H128)</f>
        <v>2.61936340356549</v>
      </c>
      <c r="J128" s="12" t="n">
        <f aca="false">H128/I128-1</f>
        <v>-0.0942833333333335</v>
      </c>
      <c r="K128" s="12" t="n">
        <f aca="false">Data!L128</f>
        <v>-0.1166</v>
      </c>
    </row>
    <row r="129" customFormat="false" ht="30" hidden="false" customHeight="true" outlineLevel="0" collapsed="false">
      <c r="A129" s="4" t="str">
        <f aca="false">Data!A129</f>
        <v>1973-08</v>
      </c>
      <c r="B129" s="13" t="n">
        <f aca="false">Data!K129</f>
        <v>-0.0287</v>
      </c>
      <c r="C129" s="13" t="n">
        <f aca="false">Data!B129</f>
        <v>-0.0712</v>
      </c>
      <c r="D129" s="13" t="n">
        <f aca="false">(B129-C129)*Inputs!B2</f>
        <v>0.02125</v>
      </c>
      <c r="E129" s="13" t="n">
        <f aca="false">4*Inputs!B2*Inputs!B4*Inputs!B3/10000</f>
        <v>0.001</v>
      </c>
      <c r="F129" s="13" t="n">
        <f aca="false">Inputs!B2*Inputs!B5/Inputs!B6</f>
        <v>0.000833333333333333</v>
      </c>
      <c r="G129" s="13" t="n">
        <f aca="false">D129-E129-F129</f>
        <v>0.0194166666666667</v>
      </c>
      <c r="H129" s="4" t="n">
        <f aca="false">(1+G129)*H128</f>
        <v>2.41846521184308</v>
      </c>
      <c r="I129" s="4" t="n">
        <f aca="false">MAX(1,H$2:H129)</f>
        <v>2.61936340356549</v>
      </c>
      <c r="J129" s="13" t="n">
        <f aca="false">H129/I129-1</f>
        <v>-0.0766973347222223</v>
      </c>
      <c r="K129" s="13" t="n">
        <f aca="false">Data!L129</f>
        <v>0.0359</v>
      </c>
    </row>
    <row r="130" customFormat="false" ht="30" hidden="false" customHeight="true" outlineLevel="0" collapsed="false">
      <c r="A130" s="5" t="str">
        <f aca="false">Data!A130</f>
        <v>1973-09</v>
      </c>
      <c r="B130" s="12" t="n">
        <f aca="false">Data!K130</f>
        <v>0.0528</v>
      </c>
      <c r="C130" s="12" t="n">
        <f aca="false">Data!B130</f>
        <v>0.108</v>
      </c>
      <c r="D130" s="12" t="n">
        <f aca="false">(B130-C130)*Inputs!B2</f>
        <v>-0.0276</v>
      </c>
      <c r="E130" s="12" t="n">
        <f aca="false">4*Inputs!B2*Inputs!B4*Inputs!B3/10000</f>
        <v>0.001</v>
      </c>
      <c r="F130" s="12" t="n">
        <f aca="false">Inputs!B2*Inputs!B5/Inputs!B6</f>
        <v>0.000833333333333333</v>
      </c>
      <c r="G130" s="12" t="n">
        <f aca="false">D130-E130-F130</f>
        <v>-0.0294333333333333</v>
      </c>
      <c r="H130" s="5" t="n">
        <f aca="false">(1+G130)*H129</f>
        <v>2.34728171910784</v>
      </c>
      <c r="I130" s="5" t="n">
        <f aca="false">MAX(1,H$2:H130)</f>
        <v>2.61936340356549</v>
      </c>
      <c r="J130" s="12" t="n">
        <f aca="false">H130/I130-1</f>
        <v>-0.103873209836898</v>
      </c>
      <c r="K130" s="12" t="n">
        <f aca="false">Data!L130</f>
        <v>-0.0698</v>
      </c>
    </row>
    <row r="131" customFormat="false" ht="30" hidden="false" customHeight="true" outlineLevel="0" collapsed="false">
      <c r="A131" s="4" t="str">
        <f aca="false">Data!A131</f>
        <v>1973-10</v>
      </c>
      <c r="B131" s="13" t="n">
        <f aca="false">Data!K131</f>
        <v>0.0406</v>
      </c>
      <c r="C131" s="13" t="n">
        <f aca="false">Data!B131</f>
        <v>-0.0567</v>
      </c>
      <c r="D131" s="13" t="n">
        <f aca="false">(B131-C131)*Inputs!B2</f>
        <v>0.04865</v>
      </c>
      <c r="E131" s="13" t="n">
        <f aca="false">4*Inputs!B2*Inputs!B4*Inputs!B3/10000</f>
        <v>0.001</v>
      </c>
      <c r="F131" s="13" t="n">
        <f aca="false">Inputs!B2*Inputs!B5/Inputs!B6</f>
        <v>0.000833333333333333</v>
      </c>
      <c r="G131" s="13" t="n">
        <f aca="false">D131-E131-F131</f>
        <v>0.0468166666666667</v>
      </c>
      <c r="H131" s="4" t="n">
        <f aca="false">(1+G131)*H130</f>
        <v>2.45717362492407</v>
      </c>
      <c r="I131" s="4" t="n">
        <f aca="false">MAX(1,H$2:H131)</f>
        <v>2.61936340356549</v>
      </c>
      <c r="J131" s="13" t="n">
        <f aca="false">H131/I131-1</f>
        <v>-0.0619195406107623</v>
      </c>
      <c r="K131" s="13" t="n">
        <f aca="false">Data!L131</f>
        <v>0.0678</v>
      </c>
    </row>
    <row r="132" customFormat="false" ht="30" hidden="false" customHeight="true" outlineLevel="0" collapsed="false">
      <c r="A132" s="5" t="str">
        <f aca="false">Data!A132</f>
        <v>1973-11</v>
      </c>
      <c r="B132" s="12" t="n">
        <f aca="false">Data!K132</f>
        <v>-0.0927</v>
      </c>
      <c r="C132" s="12" t="n">
        <f aca="false">Data!B132</f>
        <v>-0.2326</v>
      </c>
      <c r="D132" s="12" t="n">
        <f aca="false">(B132-C132)*Inputs!B2</f>
        <v>0.06995</v>
      </c>
      <c r="E132" s="12" t="n">
        <f aca="false">4*Inputs!B2*Inputs!B4*Inputs!B3/10000</f>
        <v>0.001</v>
      </c>
      <c r="F132" s="12" t="n">
        <f aca="false">Inputs!B2*Inputs!B5/Inputs!B6</f>
        <v>0.000833333333333333</v>
      </c>
      <c r="G132" s="12" t="n">
        <f aca="false">D132-E132-F132</f>
        <v>0.0681166666666667</v>
      </c>
      <c r="H132" s="5" t="n">
        <f aca="false">(1+G132)*H131</f>
        <v>2.62454810167515</v>
      </c>
      <c r="I132" s="5" t="n">
        <f aca="false">MAX(1,H$2:H132)</f>
        <v>2.62454810167515</v>
      </c>
      <c r="J132" s="12" t="n">
        <f aca="false">H132/I132-1</f>
        <v>0</v>
      </c>
      <c r="K132" s="12" t="n">
        <f aca="false">Data!L132</f>
        <v>0.0878</v>
      </c>
    </row>
    <row r="133" customFormat="false" ht="30" hidden="false" customHeight="true" outlineLevel="0" collapsed="false">
      <c r="A133" s="4" t="str">
        <f aca="false">Data!A133</f>
        <v>1973-12</v>
      </c>
      <c r="B133" s="13" t="n">
        <f aca="false">Data!K133</f>
        <v>0.0744</v>
      </c>
      <c r="C133" s="13" t="n">
        <f aca="false">Data!B133</f>
        <v>-0.0599</v>
      </c>
      <c r="D133" s="13" t="n">
        <f aca="false">(B133-C133)*Inputs!B2</f>
        <v>0.06715</v>
      </c>
      <c r="E133" s="13" t="n">
        <f aca="false">4*Inputs!B2*Inputs!B4*Inputs!B3/10000</f>
        <v>0.001</v>
      </c>
      <c r="F133" s="13" t="n">
        <f aca="false">Inputs!B2*Inputs!B5/Inputs!B6</f>
        <v>0.000833333333333333</v>
      </c>
      <c r="G133" s="13" t="n">
        <f aca="false">D133-E133-F133</f>
        <v>0.0653166666666667</v>
      </c>
      <c r="H133" s="4" t="n">
        <f aca="false">(1+G133)*H132</f>
        <v>2.79597483518289</v>
      </c>
      <c r="I133" s="4" t="n">
        <f aca="false">MAX(1,H$2:H133)</f>
        <v>2.79597483518289</v>
      </c>
      <c r="J133" s="13" t="n">
        <f aca="false">H133/I133-1</f>
        <v>0</v>
      </c>
      <c r="K133" s="13" t="n">
        <f aca="false">Data!L133</f>
        <v>0.1016</v>
      </c>
    </row>
    <row r="134" customFormat="false" ht="30" hidden="false" customHeight="true" outlineLevel="0" collapsed="false">
      <c r="A134" s="5" t="str">
        <f aca="false">Data!A134</f>
        <v>1974-01</v>
      </c>
      <c r="B134" s="12" t="n">
        <f aca="false">Data!K134</f>
        <v>-0.0609</v>
      </c>
      <c r="C134" s="12" t="n">
        <f aca="false">Data!B134</f>
        <v>0.1265</v>
      </c>
      <c r="D134" s="12" t="n">
        <f aca="false">(B134-C134)*Inputs!B2</f>
        <v>-0.0937</v>
      </c>
      <c r="E134" s="12" t="n">
        <f aca="false">4*Inputs!B2*Inputs!B4*Inputs!B3/10000</f>
        <v>0.001</v>
      </c>
      <c r="F134" s="12" t="n">
        <f aca="false">Inputs!B2*Inputs!B5/Inputs!B6</f>
        <v>0.000833333333333333</v>
      </c>
      <c r="G134" s="12" t="n">
        <f aca="false">D134-E134-F134</f>
        <v>-0.0955333333333334</v>
      </c>
      <c r="H134" s="5" t="n">
        <f aca="false">(1+G134)*H133</f>
        <v>2.52886603926175</v>
      </c>
      <c r="I134" s="5" t="n">
        <f aca="false">MAX(1,H$2:H134)</f>
        <v>2.79597483518289</v>
      </c>
      <c r="J134" s="12" t="n">
        <f aca="false">H134/I134-1</f>
        <v>-0.0955333333333334</v>
      </c>
      <c r="K134" s="12" t="n">
        <f aca="false">Data!L134</f>
        <v>-0.0891</v>
      </c>
    </row>
    <row r="135" customFormat="false" ht="30" hidden="false" customHeight="true" outlineLevel="0" collapsed="false">
      <c r="A135" s="4" t="str">
        <f aca="false">Data!A135</f>
        <v>1974-02</v>
      </c>
      <c r="B135" s="13" t="n">
        <f aca="false">Data!K135</f>
        <v>0.0179</v>
      </c>
      <c r="C135" s="13" t="n">
        <f aca="false">Data!B135</f>
        <v>-0.0233</v>
      </c>
      <c r="D135" s="13" t="n">
        <f aca="false">(B135-C135)*Inputs!B2</f>
        <v>0.0206</v>
      </c>
      <c r="E135" s="13" t="n">
        <f aca="false">4*Inputs!B2*Inputs!B4*Inputs!B3/10000</f>
        <v>0.001</v>
      </c>
      <c r="F135" s="13" t="n">
        <f aca="false">Inputs!B2*Inputs!B5/Inputs!B6</f>
        <v>0.000833333333333333</v>
      </c>
      <c r="G135" s="13" t="n">
        <f aca="false">D135-E135-F135</f>
        <v>0.0187666666666667</v>
      </c>
      <c r="H135" s="4" t="n">
        <f aca="false">(1+G135)*H134</f>
        <v>2.57632442526523</v>
      </c>
      <c r="I135" s="4" t="n">
        <f aca="false">MAX(1,H$2:H135)</f>
        <v>2.79597483518289</v>
      </c>
      <c r="J135" s="13" t="n">
        <f aca="false">H135/I135-1</f>
        <v>-0.078559508888889</v>
      </c>
      <c r="K135" s="13" t="n">
        <f aca="false">Data!L135</f>
        <v>0.0037</v>
      </c>
    </row>
    <row r="136" customFormat="false" ht="30" hidden="false" customHeight="true" outlineLevel="0" collapsed="false">
      <c r="A136" s="5" t="str">
        <f aca="false">Data!A136</f>
        <v>1974-03</v>
      </c>
      <c r="B136" s="12" t="n">
        <f aca="false">Data!K136</f>
        <v>-0.0464</v>
      </c>
      <c r="C136" s="12" t="n">
        <f aca="false">Data!B136</f>
        <v>0.0063</v>
      </c>
      <c r="D136" s="12" t="n">
        <f aca="false">(B136-C136)*Inputs!B2</f>
        <v>-0.02635</v>
      </c>
      <c r="E136" s="12" t="n">
        <f aca="false">4*Inputs!B2*Inputs!B4*Inputs!B3/10000</f>
        <v>0.001</v>
      </c>
      <c r="F136" s="12" t="n">
        <f aca="false">Inputs!B2*Inputs!B5/Inputs!B6</f>
        <v>0.000833333333333333</v>
      </c>
      <c r="G136" s="12" t="n">
        <f aca="false">D136-E136-F136</f>
        <v>-0.0281833333333333</v>
      </c>
      <c r="H136" s="5" t="n">
        <f aca="false">(1+G136)*H135</f>
        <v>2.50371501521318</v>
      </c>
      <c r="I136" s="5" t="n">
        <f aca="false">MAX(1,H$2:H136)</f>
        <v>2.79597483518289</v>
      </c>
      <c r="J136" s="12" t="n">
        <f aca="false">H136/I136-1</f>
        <v>-0.104528773396704</v>
      </c>
      <c r="K136" s="12" t="n">
        <f aca="false">Data!L136</f>
        <v>-0.01</v>
      </c>
    </row>
    <row r="137" customFormat="false" ht="30" hidden="false" customHeight="true" outlineLevel="0" collapsed="false">
      <c r="A137" s="4" t="str">
        <f aca="false">Data!A137</f>
        <v>1974-04</v>
      </c>
      <c r="B137" s="13" t="n">
        <f aca="false">Data!K137</f>
        <v>-0.0412</v>
      </c>
      <c r="C137" s="13" t="n">
        <f aca="false">Data!B137</f>
        <v>-0.1029</v>
      </c>
      <c r="D137" s="13" t="n">
        <f aca="false">(B137-C137)*Inputs!B2</f>
        <v>0.03085</v>
      </c>
      <c r="E137" s="13" t="n">
        <f aca="false">4*Inputs!B2*Inputs!B4*Inputs!B3/10000</f>
        <v>0.001</v>
      </c>
      <c r="F137" s="13" t="n">
        <f aca="false">Inputs!B2*Inputs!B5/Inputs!B6</f>
        <v>0.000833333333333333</v>
      </c>
      <c r="G137" s="13" t="n">
        <f aca="false">D137-E137-F137</f>
        <v>0.0290166666666667</v>
      </c>
      <c r="H137" s="4" t="n">
        <f aca="false">(1+G137)*H136</f>
        <v>2.57636447923794</v>
      </c>
      <c r="I137" s="4" t="n">
        <f aca="false">MAX(1,H$2:H137)</f>
        <v>2.79597483518289</v>
      </c>
      <c r="J137" s="13" t="n">
        <f aca="false">H137/I137-1</f>
        <v>-0.0785451833047648</v>
      </c>
      <c r="K137" s="13" t="n">
        <f aca="false">Data!L137</f>
        <v>0.0206</v>
      </c>
    </row>
    <row r="138" customFormat="false" ht="30" hidden="false" customHeight="true" outlineLevel="0" collapsed="false">
      <c r="A138" s="5" t="str">
        <f aca="false">Data!A138</f>
        <v>1974-05</v>
      </c>
      <c r="B138" s="12" t="n">
        <f aca="false">Data!K138</f>
        <v>-0.0917</v>
      </c>
      <c r="C138" s="12" t="n">
        <f aca="false">Data!B138</f>
        <v>-0.0813</v>
      </c>
      <c r="D138" s="12" t="n">
        <f aca="false">(B138-C138)*Inputs!B2</f>
        <v>-0.0052</v>
      </c>
      <c r="E138" s="12" t="n">
        <f aca="false">4*Inputs!B2*Inputs!B4*Inputs!B3/10000</f>
        <v>0.001</v>
      </c>
      <c r="F138" s="12" t="n">
        <f aca="false">Inputs!B2*Inputs!B5/Inputs!B6</f>
        <v>0.000833333333333333</v>
      </c>
      <c r="G138" s="12" t="n">
        <f aca="false">D138-E138-F138</f>
        <v>-0.00703333333333333</v>
      </c>
      <c r="H138" s="5" t="n">
        <f aca="false">(1+G138)*H137</f>
        <v>2.5582440490673</v>
      </c>
      <c r="I138" s="5" t="n">
        <f aca="false">MAX(1,H$2:H138)</f>
        <v>2.79597483518289</v>
      </c>
      <c r="J138" s="12" t="n">
        <f aca="false">H138/I138-1</f>
        <v>-0.0850260821821879</v>
      </c>
      <c r="K138" s="12" t="n">
        <f aca="false">Data!L138</f>
        <v>-0.0029</v>
      </c>
    </row>
    <row r="139" customFormat="false" ht="30" hidden="false" customHeight="true" outlineLevel="0" collapsed="false">
      <c r="A139" s="4" t="str">
        <f aca="false">Data!A139</f>
        <v>1974-06</v>
      </c>
      <c r="B139" s="13" t="n">
        <f aca="false">Data!K139</f>
        <v>-0.013</v>
      </c>
      <c r="C139" s="13" t="n">
        <f aca="false">Data!B139</f>
        <v>-0.0523</v>
      </c>
      <c r="D139" s="13" t="n">
        <f aca="false">(B139-C139)*Inputs!B2</f>
        <v>0.01965</v>
      </c>
      <c r="E139" s="13" t="n">
        <f aca="false">4*Inputs!B2*Inputs!B4*Inputs!B3/10000</f>
        <v>0.001</v>
      </c>
      <c r="F139" s="13" t="n">
        <f aca="false">Inputs!B2*Inputs!B5/Inputs!B6</f>
        <v>0.000833333333333333</v>
      </c>
      <c r="G139" s="13" t="n">
        <f aca="false">D139-E139-F139</f>
        <v>0.0178166666666667</v>
      </c>
      <c r="H139" s="4" t="n">
        <f aca="false">(1+G139)*H138</f>
        <v>2.60382343054152</v>
      </c>
      <c r="I139" s="4" t="n">
        <f aca="false">MAX(1,H$2:H139)</f>
        <v>2.79597483518289</v>
      </c>
      <c r="J139" s="13" t="n">
        <f aca="false">H139/I139-1</f>
        <v>-0.0687242968797339</v>
      </c>
      <c r="K139" s="13" t="n">
        <f aca="false">Data!L139</f>
        <v>0.0232</v>
      </c>
    </row>
    <row r="140" customFormat="false" ht="30" hidden="false" customHeight="true" outlineLevel="0" collapsed="false">
      <c r="A140" s="5" t="str">
        <f aca="false">Data!A140</f>
        <v>1974-07</v>
      </c>
      <c r="B140" s="12" t="n">
        <f aca="false">Data!K140</f>
        <v>-0.0363</v>
      </c>
      <c r="C140" s="12" t="n">
        <f aca="false">Data!B140</f>
        <v>-0.108</v>
      </c>
      <c r="D140" s="12" t="n">
        <f aca="false">(B140-C140)*Inputs!B2</f>
        <v>0.03585</v>
      </c>
      <c r="E140" s="12" t="n">
        <f aca="false">4*Inputs!B2*Inputs!B4*Inputs!B3/10000</f>
        <v>0.001</v>
      </c>
      <c r="F140" s="12" t="n">
        <f aca="false">Inputs!B2*Inputs!B5/Inputs!B6</f>
        <v>0.000833333333333333</v>
      </c>
      <c r="G140" s="12" t="n">
        <f aca="false">D140-E140-F140</f>
        <v>0.0340166666666667</v>
      </c>
      <c r="H140" s="5" t="n">
        <f aca="false">(1+G140)*H139</f>
        <v>2.69239682423711</v>
      </c>
      <c r="I140" s="5" t="n">
        <f aca="false">MAX(1,H$2:H140)</f>
        <v>2.79597483518289</v>
      </c>
      <c r="J140" s="12" t="n">
        <f aca="false">H140/I140-1</f>
        <v>-0.0370454017119263</v>
      </c>
      <c r="K140" s="12" t="n">
        <f aca="false">Data!L140</f>
        <v>0.03</v>
      </c>
    </row>
    <row r="141" customFormat="false" ht="30" hidden="false" customHeight="true" outlineLevel="0" collapsed="false">
      <c r="A141" s="4" t="str">
        <f aca="false">Data!A141</f>
        <v>1974-08</v>
      </c>
      <c r="B141" s="13" t="n">
        <f aca="false">Data!K141</f>
        <v>-0.0887</v>
      </c>
      <c r="C141" s="13" t="n">
        <f aca="false">Data!B141</f>
        <v>-0.1194</v>
      </c>
      <c r="D141" s="13" t="n">
        <f aca="false">(B141-C141)*Inputs!B2</f>
        <v>0.01535</v>
      </c>
      <c r="E141" s="13" t="n">
        <f aca="false">4*Inputs!B2*Inputs!B4*Inputs!B3/10000</f>
        <v>0.001</v>
      </c>
      <c r="F141" s="13" t="n">
        <f aca="false">Inputs!B2*Inputs!B5/Inputs!B6</f>
        <v>0.000833333333333333</v>
      </c>
      <c r="G141" s="13" t="n">
        <f aca="false">D141-E141-F141</f>
        <v>0.0135166666666667</v>
      </c>
      <c r="H141" s="4" t="n">
        <f aca="false">(1+G141)*H140</f>
        <v>2.72878905464471</v>
      </c>
      <c r="I141" s="4" t="n">
        <f aca="false">MAX(1,H$2:H141)</f>
        <v>2.79597483518289</v>
      </c>
      <c r="J141" s="13" t="n">
        <f aca="false">H141/I141-1</f>
        <v>-0.0240294653917326</v>
      </c>
      <c r="K141" s="13" t="n">
        <f aca="false">Data!L141</f>
        <v>0.0303</v>
      </c>
    </row>
    <row r="142" customFormat="false" ht="30" hidden="false" customHeight="true" outlineLevel="0" collapsed="false">
      <c r="A142" s="5" t="str">
        <f aca="false">Data!A142</f>
        <v>1974-09</v>
      </c>
      <c r="B142" s="12" t="n">
        <f aca="false">Data!K142</f>
        <v>-0.0913</v>
      </c>
      <c r="C142" s="12" t="n">
        <f aca="false">Data!B142</f>
        <v>-0.141</v>
      </c>
      <c r="D142" s="12" t="n">
        <f aca="false">(B142-C142)*Inputs!B2</f>
        <v>0.02485</v>
      </c>
      <c r="E142" s="12" t="n">
        <f aca="false">4*Inputs!B2*Inputs!B4*Inputs!B3/10000</f>
        <v>0.001</v>
      </c>
      <c r="F142" s="12" t="n">
        <f aca="false">Inputs!B2*Inputs!B5/Inputs!B6</f>
        <v>0.000833333333333333</v>
      </c>
      <c r="G142" s="12" t="n">
        <f aca="false">D142-E142-F142</f>
        <v>0.0230166666666667</v>
      </c>
      <c r="H142" s="5" t="n">
        <f aca="false">(1+G142)*H141</f>
        <v>2.79159668271912</v>
      </c>
      <c r="I142" s="5" t="n">
        <f aca="false">MAX(1,H$2:H142)</f>
        <v>2.79597483518289</v>
      </c>
      <c r="J142" s="12" t="n">
        <f aca="false">H142/I142-1</f>
        <v>-0.00156587692016563</v>
      </c>
      <c r="K142" s="12" t="n">
        <f aca="false">Data!L142</f>
        <v>0.0424</v>
      </c>
    </row>
    <row r="143" customFormat="false" ht="30" hidden="false" customHeight="true" outlineLevel="0" collapsed="false">
      <c r="A143" s="4" t="str">
        <f aca="false">Data!A143</f>
        <v>1974-10</v>
      </c>
      <c r="B143" s="13" t="n">
        <f aca="false">Data!K143</f>
        <v>0.2034</v>
      </c>
      <c r="C143" s="13" t="n">
        <f aca="false">Data!B143</f>
        <v>0.1463</v>
      </c>
      <c r="D143" s="13" t="n">
        <f aca="false">(B143-C143)*Inputs!B2</f>
        <v>0.02855</v>
      </c>
      <c r="E143" s="13" t="n">
        <f aca="false">4*Inputs!B2*Inputs!B4*Inputs!B3/10000</f>
        <v>0.001</v>
      </c>
      <c r="F143" s="13" t="n">
        <f aca="false">Inputs!B2*Inputs!B5/Inputs!B6</f>
        <v>0.000833333333333333</v>
      </c>
      <c r="G143" s="13" t="n">
        <f aca="false">D143-E143-F143</f>
        <v>0.0267166666666667</v>
      </c>
      <c r="H143" s="4" t="n">
        <f aca="false">(1+G143)*H142</f>
        <v>2.8661788407591</v>
      </c>
      <c r="I143" s="4" t="n">
        <f aca="false">MAX(1,H$2:H143)</f>
        <v>2.8661788407591</v>
      </c>
      <c r="J143" s="13" t="n">
        <f aca="false">H143/I143-1</f>
        <v>0</v>
      </c>
      <c r="K143" s="13" t="n">
        <f aca="false">Data!L143</f>
        <v>-0.0052</v>
      </c>
    </row>
    <row r="144" customFormat="false" ht="30" hidden="false" customHeight="true" outlineLevel="0" collapsed="false">
      <c r="A144" s="5" t="str">
        <f aca="false">Data!A144</f>
        <v>1974-11</v>
      </c>
      <c r="B144" s="12" t="n">
        <f aca="false">Data!K144</f>
        <v>-0.037</v>
      </c>
      <c r="C144" s="12" t="n">
        <f aca="false">Data!B144</f>
        <v>-0.0299</v>
      </c>
      <c r="D144" s="12" t="n">
        <f aca="false">(B144-C144)*Inputs!B2</f>
        <v>-0.00355000000000001</v>
      </c>
      <c r="E144" s="12" t="n">
        <f aca="false">4*Inputs!B2*Inputs!B4*Inputs!B3/10000</f>
        <v>0.001</v>
      </c>
      <c r="F144" s="12" t="n">
        <f aca="false">Inputs!B2*Inputs!B5/Inputs!B6</f>
        <v>0.000833333333333333</v>
      </c>
      <c r="G144" s="12" t="n">
        <f aca="false">D144-E144-F144</f>
        <v>-0.00538333333333334</v>
      </c>
      <c r="H144" s="5" t="n">
        <f aca="false">(1+G144)*H143</f>
        <v>2.85074924466634</v>
      </c>
      <c r="I144" s="5" t="n">
        <f aca="false">MAX(1,H$2:H144)</f>
        <v>2.8661788407591</v>
      </c>
      <c r="J144" s="12" t="n">
        <f aca="false">H144/I144-1</f>
        <v>-0.0053833333333333</v>
      </c>
      <c r="K144" s="12" t="n">
        <f aca="false">Data!L144</f>
        <v>0.022</v>
      </c>
    </row>
    <row r="145" customFormat="false" ht="30" hidden="false" customHeight="true" outlineLevel="0" collapsed="false">
      <c r="A145" s="4" t="str">
        <f aca="false">Data!A145</f>
        <v>1974-12</v>
      </c>
      <c r="B145" s="13" t="n">
        <f aca="false">Data!K145</f>
        <v>-0.0337</v>
      </c>
      <c r="C145" s="13" t="n">
        <f aca="false">Data!B145</f>
        <v>-0.0499</v>
      </c>
      <c r="D145" s="13" t="n">
        <f aca="false">(B145-C145)*Inputs!B2</f>
        <v>0.0081</v>
      </c>
      <c r="E145" s="13" t="n">
        <f aca="false">4*Inputs!B2*Inputs!B4*Inputs!B3/10000</f>
        <v>0.001</v>
      </c>
      <c r="F145" s="13" t="n">
        <f aca="false">Inputs!B2*Inputs!B5/Inputs!B6</f>
        <v>0.000833333333333333</v>
      </c>
      <c r="G145" s="13" t="n">
        <f aca="false">D145-E145-F145</f>
        <v>0.00626666666666667</v>
      </c>
      <c r="H145" s="4" t="n">
        <f aca="false">(1+G145)*H144</f>
        <v>2.86861393993292</v>
      </c>
      <c r="I145" s="4" t="n">
        <f aca="false">MAX(1,H$2:H145)</f>
        <v>2.86861393993292</v>
      </c>
      <c r="J145" s="13" t="n">
        <f aca="false">H145/I145-1</f>
        <v>0</v>
      </c>
      <c r="K145" s="13" t="n">
        <f aca="false">Data!L145</f>
        <v>0.0298</v>
      </c>
    </row>
    <row r="146" customFormat="false" ht="30" hidden="false" customHeight="true" outlineLevel="0" collapsed="false">
      <c r="A146" s="5" t="str">
        <f aca="false">Data!A146</f>
        <v>1975-01</v>
      </c>
      <c r="B146" s="12" t="n">
        <f aca="false">Data!K146</f>
        <v>0.1143</v>
      </c>
      <c r="C146" s="12" t="n">
        <f aca="false">Data!B146</f>
        <v>0.3116</v>
      </c>
      <c r="D146" s="12" t="n">
        <f aca="false">(B146-C146)*Inputs!B2</f>
        <v>-0.09865</v>
      </c>
      <c r="E146" s="12" t="n">
        <f aca="false">4*Inputs!B2*Inputs!B4*Inputs!B3/10000</f>
        <v>0.001</v>
      </c>
      <c r="F146" s="12" t="n">
        <f aca="false">Inputs!B2*Inputs!B5/Inputs!B6</f>
        <v>0.000833333333333333</v>
      </c>
      <c r="G146" s="12" t="n">
        <f aca="false">D146-E146-F146</f>
        <v>-0.100483333333333</v>
      </c>
      <c r="H146" s="5" t="n">
        <f aca="false">(1+G146)*H145</f>
        <v>2.58036604920199</v>
      </c>
      <c r="I146" s="5" t="n">
        <f aca="false">MAX(1,H$2:H146)</f>
        <v>2.86861393993292</v>
      </c>
      <c r="J146" s="12" t="n">
        <f aca="false">H146/I146-1</f>
        <v>-0.100483333333333</v>
      </c>
      <c r="K146" s="12" t="n">
        <f aca="false">Data!L146</f>
        <v>-0.1379</v>
      </c>
    </row>
    <row r="147" customFormat="false" ht="30" hidden="false" customHeight="true" outlineLevel="0" collapsed="false">
      <c r="A147" s="4" t="str">
        <f aca="false">Data!A147</f>
        <v>1975-02</v>
      </c>
      <c r="B147" s="13" t="n">
        <f aca="false">Data!K147</f>
        <v>0.0397</v>
      </c>
      <c r="C147" s="13" t="n">
        <f aca="false">Data!B147</f>
        <v>0.068</v>
      </c>
      <c r="D147" s="13" t="n">
        <f aca="false">(B147-C147)*Inputs!B2</f>
        <v>-0.01415</v>
      </c>
      <c r="E147" s="13" t="n">
        <f aca="false">4*Inputs!B2*Inputs!B4*Inputs!B3/10000</f>
        <v>0.001</v>
      </c>
      <c r="F147" s="13" t="n">
        <f aca="false">Inputs!B2*Inputs!B5/Inputs!B6</f>
        <v>0.000833333333333333</v>
      </c>
      <c r="G147" s="13" t="n">
        <f aca="false">D147-E147-F147</f>
        <v>-0.0159833333333333</v>
      </c>
      <c r="H147" s="4" t="n">
        <f aca="false">(1+G147)*H146</f>
        <v>2.53912319851558</v>
      </c>
      <c r="I147" s="4" t="n">
        <f aca="false">MAX(1,H$2:H147)</f>
        <v>2.86861393993292</v>
      </c>
      <c r="J147" s="13" t="n">
        <f aca="false">H147/I147-1</f>
        <v>-0.114860608055556</v>
      </c>
      <c r="K147" s="13" t="n">
        <f aca="false">Data!L147</f>
        <v>-0.0058</v>
      </c>
    </row>
    <row r="148" customFormat="false" ht="30" hidden="false" customHeight="true" outlineLevel="0" collapsed="false">
      <c r="A148" s="5" t="str">
        <f aca="false">Data!A148</f>
        <v>1975-03</v>
      </c>
      <c r="B148" s="12" t="n">
        <f aca="false">Data!K148</f>
        <v>0.071</v>
      </c>
      <c r="C148" s="12" t="n">
        <f aca="false">Data!B148</f>
        <v>0.0818</v>
      </c>
      <c r="D148" s="12" t="n">
        <f aca="false">(B148-C148)*Inputs!B2</f>
        <v>-0.0054</v>
      </c>
      <c r="E148" s="12" t="n">
        <f aca="false">4*Inputs!B2*Inputs!B4*Inputs!B3/10000</f>
        <v>0.001</v>
      </c>
      <c r="F148" s="12" t="n">
        <f aca="false">Inputs!B2*Inputs!B5/Inputs!B6</f>
        <v>0.000833333333333333</v>
      </c>
      <c r="G148" s="12" t="n">
        <f aca="false">D148-E148-F148</f>
        <v>-0.00723333333333334</v>
      </c>
      <c r="H148" s="5" t="n">
        <f aca="false">(1+G148)*H147</f>
        <v>2.52075687404632</v>
      </c>
      <c r="I148" s="5" t="n">
        <f aca="false">MAX(1,H$2:H148)</f>
        <v>2.86861393993292</v>
      </c>
      <c r="J148" s="12" t="n">
        <f aca="false">H148/I148-1</f>
        <v>-0.121263116323954</v>
      </c>
      <c r="K148" s="12" t="n">
        <f aca="false">Data!L148</f>
        <v>-0.0207</v>
      </c>
    </row>
    <row r="149" customFormat="false" ht="30" hidden="false" customHeight="true" outlineLevel="0" collapsed="false">
      <c r="A149" s="4" t="str">
        <f aca="false">Data!A149</f>
        <v>1975-04</v>
      </c>
      <c r="B149" s="13" t="n">
        <f aca="false">Data!K149</f>
        <v>0.0764</v>
      </c>
      <c r="C149" s="13" t="n">
        <f aca="false">Data!B149</f>
        <v>0.045</v>
      </c>
      <c r="D149" s="13" t="n">
        <f aca="false">(B149-C149)*Inputs!B2</f>
        <v>0.0157</v>
      </c>
      <c r="E149" s="13" t="n">
        <f aca="false">4*Inputs!B2*Inputs!B4*Inputs!B3/10000</f>
        <v>0.001</v>
      </c>
      <c r="F149" s="13" t="n">
        <f aca="false">Inputs!B2*Inputs!B5/Inputs!B6</f>
        <v>0.000833333333333333</v>
      </c>
      <c r="G149" s="13" t="n">
        <f aca="false">D149-E149-F149</f>
        <v>0.0138666666666667</v>
      </c>
      <c r="H149" s="4" t="n">
        <f aca="false">(1+G149)*H148</f>
        <v>2.55571136936643</v>
      </c>
      <c r="I149" s="4" t="n">
        <f aca="false">MAX(1,H$2:H149)</f>
        <v>2.86861393993292</v>
      </c>
      <c r="J149" s="13" t="n">
        <f aca="false">H149/I149-1</f>
        <v>-0.109077964870313</v>
      </c>
      <c r="K149" s="13" t="n">
        <f aca="false">Data!L149</f>
        <v>0.0152</v>
      </c>
    </row>
    <row r="150" customFormat="false" ht="30" hidden="false" customHeight="true" outlineLevel="0" collapsed="false">
      <c r="A150" s="5" t="str">
        <f aca="false">Data!A150</f>
        <v>1975-05</v>
      </c>
      <c r="B150" s="12" t="n">
        <f aca="false">Data!K150</f>
        <v>0.0493</v>
      </c>
      <c r="C150" s="12" t="n">
        <f aca="false">Data!B150</f>
        <v>0.0506</v>
      </c>
      <c r="D150" s="12" t="n">
        <f aca="false">(B150-C150)*Inputs!B2</f>
        <v>-0.000650000000000001</v>
      </c>
      <c r="E150" s="12" t="n">
        <f aca="false">4*Inputs!B2*Inputs!B4*Inputs!B3/10000</f>
        <v>0.001</v>
      </c>
      <c r="F150" s="12" t="n">
        <f aca="false">Inputs!B2*Inputs!B5/Inputs!B6</f>
        <v>0.000833333333333333</v>
      </c>
      <c r="G150" s="12" t="n">
        <f aca="false">D150-E150-F150</f>
        <v>-0.00248333333333334</v>
      </c>
      <c r="H150" s="5" t="n">
        <f aca="false">(1+G150)*H149</f>
        <v>2.5493646861325</v>
      </c>
      <c r="I150" s="5" t="n">
        <f aca="false">MAX(1,H$2:H150)</f>
        <v>2.86861393993292</v>
      </c>
      <c r="J150" s="12" t="n">
        <f aca="false">H150/I150-1</f>
        <v>-0.111290421257551</v>
      </c>
      <c r="K150" s="12" t="n">
        <f aca="false">Data!L150</f>
        <v>-0.0058</v>
      </c>
    </row>
    <row r="151" customFormat="false" ht="30" hidden="false" customHeight="true" outlineLevel="0" collapsed="false">
      <c r="A151" s="4" t="str">
        <f aca="false">Data!A151</f>
        <v>1975-06</v>
      </c>
      <c r="B151" s="13" t="n">
        <f aca="false">Data!K151</f>
        <v>0.0563</v>
      </c>
      <c r="C151" s="13" t="n">
        <f aca="false">Data!B151</f>
        <v>0.0646</v>
      </c>
      <c r="D151" s="13" t="n">
        <f aca="false">(B151-C151)*Inputs!B2</f>
        <v>-0.00415</v>
      </c>
      <c r="E151" s="13" t="n">
        <f aca="false">4*Inputs!B2*Inputs!B4*Inputs!B3/10000</f>
        <v>0.001</v>
      </c>
      <c r="F151" s="13" t="n">
        <f aca="false">Inputs!B2*Inputs!B5/Inputs!B6</f>
        <v>0.000833333333333333</v>
      </c>
      <c r="G151" s="13" t="n">
        <f aca="false">D151-E151-F151</f>
        <v>-0.00598333333333333</v>
      </c>
      <c r="H151" s="4" t="n">
        <f aca="false">(1+G151)*H150</f>
        <v>2.53411098742714</v>
      </c>
      <c r="I151" s="4" t="n">
        <f aca="false">MAX(1,H$2:H151)</f>
        <v>2.86861393993292</v>
      </c>
      <c r="J151" s="13" t="n">
        <f aca="false">H151/I151-1</f>
        <v>-0.116607866903693</v>
      </c>
      <c r="K151" s="13" t="n">
        <f aca="false">Data!L151</f>
        <v>-0.0005</v>
      </c>
    </row>
    <row r="152" customFormat="false" ht="30" hidden="false" customHeight="true" outlineLevel="0" collapsed="false">
      <c r="A152" s="5" t="str">
        <f aca="false">Data!A152</f>
        <v>1975-07</v>
      </c>
      <c r="B152" s="12" t="n">
        <f aca="false">Data!K152</f>
        <v>-0.0405</v>
      </c>
      <c r="C152" s="12" t="n">
        <f aca="false">Data!B152</f>
        <v>-0.0801</v>
      </c>
      <c r="D152" s="12" t="n">
        <f aca="false">(B152-C152)*Inputs!B2</f>
        <v>0.0198</v>
      </c>
      <c r="E152" s="12" t="n">
        <f aca="false">4*Inputs!B2*Inputs!B4*Inputs!B3/10000</f>
        <v>0.001</v>
      </c>
      <c r="F152" s="12" t="n">
        <f aca="false">Inputs!B2*Inputs!B5/Inputs!B6</f>
        <v>0.000833333333333333</v>
      </c>
      <c r="G152" s="12" t="n">
        <f aca="false">D152-E152-F152</f>
        <v>0.0179666666666667</v>
      </c>
      <c r="H152" s="5" t="n">
        <f aca="false">(1+G152)*H151</f>
        <v>2.57964051483458</v>
      </c>
      <c r="I152" s="5" t="n">
        <f aca="false">MAX(1,H$2:H152)</f>
        <v>2.86861393993292</v>
      </c>
      <c r="J152" s="12" t="n">
        <f aca="false">H152/I152-1</f>
        <v>-0.100736254912396</v>
      </c>
      <c r="K152" s="12" t="n">
        <f aca="false">Data!L152</f>
        <v>0.0035</v>
      </c>
    </row>
    <row r="153" customFormat="false" ht="30" hidden="false" customHeight="true" outlineLevel="0" collapsed="false">
      <c r="A153" s="4" t="str">
        <f aca="false">Data!A153</f>
        <v>1975-08</v>
      </c>
      <c r="B153" s="13" t="n">
        <f aca="false">Data!K153</f>
        <v>-0.0254</v>
      </c>
      <c r="C153" s="13" t="n">
        <f aca="false">Data!B153</f>
        <v>-0.0449</v>
      </c>
      <c r="D153" s="13" t="n">
        <f aca="false">(B153-C153)*Inputs!B2</f>
        <v>0.00975</v>
      </c>
      <c r="E153" s="13" t="n">
        <f aca="false">4*Inputs!B2*Inputs!B4*Inputs!B3/10000</f>
        <v>0.001</v>
      </c>
      <c r="F153" s="13" t="n">
        <f aca="false">Inputs!B2*Inputs!B5/Inputs!B6</f>
        <v>0.000833333333333333</v>
      </c>
      <c r="G153" s="13" t="n">
        <f aca="false">D153-E153-F153</f>
        <v>0.00791666666666667</v>
      </c>
      <c r="H153" s="4" t="n">
        <f aca="false">(1+G153)*H152</f>
        <v>2.60006266891036</v>
      </c>
      <c r="I153" s="4" t="n">
        <f aca="false">MAX(1,H$2:H153)</f>
        <v>2.86861393993292</v>
      </c>
      <c r="J153" s="13" t="n">
        <f aca="false">H153/I153-1</f>
        <v>-0.0936170835971197</v>
      </c>
      <c r="K153" s="13" t="n">
        <f aca="false">Data!L153</f>
        <v>-0.0016</v>
      </c>
    </row>
    <row r="154" customFormat="false" ht="30" hidden="false" customHeight="true" outlineLevel="0" collapsed="false">
      <c r="A154" s="5" t="str">
        <f aca="false">Data!A154</f>
        <v>1975-09</v>
      </c>
      <c r="B154" s="12" t="n">
        <f aca="false">Data!K154</f>
        <v>-0.0179</v>
      </c>
      <c r="C154" s="12" t="n">
        <f aca="false">Data!B154</f>
        <v>-0.0365</v>
      </c>
      <c r="D154" s="12" t="n">
        <f aca="false">(B154-C154)*Inputs!B2</f>
        <v>0.0093</v>
      </c>
      <c r="E154" s="12" t="n">
        <f aca="false">4*Inputs!B2*Inputs!B4*Inputs!B3/10000</f>
        <v>0.001</v>
      </c>
      <c r="F154" s="12" t="n">
        <f aca="false">Inputs!B2*Inputs!B5/Inputs!B6</f>
        <v>0.000833333333333333</v>
      </c>
      <c r="G154" s="12" t="n">
        <f aca="false">D154-E154-F154</f>
        <v>0.00746666666666667</v>
      </c>
      <c r="H154" s="5" t="n">
        <f aca="false">(1+G154)*H153</f>
        <v>2.61947647017155</v>
      </c>
      <c r="I154" s="5" t="n">
        <f aca="false">MAX(1,H$2:H154)</f>
        <v>2.86861393993292</v>
      </c>
      <c r="J154" s="12" t="n">
        <f aca="false">H154/I154-1</f>
        <v>-0.0868494244879782</v>
      </c>
      <c r="K154" s="12" t="n">
        <f aca="false">Data!L154</f>
        <v>0.004</v>
      </c>
    </row>
    <row r="155" customFormat="false" ht="30" hidden="false" customHeight="true" outlineLevel="0" collapsed="false">
      <c r="A155" s="4" t="str">
        <f aca="false">Data!A155</f>
        <v>1975-10</v>
      </c>
      <c r="B155" s="13" t="n">
        <f aca="false">Data!K155</f>
        <v>0.0318</v>
      </c>
      <c r="C155" s="13" t="n">
        <f aca="false">Data!B155</f>
        <v>0.0227</v>
      </c>
      <c r="D155" s="13" t="n">
        <f aca="false">(B155-C155)*Inputs!B2</f>
        <v>0.00455</v>
      </c>
      <c r="E155" s="13" t="n">
        <f aca="false">4*Inputs!B2*Inputs!B4*Inputs!B3/10000</f>
        <v>0.001</v>
      </c>
      <c r="F155" s="13" t="n">
        <f aca="false">Inputs!B2*Inputs!B5/Inputs!B6</f>
        <v>0.000833333333333333</v>
      </c>
      <c r="G155" s="13" t="n">
        <f aca="false">D155-E155-F155</f>
        <v>0.00271666666666667</v>
      </c>
      <c r="H155" s="4" t="n">
        <f aca="false">(1+G155)*H154</f>
        <v>2.62659271458219</v>
      </c>
      <c r="I155" s="4" t="n">
        <f aca="false">MAX(1,H$2:H155)</f>
        <v>2.86861393993292</v>
      </c>
      <c r="J155" s="13" t="n">
        <f aca="false">H155/I155-1</f>
        <v>-0.084368698757837</v>
      </c>
      <c r="K155" s="13" t="n">
        <f aca="false">Data!L155</f>
        <v>-0.0022</v>
      </c>
    </row>
    <row r="156" customFormat="false" ht="30" hidden="false" customHeight="true" outlineLevel="0" collapsed="false">
      <c r="A156" s="5" t="str">
        <f aca="false">Data!A156</f>
        <v>1975-11</v>
      </c>
      <c r="B156" s="12" t="n">
        <f aca="false">Data!K156</f>
        <v>0.0158</v>
      </c>
      <c r="C156" s="12" t="n">
        <f aca="false">Data!B156</f>
        <v>0.0328</v>
      </c>
      <c r="D156" s="12" t="n">
        <f aca="false">(B156-C156)*Inputs!B2</f>
        <v>-0.0085</v>
      </c>
      <c r="E156" s="12" t="n">
        <f aca="false">4*Inputs!B2*Inputs!B4*Inputs!B3/10000</f>
        <v>0.001</v>
      </c>
      <c r="F156" s="12" t="n">
        <f aca="false">Inputs!B2*Inputs!B5/Inputs!B6</f>
        <v>0.000833333333333333</v>
      </c>
      <c r="G156" s="12" t="n">
        <f aca="false">D156-E156-F156</f>
        <v>-0.0103333333333333</v>
      </c>
      <c r="H156" s="5" t="n">
        <f aca="false">(1+G156)*H155</f>
        <v>2.5994512565315</v>
      </c>
      <c r="I156" s="5" t="n">
        <f aca="false">MAX(1,H$2:H156)</f>
        <v>2.86861393993292</v>
      </c>
      <c r="J156" s="12" t="n">
        <f aca="false">H156/I156-1</f>
        <v>-0.0938302222040061</v>
      </c>
      <c r="K156" s="12" t="n">
        <f aca="false">Data!L156</f>
        <v>-0.005</v>
      </c>
    </row>
    <row r="157" customFormat="false" ht="30" hidden="false" customHeight="true" outlineLevel="0" collapsed="false">
      <c r="A157" s="4" t="str">
        <f aca="false">Data!A157</f>
        <v>1975-12</v>
      </c>
      <c r="B157" s="13" t="n">
        <f aca="false">Data!K157</f>
        <v>-0.0126</v>
      </c>
      <c r="C157" s="13" t="n">
        <f aca="false">Data!B157</f>
        <v>-0.013</v>
      </c>
      <c r="D157" s="13" t="n">
        <f aca="false">(B157-C157)*Inputs!B2</f>
        <v>0.0002</v>
      </c>
      <c r="E157" s="13" t="n">
        <f aca="false">4*Inputs!B2*Inputs!B4*Inputs!B3/10000</f>
        <v>0.001</v>
      </c>
      <c r="F157" s="13" t="n">
        <f aca="false">Inputs!B2*Inputs!B5/Inputs!B6</f>
        <v>0.000833333333333333</v>
      </c>
      <c r="G157" s="13" t="n">
        <f aca="false">D157-E157-F157</f>
        <v>-0.00163333333333333</v>
      </c>
      <c r="H157" s="4" t="n">
        <f aca="false">(1+G157)*H156</f>
        <v>2.59520548614584</v>
      </c>
      <c r="I157" s="4" t="n">
        <f aca="false">MAX(1,H$2:H157)</f>
        <v>2.86861393993292</v>
      </c>
      <c r="J157" s="13" t="n">
        <f aca="false">H157/I157-1</f>
        <v>-0.0953102995077396</v>
      </c>
      <c r="K157" s="13" t="n">
        <f aca="false">Data!L157</f>
        <v>-0.001</v>
      </c>
    </row>
    <row r="158" customFormat="false" ht="30" hidden="false" customHeight="true" outlineLevel="0" collapsed="false">
      <c r="A158" s="5" t="str">
        <f aca="false">Data!A158</f>
        <v>1976-01</v>
      </c>
      <c r="B158" s="12" t="n">
        <f aca="false">Data!K158</f>
        <v>0.1899</v>
      </c>
      <c r="C158" s="12" t="n">
        <f aca="false">Data!B158</f>
        <v>0.0988</v>
      </c>
      <c r="D158" s="12" t="n">
        <f aca="false">(B158-C158)*Inputs!B2</f>
        <v>0.04555</v>
      </c>
      <c r="E158" s="12" t="n">
        <f aca="false">4*Inputs!B2*Inputs!B4*Inputs!B3/10000</f>
        <v>0.001</v>
      </c>
      <c r="F158" s="12" t="n">
        <f aca="false">Inputs!B2*Inputs!B5/Inputs!B6</f>
        <v>0.000833333333333333</v>
      </c>
      <c r="G158" s="12" t="n">
        <f aca="false">D158-E158-F158</f>
        <v>0.0437166666666667</v>
      </c>
      <c r="H158" s="5" t="n">
        <f aca="false">(1+G158)*H157</f>
        <v>2.70865921931518</v>
      </c>
      <c r="I158" s="5" t="n">
        <f aca="false">MAX(1,H$2:H158)</f>
        <v>2.86861393993292</v>
      </c>
      <c r="J158" s="12" t="n">
        <f aca="false">H158/I158-1</f>
        <v>-0.055760281434553</v>
      </c>
      <c r="K158" s="12" t="n">
        <f aca="false">Data!L158</f>
        <v>0.0439</v>
      </c>
    </row>
    <row r="159" customFormat="false" ht="30" hidden="false" customHeight="true" outlineLevel="0" collapsed="false">
      <c r="A159" s="4" t="str">
        <f aca="false">Data!A159</f>
        <v>1976-02</v>
      </c>
      <c r="B159" s="13" t="n">
        <f aca="false">Data!K159</f>
        <v>0.0528</v>
      </c>
      <c r="C159" s="13" t="n">
        <f aca="false">Data!B159</f>
        <v>0.0245</v>
      </c>
      <c r="D159" s="13" t="n">
        <f aca="false">(B159-C159)*Inputs!B2</f>
        <v>0.01415</v>
      </c>
      <c r="E159" s="13" t="n">
        <f aca="false">4*Inputs!B2*Inputs!B4*Inputs!B3/10000</f>
        <v>0.001</v>
      </c>
      <c r="F159" s="13" t="n">
        <f aca="false">Inputs!B2*Inputs!B5/Inputs!B6</f>
        <v>0.000833333333333333</v>
      </c>
      <c r="G159" s="13" t="n">
        <f aca="false">D159-E159-F159</f>
        <v>0.0123166666666667</v>
      </c>
      <c r="H159" s="4" t="n">
        <f aca="false">(1+G159)*H158</f>
        <v>2.74202087203308</v>
      </c>
      <c r="I159" s="4" t="n">
        <f aca="false">MAX(1,H$2:H159)</f>
        <v>2.86861393993292</v>
      </c>
      <c r="J159" s="13" t="n">
        <f aca="false">H159/I159-1</f>
        <v>-0.0441303955675551</v>
      </c>
      <c r="K159" s="13" t="n">
        <f aca="false">Data!L159</f>
        <v>0.0038</v>
      </c>
    </row>
    <row r="160" customFormat="false" ht="30" hidden="false" customHeight="true" outlineLevel="0" collapsed="false">
      <c r="A160" s="5" t="str">
        <f aca="false">Data!A160</f>
        <v>1976-03</v>
      </c>
      <c r="B160" s="12" t="n">
        <f aca="false">Data!K160</f>
        <v>0.0082</v>
      </c>
      <c r="C160" s="12" t="n">
        <f aca="false">Data!B160</f>
        <v>0.0141</v>
      </c>
      <c r="D160" s="12" t="n">
        <f aca="false">(B160-C160)*Inputs!B2</f>
        <v>-0.00295</v>
      </c>
      <c r="E160" s="12" t="n">
        <f aca="false">4*Inputs!B2*Inputs!B4*Inputs!B3/10000</f>
        <v>0.001</v>
      </c>
      <c r="F160" s="12" t="n">
        <f aca="false">Inputs!B2*Inputs!B5/Inputs!B6</f>
        <v>0.000833333333333333</v>
      </c>
      <c r="G160" s="12" t="n">
        <f aca="false">D160-E160-F160</f>
        <v>-0.00478333333333333</v>
      </c>
      <c r="H160" s="5" t="n">
        <f aca="false">(1+G160)*H159</f>
        <v>2.72890487219519</v>
      </c>
      <c r="I160" s="5" t="n">
        <f aca="false">MAX(1,H$2:H160)</f>
        <v>2.86861393993292</v>
      </c>
      <c r="J160" s="12" t="n">
        <f aca="false">H160/I160-1</f>
        <v>-0.0487026385087569</v>
      </c>
      <c r="K160" s="12" t="n">
        <f aca="false">Data!L160</f>
        <v>0.0023</v>
      </c>
    </row>
    <row r="161" customFormat="false" ht="30" hidden="false" customHeight="true" outlineLevel="0" collapsed="false">
      <c r="A161" s="4" t="str">
        <f aca="false">Data!A161</f>
        <v>1976-04</v>
      </c>
      <c r="B161" s="13" t="n">
        <f aca="false">Data!K161</f>
        <v>-0.0257</v>
      </c>
      <c r="C161" s="13" t="n">
        <f aca="false">Data!B161</f>
        <v>-0.0314</v>
      </c>
      <c r="D161" s="13" t="n">
        <f aca="false">(B161-C161)*Inputs!B2</f>
        <v>0.00285</v>
      </c>
      <c r="E161" s="13" t="n">
        <f aca="false">4*Inputs!B2*Inputs!B4*Inputs!B3/10000</f>
        <v>0.001</v>
      </c>
      <c r="F161" s="13" t="n">
        <f aca="false">Inputs!B2*Inputs!B5/Inputs!B6</f>
        <v>0.000833333333333333</v>
      </c>
      <c r="G161" s="13" t="n">
        <f aca="false">D161-E161-F161</f>
        <v>0.00101666666666666</v>
      </c>
      <c r="H161" s="4" t="n">
        <f aca="false">(1+G161)*H160</f>
        <v>2.73167925881525</v>
      </c>
      <c r="I161" s="4" t="n">
        <f aca="false">MAX(1,H$2:H161)</f>
        <v>2.86861393993292</v>
      </c>
      <c r="J161" s="13" t="n">
        <f aca="false">H161/I161-1</f>
        <v>-0.0477354861912409</v>
      </c>
      <c r="K161" s="13" t="n">
        <f aca="false">Data!L161</f>
        <v>0.0053</v>
      </c>
    </row>
    <row r="162" customFormat="false" ht="30" hidden="false" customHeight="true" outlineLevel="0" collapsed="false">
      <c r="A162" s="5" t="str">
        <f aca="false">Data!A162</f>
        <v>1976-05</v>
      </c>
      <c r="B162" s="12" t="n">
        <f aca="false">Data!K162</f>
        <v>-0.0255</v>
      </c>
      <c r="C162" s="12" t="n">
        <f aca="false">Data!B162</f>
        <v>0.0017</v>
      </c>
      <c r="D162" s="12" t="n">
        <f aca="false">(B162-C162)*Inputs!B2</f>
        <v>-0.0136</v>
      </c>
      <c r="E162" s="12" t="n">
        <f aca="false">4*Inputs!B2*Inputs!B4*Inputs!B3/10000</f>
        <v>0.001</v>
      </c>
      <c r="F162" s="12" t="n">
        <f aca="false">Inputs!B2*Inputs!B5/Inputs!B6</f>
        <v>0.000833333333333333</v>
      </c>
      <c r="G162" s="12" t="n">
        <f aca="false">D162-E162-F162</f>
        <v>-0.0154333333333333</v>
      </c>
      <c r="H162" s="5" t="n">
        <f aca="false">(1+G162)*H161</f>
        <v>2.6895203422542</v>
      </c>
      <c r="I162" s="5" t="n">
        <f aca="false">MAX(1,H$2:H162)</f>
        <v>2.86861393993292</v>
      </c>
      <c r="J162" s="12" t="n">
        <f aca="false">H162/I162-1</f>
        <v>-0.062432101854356</v>
      </c>
      <c r="K162" s="12" t="n">
        <f aca="false">Data!L162</f>
        <v>-0.0106</v>
      </c>
    </row>
    <row r="163" customFormat="false" ht="30" hidden="false" customHeight="true" outlineLevel="0" collapsed="false">
      <c r="A163" s="4" t="str">
        <f aca="false">Data!A163</f>
        <v>1976-06</v>
      </c>
      <c r="B163" s="13" t="n">
        <f aca="false">Data!K163</f>
        <v>0.0458</v>
      </c>
      <c r="C163" s="13" t="n">
        <f aca="false">Data!B163</f>
        <v>0.0698</v>
      </c>
      <c r="D163" s="13" t="n">
        <f aca="false">(B163-C163)*Inputs!B2</f>
        <v>-0.012</v>
      </c>
      <c r="E163" s="13" t="n">
        <f aca="false">4*Inputs!B2*Inputs!B4*Inputs!B3/10000</f>
        <v>0.001</v>
      </c>
      <c r="F163" s="13" t="n">
        <f aca="false">Inputs!B2*Inputs!B5/Inputs!B6</f>
        <v>0.000833333333333333</v>
      </c>
      <c r="G163" s="13" t="n">
        <f aca="false">D163-E163-F163</f>
        <v>-0.0138333333333333</v>
      </c>
      <c r="H163" s="4" t="n">
        <f aca="false">(1+G163)*H162</f>
        <v>2.65231531085302</v>
      </c>
      <c r="I163" s="4" t="n">
        <f aca="false">MAX(1,H$2:H163)</f>
        <v>2.86861393993292</v>
      </c>
      <c r="J163" s="13" t="n">
        <f aca="false">H163/I163-1</f>
        <v>-0.0754017911120375</v>
      </c>
      <c r="K163" s="13" t="n">
        <f aca="false">Data!L163</f>
        <v>-0.0044</v>
      </c>
    </row>
    <row r="164" customFormat="false" ht="30" hidden="false" customHeight="true" outlineLevel="0" collapsed="false">
      <c r="A164" s="5" t="str">
        <f aca="false">Data!A164</f>
        <v>1976-07</v>
      </c>
      <c r="B164" s="12" t="n">
        <f aca="false">Data!K164</f>
        <v>-0.0112</v>
      </c>
      <c r="C164" s="12" t="n">
        <f aca="false">Data!B164</f>
        <v>-0.0099</v>
      </c>
      <c r="D164" s="12" t="n">
        <f aca="false">(B164-C164)*Inputs!B2</f>
        <v>-0.00065</v>
      </c>
      <c r="E164" s="12" t="n">
        <f aca="false">4*Inputs!B2*Inputs!B4*Inputs!B3/10000</f>
        <v>0.001</v>
      </c>
      <c r="F164" s="12" t="n">
        <f aca="false">Inputs!B2*Inputs!B5/Inputs!B6</f>
        <v>0.000833333333333333</v>
      </c>
      <c r="G164" s="12" t="n">
        <f aca="false">D164-E164-F164</f>
        <v>-0.00248333333333333</v>
      </c>
      <c r="H164" s="5" t="n">
        <f aca="false">(1+G164)*H163</f>
        <v>2.64572872783107</v>
      </c>
      <c r="I164" s="5" t="n">
        <f aca="false">MAX(1,H$2:H164)</f>
        <v>2.86861393993292</v>
      </c>
      <c r="J164" s="12" t="n">
        <f aca="false">H164/I164-1</f>
        <v>-0.0776978766641092</v>
      </c>
      <c r="K164" s="12" t="n">
        <f aca="false">Data!L164</f>
        <v>-0.0015</v>
      </c>
    </row>
    <row r="165" customFormat="false" ht="30" hidden="false" customHeight="true" outlineLevel="0" collapsed="false">
      <c r="A165" s="4" t="str">
        <f aca="false">Data!A165</f>
        <v>1976-08</v>
      </c>
      <c r="B165" s="13" t="n">
        <f aca="false">Data!K165</f>
        <v>-0.022</v>
      </c>
      <c r="C165" s="13" t="n">
        <f aca="false">Data!B165</f>
        <v>-0.0155</v>
      </c>
      <c r="D165" s="13" t="n">
        <f aca="false">(B165-C165)*Inputs!B2</f>
        <v>-0.00325</v>
      </c>
      <c r="E165" s="13" t="n">
        <f aca="false">4*Inputs!B2*Inputs!B4*Inputs!B3/10000</f>
        <v>0.001</v>
      </c>
      <c r="F165" s="13" t="n">
        <f aca="false">Inputs!B2*Inputs!B5/Inputs!B6</f>
        <v>0.000833333333333333</v>
      </c>
      <c r="G165" s="13" t="n">
        <f aca="false">D165-E165-F165</f>
        <v>-0.00508333333333333</v>
      </c>
      <c r="H165" s="4" t="n">
        <f aca="false">(1+G165)*H164</f>
        <v>2.63227960679793</v>
      </c>
      <c r="I165" s="4" t="n">
        <f aca="false">MAX(1,H$2:H165)</f>
        <v>2.86861393993292</v>
      </c>
      <c r="J165" s="13" t="n">
        <f aca="false">H165/I165-1</f>
        <v>-0.0823862457910667</v>
      </c>
      <c r="K165" s="13" t="n">
        <f aca="false">Data!L165</f>
        <v>-0.0078</v>
      </c>
    </row>
    <row r="166" customFormat="false" ht="30" hidden="false" customHeight="true" outlineLevel="0" collapsed="false">
      <c r="A166" s="5" t="str">
        <f aca="false">Data!A166</f>
        <v>1976-09</v>
      </c>
      <c r="B166" s="12" t="n">
        <f aca="false">Data!K166</f>
        <v>0.0264</v>
      </c>
      <c r="C166" s="12" t="n">
        <f aca="false">Data!B166</f>
        <v>0.0185</v>
      </c>
      <c r="D166" s="12" t="n">
        <f aca="false">(B166-C166)*Inputs!B2</f>
        <v>0.00395</v>
      </c>
      <c r="E166" s="12" t="n">
        <f aca="false">4*Inputs!B2*Inputs!B4*Inputs!B3/10000</f>
        <v>0.001</v>
      </c>
      <c r="F166" s="12" t="n">
        <f aca="false">Inputs!B2*Inputs!B5/Inputs!B6</f>
        <v>0.000833333333333333</v>
      </c>
      <c r="G166" s="12" t="n">
        <f aca="false">D166-E166-F166</f>
        <v>0.00211666666666667</v>
      </c>
      <c r="H166" s="5" t="n">
        <f aca="false">(1+G166)*H165</f>
        <v>2.63785126529898</v>
      </c>
      <c r="I166" s="5" t="n">
        <f aca="false">MAX(1,H$2:H166)</f>
        <v>2.86861393993292</v>
      </c>
      <c r="J166" s="12" t="n">
        <f aca="false">H166/I166-1</f>
        <v>-0.0804439633446578</v>
      </c>
      <c r="K166" s="12" t="n">
        <f aca="false">Data!L166</f>
        <v>0.002</v>
      </c>
    </row>
    <row r="167" customFormat="false" ht="30" hidden="false" customHeight="true" outlineLevel="0" collapsed="false">
      <c r="A167" s="4" t="str">
        <f aca="false">Data!A167</f>
        <v>1976-10</v>
      </c>
      <c r="B167" s="13" t="n">
        <f aca="false">Data!K167</f>
        <v>-0.0357</v>
      </c>
      <c r="C167" s="13" t="n">
        <f aca="false">Data!B167</f>
        <v>-0.0363</v>
      </c>
      <c r="D167" s="13" t="n">
        <f aca="false">(B167-C167)*Inputs!B2</f>
        <v>0.000299999999999998</v>
      </c>
      <c r="E167" s="13" t="n">
        <f aca="false">4*Inputs!B2*Inputs!B4*Inputs!B3/10000</f>
        <v>0.001</v>
      </c>
      <c r="F167" s="13" t="n">
        <f aca="false">Inputs!B2*Inputs!B5/Inputs!B6</f>
        <v>0.000833333333333333</v>
      </c>
      <c r="G167" s="13" t="n">
        <f aca="false">D167-E167-F167</f>
        <v>-0.00153333333333334</v>
      </c>
      <c r="H167" s="4" t="n">
        <f aca="false">(1+G167)*H166</f>
        <v>2.63380656002552</v>
      </c>
      <c r="I167" s="4" t="n">
        <f aca="false">MAX(1,H$2:H167)</f>
        <v>2.86861393993292</v>
      </c>
      <c r="J167" s="13" t="n">
        <f aca="false">H167/I167-1</f>
        <v>-0.0818539492675293</v>
      </c>
      <c r="K167" s="13" t="n">
        <f aca="false">Data!L167</f>
        <v>-0.0042</v>
      </c>
    </row>
    <row r="168" customFormat="false" ht="30" hidden="false" customHeight="true" outlineLevel="0" collapsed="false">
      <c r="A168" s="5" t="str">
        <f aca="false">Data!A168</f>
        <v>1976-11</v>
      </c>
      <c r="B168" s="12" t="n">
        <f aca="false">Data!K168</f>
        <v>0.0336</v>
      </c>
      <c r="C168" s="12" t="n">
        <f aca="false">Data!B168</f>
        <v>-0.0007</v>
      </c>
      <c r="D168" s="12" t="n">
        <f aca="false">(B168-C168)*Inputs!B2</f>
        <v>0.01715</v>
      </c>
      <c r="E168" s="12" t="n">
        <f aca="false">4*Inputs!B2*Inputs!B4*Inputs!B3/10000</f>
        <v>0.001</v>
      </c>
      <c r="F168" s="12" t="n">
        <f aca="false">Inputs!B2*Inputs!B5/Inputs!B6</f>
        <v>0.000833333333333333</v>
      </c>
      <c r="G168" s="12" t="n">
        <f aca="false">D168-E168-F168</f>
        <v>0.0153166666666667</v>
      </c>
      <c r="H168" s="5" t="n">
        <f aca="false">(1+G168)*H167</f>
        <v>2.67414769716991</v>
      </c>
      <c r="I168" s="5" t="n">
        <f aca="false">MAX(1,H$2:H168)</f>
        <v>2.86861393993292</v>
      </c>
      <c r="J168" s="12" t="n">
        <f aca="false">H168/I168-1</f>
        <v>-0.0677910122571438</v>
      </c>
      <c r="K168" s="12" t="n">
        <f aca="false">Data!L168</f>
        <v>0.0281</v>
      </c>
    </row>
    <row r="169" customFormat="false" ht="30" hidden="false" customHeight="true" outlineLevel="0" collapsed="false">
      <c r="A169" s="4" t="str">
        <f aca="false">Data!A169</f>
        <v>1976-12</v>
      </c>
      <c r="B169" s="13" t="n">
        <f aca="false">Data!K169</f>
        <v>0.0825</v>
      </c>
      <c r="C169" s="13" t="n">
        <f aca="false">Data!B169</f>
        <v>0.0508</v>
      </c>
      <c r="D169" s="13" t="n">
        <f aca="false">(B169-C169)*Inputs!B2</f>
        <v>0.01585</v>
      </c>
      <c r="E169" s="13" t="n">
        <f aca="false">4*Inputs!B2*Inputs!B4*Inputs!B3/10000</f>
        <v>0.001</v>
      </c>
      <c r="F169" s="13" t="n">
        <f aca="false">Inputs!B2*Inputs!B5/Inputs!B6</f>
        <v>0.000833333333333333</v>
      </c>
      <c r="G169" s="13" t="n">
        <f aca="false">D169-E169-F169</f>
        <v>0.0140166666666667</v>
      </c>
      <c r="H169" s="4" t="n">
        <f aca="false">(1+G169)*H168</f>
        <v>2.71163033405858</v>
      </c>
      <c r="I169" s="4" t="n">
        <f aca="false">MAX(1,H$2:H169)</f>
        <v>2.86861393993292</v>
      </c>
      <c r="J169" s="13" t="n">
        <f aca="false">H169/I169-1</f>
        <v>-0.0547245496122815</v>
      </c>
      <c r="K169" s="13" t="n">
        <f aca="false">Data!L169</f>
        <v>0.0075</v>
      </c>
    </row>
    <row r="170" customFormat="false" ht="30" hidden="false" customHeight="true" outlineLevel="0" collapsed="false">
      <c r="A170" s="5" t="str">
        <f aca="false">Data!A170</f>
        <v>1977-01</v>
      </c>
      <c r="B170" s="12" t="n">
        <f aca="false">Data!K170</f>
        <v>0.0244</v>
      </c>
      <c r="C170" s="12" t="n">
        <f aca="false">Data!B170</f>
        <v>-0.0938</v>
      </c>
      <c r="D170" s="12" t="n">
        <f aca="false">(B170-C170)*Inputs!B2</f>
        <v>0.0591</v>
      </c>
      <c r="E170" s="12" t="n">
        <f aca="false">4*Inputs!B2*Inputs!B4*Inputs!B3/10000</f>
        <v>0.001</v>
      </c>
      <c r="F170" s="12" t="n">
        <f aca="false">Inputs!B2*Inputs!B5/Inputs!B6</f>
        <v>0.000833333333333333</v>
      </c>
      <c r="G170" s="12" t="n">
        <f aca="false">D170-E170-F170</f>
        <v>0.0572666666666667</v>
      </c>
      <c r="H170" s="5" t="n">
        <f aca="false">(1+G170)*H169</f>
        <v>2.86691636452233</v>
      </c>
      <c r="I170" s="5" t="n">
        <f aca="false">MAX(1,H$2:H170)</f>
        <v>2.86861393993292</v>
      </c>
      <c r="J170" s="12" t="n">
        <f aca="false">H170/I170-1</f>
        <v>-0.000591775486744828</v>
      </c>
      <c r="K170" s="12" t="n">
        <f aca="false">Data!L170</f>
        <v>0.0405</v>
      </c>
    </row>
    <row r="171" customFormat="false" ht="30" hidden="false" customHeight="true" outlineLevel="0" collapsed="false">
      <c r="A171" s="4" t="str">
        <f aca="false">Data!A171</f>
        <v>1977-02</v>
      </c>
      <c r="B171" s="13" t="n">
        <f aca="false">Data!K171</f>
        <v>-0.0195</v>
      </c>
      <c r="C171" s="13" t="n">
        <f aca="false">Data!B171</f>
        <v>-0.0179</v>
      </c>
      <c r="D171" s="13" t="n">
        <f aca="false">(B171-C171)*Inputs!B2</f>
        <v>-0.0008</v>
      </c>
      <c r="E171" s="13" t="n">
        <f aca="false">4*Inputs!B2*Inputs!B4*Inputs!B3/10000</f>
        <v>0.001</v>
      </c>
      <c r="F171" s="13" t="n">
        <f aca="false">Inputs!B2*Inputs!B5/Inputs!B6</f>
        <v>0.000833333333333333</v>
      </c>
      <c r="G171" s="13" t="n">
        <f aca="false">D171-E171-F171</f>
        <v>-0.00263333333333333</v>
      </c>
      <c r="H171" s="4" t="n">
        <f aca="false">(1+G171)*H170</f>
        <v>2.85936681809576</v>
      </c>
      <c r="I171" s="4" t="n">
        <f aca="false">MAX(1,H$2:H171)</f>
        <v>2.86861393993292</v>
      </c>
      <c r="J171" s="13" t="n">
        <f aca="false">H171/I171-1</f>
        <v>-0.00322355047796308</v>
      </c>
      <c r="K171" s="13" t="n">
        <f aca="false">Data!L171</f>
        <v>0.0035</v>
      </c>
    </row>
    <row r="172" customFormat="false" ht="30" hidden="false" customHeight="true" outlineLevel="0" collapsed="false">
      <c r="A172" s="5" t="str">
        <f aca="false">Data!A172</f>
        <v>1977-03</v>
      </c>
      <c r="B172" s="12" t="n">
        <f aca="false">Data!K172</f>
        <v>-0.0063</v>
      </c>
      <c r="C172" s="12" t="n">
        <f aca="false">Data!B172</f>
        <v>-0.028</v>
      </c>
      <c r="D172" s="12" t="n">
        <f aca="false">(B172-C172)*Inputs!B2</f>
        <v>0.01085</v>
      </c>
      <c r="E172" s="12" t="n">
        <f aca="false">4*Inputs!B2*Inputs!B4*Inputs!B3/10000</f>
        <v>0.001</v>
      </c>
      <c r="F172" s="12" t="n">
        <f aca="false">Inputs!B2*Inputs!B5/Inputs!B6</f>
        <v>0.000833333333333333</v>
      </c>
      <c r="G172" s="12" t="n">
        <f aca="false">D172-E172-F172</f>
        <v>0.00901666666666667</v>
      </c>
      <c r="H172" s="5" t="n">
        <f aca="false">(1+G172)*H171</f>
        <v>2.88514877557225</v>
      </c>
      <c r="I172" s="5" t="n">
        <f aca="false">MAX(1,H$2:H172)</f>
        <v>2.88514877557225</v>
      </c>
      <c r="J172" s="12" t="n">
        <f aca="false">H172/I172-1</f>
        <v>0</v>
      </c>
      <c r="K172" s="12" t="n">
        <f aca="false">Data!L172</f>
        <v>0.0068</v>
      </c>
    </row>
    <row r="173" customFormat="false" ht="30" hidden="false" customHeight="true" outlineLevel="0" collapsed="false">
      <c r="A173" s="4" t="str">
        <f aca="false">Data!A173</f>
        <v>1977-04</v>
      </c>
      <c r="B173" s="13" t="n">
        <f aca="false">Data!K173</f>
        <v>0.0395</v>
      </c>
      <c r="C173" s="13" t="n">
        <f aca="false">Data!B173</f>
        <v>-0.0412</v>
      </c>
      <c r="D173" s="13" t="n">
        <f aca="false">(B173-C173)*Inputs!B2</f>
        <v>0.04035</v>
      </c>
      <c r="E173" s="13" t="n">
        <f aca="false">4*Inputs!B2*Inputs!B4*Inputs!B3/10000</f>
        <v>0.001</v>
      </c>
      <c r="F173" s="13" t="n">
        <f aca="false">Inputs!B2*Inputs!B5/Inputs!B6</f>
        <v>0.000833333333333333</v>
      </c>
      <c r="G173" s="13" t="n">
        <f aca="false">D173-E173-F173</f>
        <v>0.0385166666666667</v>
      </c>
      <c r="H173" s="4" t="n">
        <f aca="false">(1+G173)*H172</f>
        <v>2.99627508924471</v>
      </c>
      <c r="I173" s="4" t="n">
        <f aca="false">MAX(1,H$2:H173)</f>
        <v>2.99627508924471</v>
      </c>
      <c r="J173" s="13" t="n">
        <f aca="false">H173/I173-1</f>
        <v>0</v>
      </c>
      <c r="K173" s="13" t="n">
        <f aca="false">Data!L173</f>
        <v>0.0419</v>
      </c>
    </row>
    <row r="174" customFormat="false" ht="30" hidden="false" customHeight="true" outlineLevel="0" collapsed="false">
      <c r="A174" s="5" t="str">
        <f aca="false">Data!A174</f>
        <v>1977-05</v>
      </c>
      <c r="B174" s="12" t="n">
        <f aca="false">Data!K174</f>
        <v>0.0052</v>
      </c>
      <c r="C174" s="12" t="n">
        <f aca="false">Data!B174</f>
        <v>-0.0241</v>
      </c>
      <c r="D174" s="12" t="n">
        <f aca="false">(B174-C174)*Inputs!B2</f>
        <v>0.01465</v>
      </c>
      <c r="E174" s="12" t="n">
        <f aca="false">4*Inputs!B2*Inputs!B4*Inputs!B3/10000</f>
        <v>0.001</v>
      </c>
      <c r="F174" s="12" t="n">
        <f aca="false">Inputs!B2*Inputs!B5/Inputs!B6</f>
        <v>0.000833333333333333</v>
      </c>
      <c r="G174" s="12" t="n">
        <f aca="false">D174-E174-F174</f>
        <v>0.0128166666666667</v>
      </c>
      <c r="H174" s="5" t="n">
        <f aca="false">(1+G174)*H173</f>
        <v>3.0346773483052</v>
      </c>
      <c r="I174" s="5" t="n">
        <f aca="false">MAX(1,H$2:H174)</f>
        <v>3.0346773483052</v>
      </c>
      <c r="J174" s="12" t="n">
        <f aca="false">H174/I174-1</f>
        <v>0</v>
      </c>
      <c r="K174" s="12" t="n">
        <f aca="false">Data!L174</f>
        <v>0.0201</v>
      </c>
    </row>
    <row r="175" customFormat="false" ht="30" hidden="false" customHeight="true" outlineLevel="0" collapsed="false">
      <c r="A175" s="4" t="str">
        <f aca="false">Data!A175</f>
        <v>1977-06</v>
      </c>
      <c r="B175" s="13" t="n">
        <f aca="false">Data!K175</f>
        <v>0.0694</v>
      </c>
      <c r="C175" s="13" t="n">
        <f aca="false">Data!B175</f>
        <v>0.0588</v>
      </c>
      <c r="D175" s="13" t="n">
        <f aca="false">(B175-C175)*Inputs!B2</f>
        <v>0.0053</v>
      </c>
      <c r="E175" s="13" t="n">
        <f aca="false">4*Inputs!B2*Inputs!B4*Inputs!B3/10000</f>
        <v>0.001</v>
      </c>
      <c r="F175" s="13" t="n">
        <f aca="false">Inputs!B2*Inputs!B5/Inputs!B6</f>
        <v>0.000833333333333333</v>
      </c>
      <c r="G175" s="13" t="n">
        <f aca="false">D175-E175-F175</f>
        <v>0.00346666666666667</v>
      </c>
      <c r="H175" s="4" t="n">
        <f aca="false">(1+G175)*H174</f>
        <v>3.04519756311266</v>
      </c>
      <c r="I175" s="4" t="n">
        <f aca="false">MAX(1,H$2:H175)</f>
        <v>3.04519756311266</v>
      </c>
      <c r="J175" s="13" t="n">
        <f aca="false">H175/I175-1</f>
        <v>0</v>
      </c>
      <c r="K175" s="13" t="n">
        <f aca="false">Data!L175</f>
        <v>0.016</v>
      </c>
    </row>
    <row r="176" customFormat="false" ht="30" hidden="false" customHeight="true" outlineLevel="0" collapsed="false">
      <c r="A176" s="5" t="str">
        <f aca="false">Data!A176</f>
        <v>1977-07</v>
      </c>
      <c r="B176" s="12" t="n">
        <f aca="false">Data!K176</f>
        <v>-0.0106</v>
      </c>
      <c r="C176" s="12" t="n">
        <f aca="false">Data!B176</f>
        <v>-0.0219</v>
      </c>
      <c r="D176" s="12" t="n">
        <f aca="false">(B176-C176)*Inputs!B2</f>
        <v>0.00565</v>
      </c>
      <c r="E176" s="12" t="n">
        <f aca="false">4*Inputs!B2*Inputs!B4*Inputs!B3/10000</f>
        <v>0.001</v>
      </c>
      <c r="F176" s="12" t="n">
        <f aca="false">Inputs!B2*Inputs!B5/Inputs!B6</f>
        <v>0.000833333333333333</v>
      </c>
      <c r="G176" s="12" t="n">
        <f aca="false">D176-E176-F176</f>
        <v>0.00381666666666667</v>
      </c>
      <c r="H176" s="5" t="n">
        <f aca="false">(1+G176)*H175</f>
        <v>3.0568200671452</v>
      </c>
      <c r="I176" s="5" t="n">
        <f aca="false">MAX(1,H$2:H176)</f>
        <v>3.0568200671452</v>
      </c>
      <c r="J176" s="12" t="n">
        <f aca="false">H176/I176-1</f>
        <v>0</v>
      </c>
      <c r="K176" s="12" t="n">
        <f aca="false">Data!L176</f>
        <v>0.004</v>
      </c>
    </row>
    <row r="177" customFormat="false" ht="30" hidden="false" customHeight="true" outlineLevel="0" collapsed="false">
      <c r="A177" s="4" t="str">
        <f aca="false">Data!A177</f>
        <v>1977-08</v>
      </c>
      <c r="B177" s="13" t="n">
        <f aca="false">Data!K177</f>
        <v>-0.0197</v>
      </c>
      <c r="C177" s="13" t="n">
        <f aca="false">Data!B177</f>
        <v>0.021</v>
      </c>
      <c r="D177" s="13" t="n">
        <f aca="false">(B177-C177)*Inputs!B2</f>
        <v>-0.02035</v>
      </c>
      <c r="E177" s="13" t="n">
        <f aca="false">4*Inputs!B2*Inputs!B4*Inputs!B3/10000</f>
        <v>0.001</v>
      </c>
      <c r="F177" s="13" t="n">
        <f aca="false">Inputs!B2*Inputs!B5/Inputs!B6</f>
        <v>0.000833333333333333</v>
      </c>
      <c r="G177" s="13" t="n">
        <f aca="false">D177-E177-F177</f>
        <v>-0.0221833333333333</v>
      </c>
      <c r="H177" s="4" t="n">
        <f aca="false">(1+G177)*H176</f>
        <v>2.9890096086557</v>
      </c>
      <c r="I177" s="4" t="n">
        <f aca="false">MAX(1,H$2:H177)</f>
        <v>3.0568200671452</v>
      </c>
      <c r="J177" s="13" t="n">
        <f aca="false">H177/I177-1</f>
        <v>-0.0221833333333333</v>
      </c>
      <c r="K177" s="13" t="n">
        <f aca="false">Data!L177</f>
        <v>-0.0163</v>
      </c>
    </row>
    <row r="178" customFormat="false" ht="30" hidden="false" customHeight="true" outlineLevel="0" collapsed="false">
      <c r="A178" s="5" t="str">
        <f aca="false">Data!A178</f>
        <v>1977-09</v>
      </c>
      <c r="B178" s="12" t="n">
        <f aca="false">Data!K178</f>
        <v>0.0136</v>
      </c>
      <c r="C178" s="12" t="n">
        <f aca="false">Data!B178</f>
        <v>-0.022</v>
      </c>
      <c r="D178" s="12" t="n">
        <f aca="false">(B178-C178)*Inputs!B2</f>
        <v>0.0178</v>
      </c>
      <c r="E178" s="12" t="n">
        <f aca="false">4*Inputs!B2*Inputs!B4*Inputs!B3/10000</f>
        <v>0.001</v>
      </c>
      <c r="F178" s="12" t="n">
        <f aca="false">Inputs!B2*Inputs!B5/Inputs!B6</f>
        <v>0.000833333333333333</v>
      </c>
      <c r="G178" s="12" t="n">
        <f aca="false">D178-E178-F178</f>
        <v>0.0159666666666667</v>
      </c>
      <c r="H178" s="5" t="n">
        <f aca="false">(1+G178)*H177</f>
        <v>3.03673412874057</v>
      </c>
      <c r="I178" s="5" t="n">
        <f aca="false">MAX(1,H$2:H178)</f>
        <v>3.0568200671452</v>
      </c>
      <c r="J178" s="12" t="n">
        <f aca="false">H178/I178-1</f>
        <v>-0.00657086055555545</v>
      </c>
      <c r="K178" s="12" t="n">
        <f aca="false">Data!L178</f>
        <v>0.0209</v>
      </c>
    </row>
    <row r="179" customFormat="false" ht="30" hidden="false" customHeight="true" outlineLevel="0" collapsed="false">
      <c r="A179" s="4" t="str">
        <f aca="false">Data!A179</f>
        <v>1977-10</v>
      </c>
      <c r="B179" s="13" t="n">
        <f aca="false">Data!K179</f>
        <v>-0.0483</v>
      </c>
      <c r="C179" s="13" t="n">
        <f aca="false">Data!B179</f>
        <v>-0.0523</v>
      </c>
      <c r="D179" s="13" t="n">
        <f aca="false">(B179-C179)*Inputs!B2</f>
        <v>0.00200000000000001</v>
      </c>
      <c r="E179" s="13" t="n">
        <f aca="false">4*Inputs!B2*Inputs!B4*Inputs!B3/10000</f>
        <v>0.001</v>
      </c>
      <c r="F179" s="13" t="n">
        <f aca="false">Inputs!B2*Inputs!B5/Inputs!B6</f>
        <v>0.000833333333333333</v>
      </c>
      <c r="G179" s="13" t="n">
        <f aca="false">D179-E179-F179</f>
        <v>0.000166666666666672</v>
      </c>
      <c r="H179" s="4" t="n">
        <f aca="false">(1+G179)*H178</f>
        <v>3.03724025109536</v>
      </c>
      <c r="I179" s="4" t="n">
        <f aca="false">MAX(1,H$2:H179)</f>
        <v>3.0568200671452</v>
      </c>
      <c r="J179" s="13" t="n">
        <f aca="false">H179/I179-1</f>
        <v>-0.00640528903231474</v>
      </c>
      <c r="K179" s="13" t="n">
        <f aca="false">Data!L179</f>
        <v>-0.0011</v>
      </c>
    </row>
    <row r="180" customFormat="false" ht="30" hidden="false" customHeight="true" outlineLevel="0" collapsed="false">
      <c r="A180" s="5" t="str">
        <f aca="false">Data!A180</f>
        <v>1977-11</v>
      </c>
      <c r="B180" s="12" t="n">
        <f aca="false">Data!K180</f>
        <v>0.0858</v>
      </c>
      <c r="C180" s="12" t="n">
        <f aca="false">Data!B180</f>
        <v>0.0362</v>
      </c>
      <c r="D180" s="12" t="n">
        <f aca="false">(B180-C180)*Inputs!B2</f>
        <v>0.0248</v>
      </c>
      <c r="E180" s="12" t="n">
        <f aca="false">4*Inputs!B2*Inputs!B4*Inputs!B3/10000</f>
        <v>0.001</v>
      </c>
      <c r="F180" s="12" t="n">
        <f aca="false">Inputs!B2*Inputs!B5/Inputs!B6</f>
        <v>0.000833333333333333</v>
      </c>
      <c r="G180" s="12" t="n">
        <f aca="false">D180-E180-F180</f>
        <v>0.0229666666666667</v>
      </c>
      <c r="H180" s="5" t="n">
        <f aca="false">(1+G180)*H179</f>
        <v>3.10699553552885</v>
      </c>
      <c r="I180" s="5" t="n">
        <f aca="false">MAX(1,H$2:H180)</f>
        <v>3.10699553552885</v>
      </c>
      <c r="J180" s="12" t="n">
        <f aca="false">H180/I180-1</f>
        <v>0</v>
      </c>
      <c r="K180" s="12" t="n">
        <f aca="false">Data!L180</f>
        <v>0.0214</v>
      </c>
    </row>
    <row r="181" customFormat="false" ht="30" hidden="false" customHeight="true" outlineLevel="0" collapsed="false">
      <c r="A181" s="4" t="str">
        <f aca="false">Data!A181</f>
        <v>1977-12</v>
      </c>
      <c r="B181" s="13" t="n">
        <f aca="false">Data!K181</f>
        <v>0.0205</v>
      </c>
      <c r="C181" s="13" t="n">
        <f aca="false">Data!B181</f>
        <v>0.0012</v>
      </c>
      <c r="D181" s="13" t="n">
        <f aca="false">(B181-C181)*Inputs!B2</f>
        <v>0.00965</v>
      </c>
      <c r="E181" s="13" t="n">
        <f aca="false">4*Inputs!B2*Inputs!B4*Inputs!B3/10000</f>
        <v>0.001</v>
      </c>
      <c r="F181" s="13" t="n">
        <f aca="false">Inputs!B2*Inputs!B5/Inputs!B6</f>
        <v>0.000833333333333333</v>
      </c>
      <c r="G181" s="13" t="n">
        <f aca="false">D181-E181-F181</f>
        <v>0.00781666666666667</v>
      </c>
      <c r="H181" s="4" t="n">
        <f aca="false">(1+G181)*H180</f>
        <v>3.1312818839649</v>
      </c>
      <c r="I181" s="4" t="n">
        <f aca="false">MAX(1,H$2:H181)</f>
        <v>3.1312818839649</v>
      </c>
      <c r="J181" s="13" t="n">
        <f aca="false">H181/I181-1</f>
        <v>0</v>
      </c>
      <c r="K181" s="13" t="n">
        <f aca="false">Data!L181</f>
        <v>0.016</v>
      </c>
    </row>
    <row r="182" customFormat="false" ht="30" hidden="false" customHeight="true" outlineLevel="0" collapsed="false">
      <c r="A182" s="5" t="str">
        <f aca="false">Data!A182</f>
        <v>1978-01</v>
      </c>
      <c r="B182" s="12" t="n">
        <f aca="false">Data!K182</f>
        <v>-0.0351</v>
      </c>
      <c r="C182" s="12" t="n">
        <f aca="false">Data!B182</f>
        <v>-0.0581</v>
      </c>
      <c r="D182" s="12" t="n">
        <f aca="false">(B182-C182)*Inputs!B2</f>
        <v>0.0115</v>
      </c>
      <c r="E182" s="12" t="n">
        <f aca="false">4*Inputs!B2*Inputs!B4*Inputs!B3/10000</f>
        <v>0.001</v>
      </c>
      <c r="F182" s="12" t="n">
        <f aca="false">Inputs!B2*Inputs!B5/Inputs!B6</f>
        <v>0.000833333333333333</v>
      </c>
      <c r="G182" s="12" t="n">
        <f aca="false">D182-E182-F182</f>
        <v>0.00966666666666667</v>
      </c>
      <c r="H182" s="5" t="n">
        <f aca="false">(1+G182)*H181</f>
        <v>3.16155094217656</v>
      </c>
      <c r="I182" s="5" t="n">
        <f aca="false">MAX(1,H$2:H182)</f>
        <v>3.16155094217656</v>
      </c>
      <c r="J182" s="12" t="n">
        <f aca="false">H182/I182-1</f>
        <v>0</v>
      </c>
      <c r="K182" s="12" t="n">
        <f aca="false">Data!L182</f>
        <v>-0.0057</v>
      </c>
    </row>
    <row r="183" customFormat="false" ht="30" hidden="false" customHeight="true" outlineLevel="0" collapsed="false">
      <c r="A183" s="4" t="str">
        <f aca="false">Data!A183</f>
        <v>1978-02</v>
      </c>
      <c r="B183" s="13" t="n">
        <f aca="false">Data!K183</f>
        <v>0.015</v>
      </c>
      <c r="C183" s="13" t="n">
        <f aca="false">Data!B183</f>
        <v>-0.0473</v>
      </c>
      <c r="D183" s="13" t="n">
        <f aca="false">(B183-C183)*Inputs!B2</f>
        <v>0.03115</v>
      </c>
      <c r="E183" s="13" t="n">
        <f aca="false">4*Inputs!B2*Inputs!B4*Inputs!B3/10000</f>
        <v>0.001</v>
      </c>
      <c r="F183" s="13" t="n">
        <f aca="false">Inputs!B2*Inputs!B5/Inputs!B6</f>
        <v>0.000833333333333333</v>
      </c>
      <c r="G183" s="13" t="n">
        <f aca="false">D183-E183-F183</f>
        <v>0.0293166666666667</v>
      </c>
      <c r="H183" s="4" t="n">
        <f aca="false">(1+G183)*H182</f>
        <v>3.25423707729804</v>
      </c>
      <c r="I183" s="4" t="n">
        <f aca="false">MAX(1,H$2:H183)</f>
        <v>3.25423707729804</v>
      </c>
      <c r="J183" s="13" t="n">
        <f aca="false">H183/I183-1</f>
        <v>0</v>
      </c>
      <c r="K183" s="13" t="n">
        <f aca="false">Data!L183</f>
        <v>0.0196</v>
      </c>
    </row>
    <row r="184" customFormat="false" ht="30" hidden="false" customHeight="true" outlineLevel="0" collapsed="false">
      <c r="A184" s="5" t="str">
        <f aca="false">Data!A184</f>
        <v>1978-03</v>
      </c>
      <c r="B184" s="12" t="n">
        <f aca="false">Data!K184</f>
        <v>0.0635</v>
      </c>
      <c r="C184" s="12" t="n">
        <f aca="false">Data!B184</f>
        <v>0.036</v>
      </c>
      <c r="D184" s="12" t="n">
        <f aca="false">(B184-C184)*Inputs!B2</f>
        <v>0.01375</v>
      </c>
      <c r="E184" s="12" t="n">
        <f aca="false">4*Inputs!B2*Inputs!B4*Inputs!B3/10000</f>
        <v>0.001</v>
      </c>
      <c r="F184" s="12" t="n">
        <f aca="false">Inputs!B2*Inputs!B5/Inputs!B6</f>
        <v>0.000833333333333333</v>
      </c>
      <c r="G184" s="12" t="n">
        <f aca="false">D184-E184-F184</f>
        <v>0.0119166666666667</v>
      </c>
      <c r="H184" s="5" t="n">
        <f aca="false">(1+G184)*H183</f>
        <v>3.2930167358025</v>
      </c>
      <c r="I184" s="5" t="n">
        <f aca="false">MAX(1,H$2:H184)</f>
        <v>3.2930167358025</v>
      </c>
      <c r="J184" s="12" t="n">
        <f aca="false">H184/I184-1</f>
        <v>0</v>
      </c>
      <c r="K184" s="12" t="n">
        <f aca="false">Data!L184</f>
        <v>0.0145</v>
      </c>
    </row>
    <row r="185" customFormat="false" ht="30" hidden="false" customHeight="true" outlineLevel="0" collapsed="false">
      <c r="A185" s="4" t="str">
        <f aca="false">Data!A185</f>
        <v>1978-04</v>
      </c>
      <c r="B185" s="13" t="n">
        <f aca="false">Data!K185</f>
        <v>0.0975</v>
      </c>
      <c r="C185" s="13" t="n">
        <f aca="false">Data!B185</f>
        <v>0.1149</v>
      </c>
      <c r="D185" s="13" t="n">
        <f aca="false">(B185-C185)*Inputs!B2</f>
        <v>-0.0087</v>
      </c>
      <c r="E185" s="13" t="n">
        <f aca="false">4*Inputs!B2*Inputs!B4*Inputs!B3/10000</f>
        <v>0.001</v>
      </c>
      <c r="F185" s="13" t="n">
        <f aca="false">Inputs!B2*Inputs!B5/Inputs!B6</f>
        <v>0.000833333333333333</v>
      </c>
      <c r="G185" s="13" t="n">
        <f aca="false">D185-E185-F185</f>
        <v>-0.0105333333333333</v>
      </c>
      <c r="H185" s="4" t="n">
        <f aca="false">(1+G185)*H184</f>
        <v>3.25833029285205</v>
      </c>
      <c r="I185" s="4" t="n">
        <f aca="false">MAX(1,H$2:H185)</f>
        <v>3.2930167358025</v>
      </c>
      <c r="J185" s="13" t="n">
        <f aca="false">H185/I185-1</f>
        <v>-0.0105333333333333</v>
      </c>
      <c r="K185" s="13" t="n">
        <f aca="false">Data!L185</f>
        <v>0.0049</v>
      </c>
    </row>
    <row r="186" customFormat="false" ht="30" hidden="false" customHeight="true" outlineLevel="0" collapsed="false">
      <c r="A186" s="5" t="str">
        <f aca="false">Data!A186</f>
        <v>1978-05</v>
      </c>
      <c r="B186" s="12" t="n">
        <f aca="false">Data!K186</f>
        <v>0.0876</v>
      </c>
      <c r="C186" s="12" t="n">
        <f aca="false">Data!B186</f>
        <v>0.0166</v>
      </c>
      <c r="D186" s="12" t="n">
        <f aca="false">(B186-C186)*Inputs!B2</f>
        <v>0.0355</v>
      </c>
      <c r="E186" s="12" t="n">
        <f aca="false">4*Inputs!B2*Inputs!B4*Inputs!B3/10000</f>
        <v>0.001</v>
      </c>
      <c r="F186" s="12" t="n">
        <f aca="false">Inputs!B2*Inputs!B5/Inputs!B6</f>
        <v>0.000833333333333333</v>
      </c>
      <c r="G186" s="12" t="n">
        <f aca="false">D186-E186-F186</f>
        <v>0.0336666666666667</v>
      </c>
      <c r="H186" s="5" t="n">
        <f aca="false">(1+G186)*H185</f>
        <v>3.3680274127114</v>
      </c>
      <c r="I186" s="5" t="n">
        <f aca="false">MAX(1,H$2:H186)</f>
        <v>3.3680274127114</v>
      </c>
      <c r="J186" s="12" t="n">
        <f aca="false">H186/I186-1</f>
        <v>0</v>
      </c>
      <c r="K186" s="12" t="n">
        <f aca="false">Data!L186</f>
        <v>0.0276</v>
      </c>
    </row>
    <row r="187" customFormat="false" ht="30" hidden="false" customHeight="true" outlineLevel="0" collapsed="false">
      <c r="A187" s="4" t="str">
        <f aca="false">Data!A187</f>
        <v>1978-06</v>
      </c>
      <c r="B187" s="13" t="n">
        <f aca="false">Data!K187</f>
        <v>0.0224</v>
      </c>
      <c r="C187" s="13" t="n">
        <f aca="false">Data!B187</f>
        <v>-0.0445</v>
      </c>
      <c r="D187" s="13" t="n">
        <f aca="false">(B187-C187)*Inputs!B2</f>
        <v>0.03345</v>
      </c>
      <c r="E187" s="13" t="n">
        <f aca="false">4*Inputs!B2*Inputs!B4*Inputs!B3/10000</f>
        <v>0.001</v>
      </c>
      <c r="F187" s="13" t="n">
        <f aca="false">Inputs!B2*Inputs!B5/Inputs!B6</f>
        <v>0.000833333333333333</v>
      </c>
      <c r="G187" s="13" t="n">
        <f aca="false">D187-E187-F187</f>
        <v>0.0316166666666667</v>
      </c>
      <c r="H187" s="4" t="n">
        <f aca="false">(1+G187)*H186</f>
        <v>3.47451321274329</v>
      </c>
      <c r="I187" s="4" t="n">
        <f aca="false">MAX(1,H$2:H187)</f>
        <v>3.47451321274329</v>
      </c>
      <c r="J187" s="13" t="n">
        <f aca="false">H187/I187-1</f>
        <v>0</v>
      </c>
      <c r="K187" s="13" t="n">
        <f aca="false">Data!L187</f>
        <v>0.0279</v>
      </c>
    </row>
    <row r="188" customFormat="false" ht="30" hidden="false" customHeight="true" outlineLevel="0" collapsed="false">
      <c r="A188" s="5" t="str">
        <f aca="false">Data!A188</f>
        <v>1978-07</v>
      </c>
      <c r="B188" s="12" t="n">
        <f aca="false">Data!K188</f>
        <v>0.0979</v>
      </c>
      <c r="C188" s="12" t="n">
        <f aca="false">Data!B188</f>
        <v>0.0539</v>
      </c>
      <c r="D188" s="12" t="n">
        <f aca="false">(B188-C188)*Inputs!B2</f>
        <v>0.022</v>
      </c>
      <c r="E188" s="12" t="n">
        <f aca="false">4*Inputs!B2*Inputs!B4*Inputs!B3/10000</f>
        <v>0.001</v>
      </c>
      <c r="F188" s="12" t="n">
        <f aca="false">Inputs!B2*Inputs!B5/Inputs!B6</f>
        <v>0.000833333333333333</v>
      </c>
      <c r="G188" s="12" t="n">
        <f aca="false">D188-E188-F188</f>
        <v>0.0201666666666667</v>
      </c>
      <c r="H188" s="5" t="n">
        <f aca="false">(1+G188)*H187</f>
        <v>3.54458256253362</v>
      </c>
      <c r="I188" s="5" t="n">
        <f aca="false">MAX(1,H$2:H188)</f>
        <v>3.54458256253362</v>
      </c>
      <c r="J188" s="12" t="n">
        <f aca="false">H188/I188-1</f>
        <v>0</v>
      </c>
      <c r="K188" s="12" t="n">
        <f aca="false">Data!L188</f>
        <v>0.0419</v>
      </c>
    </row>
    <row r="189" customFormat="false" ht="30" hidden="false" customHeight="true" outlineLevel="0" collapsed="false">
      <c r="A189" s="4" t="str">
        <f aca="false">Data!A189</f>
        <v>1978-08</v>
      </c>
      <c r="B189" s="13" t="n">
        <f aca="false">Data!K189</f>
        <v>0.1061</v>
      </c>
      <c r="C189" s="13" t="n">
        <f aca="false">Data!B189</f>
        <v>0.0413</v>
      </c>
      <c r="D189" s="13" t="n">
        <f aca="false">(B189-C189)*Inputs!B2</f>
        <v>0.0324</v>
      </c>
      <c r="E189" s="13" t="n">
        <f aca="false">4*Inputs!B2*Inputs!B4*Inputs!B3/10000</f>
        <v>0.001</v>
      </c>
      <c r="F189" s="13" t="n">
        <f aca="false">Inputs!B2*Inputs!B5/Inputs!B6</f>
        <v>0.000833333333333333</v>
      </c>
      <c r="G189" s="13" t="n">
        <f aca="false">D189-E189-F189</f>
        <v>0.0305666666666667</v>
      </c>
      <c r="H189" s="4" t="n">
        <f aca="false">(1+G189)*H188</f>
        <v>3.65292863619506</v>
      </c>
      <c r="I189" s="4" t="n">
        <f aca="false">MAX(1,H$2:H189)</f>
        <v>3.65292863619506</v>
      </c>
      <c r="J189" s="13" t="n">
        <f aca="false">H189/I189-1</f>
        <v>0</v>
      </c>
      <c r="K189" s="13" t="n">
        <f aca="false">Data!L189</f>
        <v>0.03</v>
      </c>
    </row>
    <row r="190" customFormat="false" ht="30" hidden="false" customHeight="true" outlineLevel="0" collapsed="false">
      <c r="A190" s="5" t="str">
        <f aca="false">Data!A190</f>
        <v>1978-09</v>
      </c>
      <c r="B190" s="12" t="n">
        <f aca="false">Data!K190</f>
        <v>-0.0461</v>
      </c>
      <c r="C190" s="12" t="n">
        <f aca="false">Data!B190</f>
        <v>0.008</v>
      </c>
      <c r="D190" s="12" t="n">
        <f aca="false">(B190-C190)*Inputs!B2</f>
        <v>-0.02705</v>
      </c>
      <c r="E190" s="12" t="n">
        <f aca="false">4*Inputs!B2*Inputs!B4*Inputs!B3/10000</f>
        <v>0.001</v>
      </c>
      <c r="F190" s="12" t="n">
        <f aca="false">Inputs!B2*Inputs!B5/Inputs!B6</f>
        <v>0.000833333333333333</v>
      </c>
      <c r="G190" s="12" t="n">
        <f aca="false">D190-E190-F190</f>
        <v>-0.0288833333333333</v>
      </c>
      <c r="H190" s="5" t="n">
        <f aca="false">(1+G190)*H189</f>
        <v>3.54741988075296</v>
      </c>
      <c r="I190" s="5" t="n">
        <f aca="false">MAX(1,H$2:H190)</f>
        <v>3.65292863619506</v>
      </c>
      <c r="J190" s="12" t="n">
        <f aca="false">H190/I190-1</f>
        <v>-0.0288833333333334</v>
      </c>
      <c r="K190" s="12" t="n">
        <f aca="false">Data!L190</f>
        <v>-0.0319</v>
      </c>
    </row>
    <row r="191" customFormat="false" ht="30" hidden="false" customHeight="true" outlineLevel="0" collapsed="false">
      <c r="A191" s="4" t="str">
        <f aca="false">Data!A191</f>
        <v>1978-10</v>
      </c>
      <c r="B191" s="13" t="n">
        <f aca="false">Data!K191</f>
        <v>-0.2334</v>
      </c>
      <c r="C191" s="13" t="n">
        <f aca="false">Data!B191</f>
        <v>-0.1085</v>
      </c>
      <c r="D191" s="13" t="n">
        <f aca="false">(B191-C191)*Inputs!B2</f>
        <v>-0.06245</v>
      </c>
      <c r="E191" s="13" t="n">
        <f aca="false">4*Inputs!B2*Inputs!B4*Inputs!B3/10000</f>
        <v>0.001</v>
      </c>
      <c r="F191" s="13" t="n">
        <f aca="false">Inputs!B2*Inputs!B5/Inputs!B6</f>
        <v>0.000833333333333333</v>
      </c>
      <c r="G191" s="13" t="n">
        <f aca="false">D191-E191-F191</f>
        <v>-0.0642833333333333</v>
      </c>
      <c r="H191" s="4" t="n">
        <f aca="false">(1+G191)*H190</f>
        <v>3.31937990608522</v>
      </c>
      <c r="I191" s="4" t="n">
        <f aca="false">MAX(1,H$2:H191)</f>
        <v>3.65292863619506</v>
      </c>
      <c r="J191" s="13" t="n">
        <f aca="false">H191/I191-1</f>
        <v>-0.0913099497222223</v>
      </c>
      <c r="K191" s="13" t="n">
        <f aca="false">Data!L191</f>
        <v>-0.0847</v>
      </c>
    </row>
    <row r="192" customFormat="false" ht="30" hidden="false" customHeight="true" outlineLevel="0" collapsed="false">
      <c r="A192" s="5" t="str">
        <f aca="false">Data!A192</f>
        <v>1978-11</v>
      </c>
      <c r="B192" s="12" t="n">
        <f aca="false">Data!K192</f>
        <v>0.1105</v>
      </c>
      <c r="C192" s="12" t="n">
        <f aca="false">Data!B192</f>
        <v>0.0274</v>
      </c>
      <c r="D192" s="12" t="n">
        <f aca="false">(B192-C192)*Inputs!B2</f>
        <v>0.04155</v>
      </c>
      <c r="E192" s="12" t="n">
        <f aca="false">4*Inputs!B2*Inputs!B4*Inputs!B3/10000</f>
        <v>0.001</v>
      </c>
      <c r="F192" s="12" t="n">
        <f aca="false">Inputs!B2*Inputs!B5/Inputs!B6</f>
        <v>0.000833333333333333</v>
      </c>
      <c r="G192" s="12" t="n">
        <f aca="false">D192-E192-F192</f>
        <v>0.0397166666666667</v>
      </c>
      <c r="H192" s="5" t="n">
        <f aca="false">(1+G192)*H191</f>
        <v>3.45121461135524</v>
      </c>
      <c r="I192" s="5" t="n">
        <f aca="false">MAX(1,H$2:H192)</f>
        <v>3.65292863619506</v>
      </c>
      <c r="J192" s="12" t="n">
        <f aca="false">H192/I192-1</f>
        <v>-0.0552198098920232</v>
      </c>
      <c r="K192" s="12" t="n">
        <f aca="false">Data!L192</f>
        <v>0.0545</v>
      </c>
    </row>
    <row r="193" customFormat="false" ht="30" hidden="false" customHeight="true" outlineLevel="0" collapsed="false">
      <c r="A193" s="4" t="str">
        <f aca="false">Data!A193</f>
        <v>1978-12</v>
      </c>
      <c r="B193" s="13" t="n">
        <f aca="false">Data!K193</f>
        <v>0.0341</v>
      </c>
      <c r="C193" s="13" t="n">
        <f aca="false">Data!B193</f>
        <v>-0.0212</v>
      </c>
      <c r="D193" s="13" t="n">
        <f aca="false">(B193-C193)*Inputs!B2</f>
        <v>0.02765</v>
      </c>
      <c r="E193" s="13" t="n">
        <f aca="false">4*Inputs!B2*Inputs!B4*Inputs!B3/10000</f>
        <v>0.001</v>
      </c>
      <c r="F193" s="13" t="n">
        <f aca="false">Inputs!B2*Inputs!B5/Inputs!B6</f>
        <v>0.000833333333333333</v>
      </c>
      <c r="G193" s="13" t="n">
        <f aca="false">D193-E193-F193</f>
        <v>0.0258166666666667</v>
      </c>
      <c r="H193" s="4" t="n">
        <f aca="false">(1+G193)*H192</f>
        <v>3.54031346857173</v>
      </c>
      <c r="I193" s="4" t="n">
        <f aca="false">MAX(1,H$2:H193)</f>
        <v>3.65292863619506</v>
      </c>
      <c r="J193" s="13" t="n">
        <f aca="false">H193/I193-1</f>
        <v>-0.0308287346507358</v>
      </c>
      <c r="K193" s="13" t="n">
        <f aca="false">Data!L193</f>
        <v>0.0302</v>
      </c>
    </row>
    <row r="194" customFormat="false" ht="30" hidden="false" customHeight="true" outlineLevel="0" collapsed="false">
      <c r="A194" s="5" t="str">
        <f aca="false">Data!A194</f>
        <v>1979-01</v>
      </c>
      <c r="B194" s="12" t="n">
        <f aca="false">Data!K194</f>
        <v>0.0651</v>
      </c>
      <c r="C194" s="12" t="n">
        <f aca="false">Data!B194</f>
        <v>0.0961</v>
      </c>
      <c r="D194" s="12" t="n">
        <f aca="false">(B194-C194)*Inputs!B2</f>
        <v>-0.0155</v>
      </c>
      <c r="E194" s="12" t="n">
        <f aca="false">4*Inputs!B2*Inputs!B4*Inputs!B3/10000</f>
        <v>0.001</v>
      </c>
      <c r="F194" s="12" t="n">
        <f aca="false">Inputs!B2*Inputs!B5/Inputs!B6</f>
        <v>0.000833333333333333</v>
      </c>
      <c r="G194" s="12" t="n">
        <f aca="false">D194-E194-F194</f>
        <v>-0.0173333333333333</v>
      </c>
      <c r="H194" s="5" t="n">
        <f aca="false">(1+G194)*H193</f>
        <v>3.47894803511649</v>
      </c>
      <c r="I194" s="5" t="n">
        <f aca="false">MAX(1,H$2:H194)</f>
        <v>3.65292863619506</v>
      </c>
      <c r="J194" s="12" t="n">
        <f aca="false">H194/I194-1</f>
        <v>-0.047627703250123</v>
      </c>
      <c r="K194" s="12" t="n">
        <f aca="false">Data!L194</f>
        <v>-0.0142</v>
      </c>
    </row>
    <row r="195" customFormat="false" ht="30" hidden="false" customHeight="true" outlineLevel="0" collapsed="false">
      <c r="A195" s="4" t="str">
        <f aca="false">Data!A195</f>
        <v>1979-02</v>
      </c>
      <c r="B195" s="13" t="n">
        <f aca="false">Data!K195</f>
        <v>-0.0417</v>
      </c>
      <c r="C195" s="13" t="n">
        <f aca="false">Data!B195</f>
        <v>-0.0281</v>
      </c>
      <c r="D195" s="13" t="n">
        <f aca="false">(B195-C195)*Inputs!B2</f>
        <v>-0.0068</v>
      </c>
      <c r="E195" s="13" t="n">
        <f aca="false">4*Inputs!B2*Inputs!B4*Inputs!B3/10000</f>
        <v>0.001</v>
      </c>
      <c r="F195" s="13" t="n">
        <f aca="false">Inputs!B2*Inputs!B5/Inputs!B6</f>
        <v>0.000833333333333333</v>
      </c>
      <c r="G195" s="13" t="n">
        <f aca="false">D195-E195-F195</f>
        <v>-0.00863333333333333</v>
      </c>
      <c r="H195" s="4" t="n">
        <f aca="false">(1+G195)*H194</f>
        <v>3.44891311707998</v>
      </c>
      <c r="I195" s="4" t="n">
        <f aca="false">MAX(1,H$2:H195)</f>
        <v>3.65292863619506</v>
      </c>
      <c r="J195" s="13" t="n">
        <f aca="false">H195/I195-1</f>
        <v>-0.0558498507453969</v>
      </c>
      <c r="K195" s="13" t="n">
        <f aca="false">Data!L195</f>
        <v>-0.0099</v>
      </c>
    </row>
    <row r="196" customFormat="false" ht="30" hidden="false" customHeight="true" outlineLevel="0" collapsed="false">
      <c r="A196" s="5" t="str">
        <f aca="false">Data!A196</f>
        <v>1979-03</v>
      </c>
      <c r="B196" s="12" t="n">
        <f aca="false">Data!K196</f>
        <v>0.1033</v>
      </c>
      <c r="C196" s="12" t="n">
        <f aca="false">Data!B196</f>
        <v>0.0848</v>
      </c>
      <c r="D196" s="12" t="n">
        <f aca="false">(B196-C196)*Inputs!B2</f>
        <v>0.00925</v>
      </c>
      <c r="E196" s="12" t="n">
        <f aca="false">4*Inputs!B2*Inputs!B4*Inputs!B3/10000</f>
        <v>0.001</v>
      </c>
      <c r="F196" s="12" t="n">
        <f aca="false">Inputs!B2*Inputs!B5/Inputs!B6</f>
        <v>0.000833333333333333</v>
      </c>
      <c r="G196" s="12" t="n">
        <f aca="false">D196-E196-F196</f>
        <v>0.00741666666666667</v>
      </c>
      <c r="H196" s="5" t="n">
        <f aca="false">(1+G196)*H195</f>
        <v>3.47449255603166</v>
      </c>
      <c r="I196" s="5" t="n">
        <f aca="false">MAX(1,H$2:H196)</f>
        <v>3.65292863619506</v>
      </c>
      <c r="J196" s="12" t="n">
        <f aca="false">H196/I196-1</f>
        <v>-0.0488474038050921</v>
      </c>
      <c r="K196" s="12" t="n">
        <f aca="false">Data!L196</f>
        <v>0.0291</v>
      </c>
    </row>
    <row r="197" customFormat="false" ht="30" hidden="false" customHeight="true" outlineLevel="0" collapsed="false">
      <c r="A197" s="4" t="str">
        <f aca="false">Data!A197</f>
        <v>1979-04</v>
      </c>
      <c r="B197" s="13" t="n">
        <f aca="false">Data!K197</f>
        <v>0.0159</v>
      </c>
      <c r="C197" s="13" t="n">
        <f aca="false">Data!B197</f>
        <v>0.0061</v>
      </c>
      <c r="D197" s="13" t="n">
        <f aca="false">(B197-C197)*Inputs!B2</f>
        <v>0.0049</v>
      </c>
      <c r="E197" s="13" t="n">
        <f aca="false">4*Inputs!B2*Inputs!B4*Inputs!B3/10000</f>
        <v>0.001</v>
      </c>
      <c r="F197" s="13" t="n">
        <f aca="false">Inputs!B2*Inputs!B5/Inputs!B6</f>
        <v>0.000833333333333333</v>
      </c>
      <c r="G197" s="13" t="n">
        <f aca="false">D197-E197-F197</f>
        <v>0.00306666666666667</v>
      </c>
      <c r="H197" s="4" t="n">
        <f aca="false">(1+G197)*H196</f>
        <v>3.48514766653682</v>
      </c>
      <c r="I197" s="4" t="n">
        <f aca="false">MAX(1,H$2:H197)</f>
        <v>3.65292863619506</v>
      </c>
      <c r="J197" s="13" t="n">
        <f aca="false">H197/I197-1</f>
        <v>-0.0459305358434277</v>
      </c>
      <c r="K197" s="13" t="n">
        <f aca="false">Data!L197</f>
        <v>0.0088</v>
      </c>
    </row>
    <row r="198" customFormat="false" ht="30" hidden="false" customHeight="true" outlineLevel="0" collapsed="false">
      <c r="A198" s="5" t="str">
        <f aca="false">Data!A198</f>
        <v>1979-05</v>
      </c>
      <c r="B198" s="12" t="n">
        <f aca="false">Data!K198</f>
        <v>-0.0139</v>
      </c>
      <c r="C198" s="12" t="n">
        <f aca="false">Data!B198</f>
        <v>-0.025</v>
      </c>
      <c r="D198" s="12" t="n">
        <f aca="false">(B198-C198)*Inputs!B2</f>
        <v>0.00555</v>
      </c>
      <c r="E198" s="12" t="n">
        <f aca="false">4*Inputs!B2*Inputs!B4*Inputs!B3/10000</f>
        <v>0.001</v>
      </c>
      <c r="F198" s="12" t="n">
        <f aca="false">Inputs!B2*Inputs!B5/Inputs!B6</f>
        <v>0.000833333333333333</v>
      </c>
      <c r="G198" s="12" t="n">
        <f aca="false">D198-E198-F198</f>
        <v>0.00371666666666667</v>
      </c>
      <c r="H198" s="5" t="n">
        <f aca="false">(1+G198)*H197</f>
        <v>3.49810079869745</v>
      </c>
      <c r="I198" s="5" t="n">
        <f aca="false">MAX(1,H$2:H198)</f>
        <v>3.65292863619506</v>
      </c>
      <c r="J198" s="12" t="n">
        <f aca="false">H198/I198-1</f>
        <v>-0.0423845776683124</v>
      </c>
      <c r="K198" s="12" t="n">
        <f aca="false">Data!L198</f>
        <v>-0.0058</v>
      </c>
    </row>
    <row r="199" customFormat="false" ht="30" hidden="false" customHeight="true" outlineLevel="0" collapsed="false">
      <c r="A199" s="4" t="str">
        <f aca="false">Data!A199</f>
        <v>1979-06</v>
      </c>
      <c r="B199" s="13" t="n">
        <f aca="false">Data!K199</f>
        <v>0.0658</v>
      </c>
      <c r="C199" s="13" t="n">
        <f aca="false">Data!B199</f>
        <v>0.0576</v>
      </c>
      <c r="D199" s="13" t="n">
        <f aca="false">(B199-C199)*Inputs!B2</f>
        <v>0.0041</v>
      </c>
      <c r="E199" s="13" t="n">
        <f aca="false">4*Inputs!B2*Inputs!B4*Inputs!B3/10000</f>
        <v>0.001</v>
      </c>
      <c r="F199" s="13" t="n">
        <f aca="false">Inputs!B2*Inputs!B5/Inputs!B6</f>
        <v>0.000833333333333333</v>
      </c>
      <c r="G199" s="13" t="n">
        <f aca="false">D199-E199-F199</f>
        <v>0.00226666666666667</v>
      </c>
      <c r="H199" s="4" t="n">
        <f aca="false">(1+G199)*H198</f>
        <v>3.5060298271745</v>
      </c>
      <c r="I199" s="4" t="n">
        <f aca="false">MAX(1,H$2:H199)</f>
        <v>3.65292863619506</v>
      </c>
      <c r="J199" s="13" t="n">
        <f aca="false">H199/I199-1</f>
        <v>-0.0402139827110274</v>
      </c>
      <c r="K199" s="13" t="n">
        <f aca="false">Data!L199</f>
        <v>0.0076</v>
      </c>
    </row>
    <row r="200" customFormat="false" ht="30" hidden="false" customHeight="true" outlineLevel="0" collapsed="false">
      <c r="A200" s="5" t="str">
        <f aca="false">Data!A200</f>
        <v>1979-07</v>
      </c>
      <c r="B200" s="12" t="n">
        <f aca="false">Data!K200</f>
        <v>0.0194</v>
      </c>
      <c r="C200" s="12" t="n">
        <f aca="false">Data!B200</f>
        <v>0.0275</v>
      </c>
      <c r="D200" s="12" t="n">
        <f aca="false">(B200-C200)*Inputs!B2</f>
        <v>-0.00405</v>
      </c>
      <c r="E200" s="12" t="n">
        <f aca="false">4*Inputs!B2*Inputs!B4*Inputs!B3/10000</f>
        <v>0.001</v>
      </c>
      <c r="F200" s="12" t="n">
        <f aca="false">Inputs!B2*Inputs!B5/Inputs!B6</f>
        <v>0.000833333333333333</v>
      </c>
      <c r="G200" s="12" t="n">
        <f aca="false">D200-E200-F200</f>
        <v>-0.00588333333333333</v>
      </c>
      <c r="H200" s="5" t="n">
        <f aca="false">(1+G200)*H199</f>
        <v>3.48540268502462</v>
      </c>
      <c r="I200" s="5" t="n">
        <f aca="false">MAX(1,H$2:H200)</f>
        <v>3.65292863619506</v>
      </c>
      <c r="J200" s="12" t="n">
        <f aca="false">H200/I200-1</f>
        <v>-0.0458607237794108</v>
      </c>
      <c r="K200" s="12" t="n">
        <f aca="false">Data!L200</f>
        <v>-0.0107</v>
      </c>
    </row>
    <row r="201" customFormat="false" ht="30" hidden="false" customHeight="true" outlineLevel="0" collapsed="false">
      <c r="A201" s="4" t="str">
        <f aca="false">Data!A201</f>
        <v>1979-08</v>
      </c>
      <c r="B201" s="13" t="n">
        <f aca="false">Data!K201</f>
        <v>0.073</v>
      </c>
      <c r="C201" s="13" t="n">
        <f aca="false">Data!B201</f>
        <v>0.0836</v>
      </c>
      <c r="D201" s="13" t="n">
        <f aca="false">(B201-C201)*Inputs!B2</f>
        <v>-0.0053</v>
      </c>
      <c r="E201" s="13" t="n">
        <f aca="false">4*Inputs!B2*Inputs!B4*Inputs!B3/10000</f>
        <v>0.001</v>
      </c>
      <c r="F201" s="13" t="n">
        <f aca="false">Inputs!B2*Inputs!B5/Inputs!B6</f>
        <v>0.000833333333333333</v>
      </c>
      <c r="G201" s="13" t="n">
        <f aca="false">D201-E201-F201</f>
        <v>-0.00713333333333333</v>
      </c>
      <c r="H201" s="4" t="n">
        <f aca="false">(1+G201)*H200</f>
        <v>3.46054014587144</v>
      </c>
      <c r="I201" s="4" t="n">
        <f aca="false">MAX(1,H$2:H201)</f>
        <v>3.65292863619506</v>
      </c>
      <c r="J201" s="13" t="n">
        <f aca="false">H201/I201-1</f>
        <v>-0.0526669172831177</v>
      </c>
      <c r="K201" s="13" t="n">
        <f aca="false">Data!L201</f>
        <v>-0.0029</v>
      </c>
    </row>
    <row r="202" customFormat="false" ht="30" hidden="false" customHeight="true" outlineLevel="0" collapsed="false">
      <c r="A202" s="5" t="str">
        <f aca="false">Data!A202</f>
        <v>1979-09</v>
      </c>
      <c r="B202" s="12" t="n">
        <f aca="false">Data!K202</f>
        <v>0.0438</v>
      </c>
      <c r="C202" s="12" t="n">
        <f aca="false">Data!B202</f>
        <v>-0.0389</v>
      </c>
      <c r="D202" s="12" t="n">
        <f aca="false">(B202-C202)*Inputs!B2</f>
        <v>0.04135</v>
      </c>
      <c r="E202" s="12" t="n">
        <f aca="false">4*Inputs!B2*Inputs!B4*Inputs!B3/10000</f>
        <v>0.001</v>
      </c>
      <c r="F202" s="12" t="n">
        <f aca="false">Inputs!B2*Inputs!B5/Inputs!B6</f>
        <v>0.000833333333333333</v>
      </c>
      <c r="G202" s="12" t="n">
        <f aca="false">D202-E202-F202</f>
        <v>0.0395166666666667</v>
      </c>
      <c r="H202" s="5" t="n">
        <f aca="false">(1+G202)*H201</f>
        <v>3.59728915730246</v>
      </c>
      <c r="I202" s="5" t="n">
        <f aca="false">MAX(1,H$2:H202)</f>
        <v>3.65292863619506</v>
      </c>
      <c r="J202" s="12" t="n">
        <f aca="false">H202/I202-1</f>
        <v>-0.015231471631089</v>
      </c>
      <c r="K202" s="12" t="n">
        <f aca="false">Data!L202</f>
        <v>0.0528</v>
      </c>
    </row>
    <row r="203" customFormat="false" ht="30" hidden="false" customHeight="true" outlineLevel="0" collapsed="false">
      <c r="A203" s="4" t="str">
        <f aca="false">Data!A203</f>
        <v>1979-10</v>
      </c>
      <c r="B203" s="13" t="n">
        <f aca="false">Data!K203</f>
        <v>-0.0644</v>
      </c>
      <c r="C203" s="13" t="n">
        <f aca="false">Data!B203</f>
        <v>-0.1297</v>
      </c>
      <c r="D203" s="13" t="n">
        <f aca="false">(B203-C203)*Inputs!B2</f>
        <v>0.03265</v>
      </c>
      <c r="E203" s="13" t="n">
        <f aca="false">4*Inputs!B2*Inputs!B4*Inputs!B3/10000</f>
        <v>0.001</v>
      </c>
      <c r="F203" s="13" t="n">
        <f aca="false">Inputs!B2*Inputs!B5/Inputs!B6</f>
        <v>0.000833333333333333</v>
      </c>
      <c r="G203" s="13" t="n">
        <f aca="false">D203-E203-F203</f>
        <v>0.0308166666666667</v>
      </c>
      <c r="H203" s="4" t="n">
        <f aca="false">(1+G203)*H202</f>
        <v>3.70814561816667</v>
      </c>
      <c r="I203" s="4" t="n">
        <f aca="false">MAX(1,H$2:H203)</f>
        <v>3.70814561816667</v>
      </c>
      <c r="J203" s="13" t="n">
        <f aca="false">H203/I203-1</f>
        <v>0</v>
      </c>
      <c r="K203" s="13" t="n">
        <f aca="false">Data!L203</f>
        <v>0.0206</v>
      </c>
    </row>
    <row r="204" customFormat="false" ht="30" hidden="false" customHeight="true" outlineLevel="0" collapsed="false">
      <c r="A204" s="5" t="str">
        <f aca="false">Data!A204</f>
        <v>1979-11</v>
      </c>
      <c r="B204" s="12" t="n">
        <f aca="false">Data!K204</f>
        <v>0.1235</v>
      </c>
      <c r="C204" s="12" t="n">
        <f aca="false">Data!B204</f>
        <v>0.0223</v>
      </c>
      <c r="D204" s="12" t="n">
        <f aca="false">(B204-C204)*Inputs!B2</f>
        <v>0.0506</v>
      </c>
      <c r="E204" s="12" t="n">
        <f aca="false">4*Inputs!B2*Inputs!B4*Inputs!B3/10000</f>
        <v>0.001</v>
      </c>
      <c r="F204" s="12" t="n">
        <f aca="false">Inputs!B2*Inputs!B5/Inputs!B6</f>
        <v>0.000833333333333333</v>
      </c>
      <c r="G204" s="12" t="n">
        <f aca="false">D204-E204-F204</f>
        <v>0.0487666666666667</v>
      </c>
      <c r="H204" s="5" t="n">
        <f aca="false">(1+G204)*H203</f>
        <v>3.88897951947926</v>
      </c>
      <c r="I204" s="5" t="n">
        <f aca="false">MAX(1,H$2:H204)</f>
        <v>3.88897951947926</v>
      </c>
      <c r="J204" s="12" t="n">
        <f aca="false">H204/I204-1</f>
        <v>0</v>
      </c>
      <c r="K204" s="12" t="n">
        <f aca="false">Data!L204</f>
        <v>0.0806</v>
      </c>
    </row>
    <row r="205" customFormat="false" ht="30" hidden="false" customHeight="true" outlineLevel="0" collapsed="false">
      <c r="A205" s="4" t="str">
        <f aca="false">Data!A205</f>
        <v>1979-12</v>
      </c>
      <c r="B205" s="13" t="n">
        <f aca="false">Data!K205</f>
        <v>0.0869</v>
      </c>
      <c r="C205" s="13" t="n">
        <f aca="false">Data!B205</f>
        <v>0.0256</v>
      </c>
      <c r="D205" s="13" t="n">
        <f aca="false">(B205-C205)*Inputs!B2</f>
        <v>0.03065</v>
      </c>
      <c r="E205" s="13" t="n">
        <f aca="false">4*Inputs!B2*Inputs!B4*Inputs!B3/10000</f>
        <v>0.001</v>
      </c>
      <c r="F205" s="13" t="n">
        <f aca="false">Inputs!B2*Inputs!B5/Inputs!B6</f>
        <v>0.000833333333333333</v>
      </c>
      <c r="G205" s="13" t="n">
        <f aca="false">D205-E205-F205</f>
        <v>0.0288166666666667</v>
      </c>
      <c r="H205" s="4" t="n">
        <f aca="false">(1+G205)*H204</f>
        <v>4.00104694596559</v>
      </c>
      <c r="I205" s="4" t="n">
        <f aca="false">MAX(1,H$2:H205)</f>
        <v>4.00104694596559</v>
      </c>
      <c r="J205" s="13" t="n">
        <f aca="false">H205/I205-1</f>
        <v>0</v>
      </c>
      <c r="K205" s="13" t="n">
        <f aca="false">Data!L205</f>
        <v>0.0473</v>
      </c>
    </row>
    <row r="206" customFormat="false" ht="30" hidden="false" customHeight="true" outlineLevel="0" collapsed="false">
      <c r="A206" s="5" t="str">
        <f aca="false">Data!A206</f>
        <v>1980-01</v>
      </c>
      <c r="B206" s="12" t="n">
        <f aca="false">Data!K206</f>
        <v>0.1297</v>
      </c>
      <c r="C206" s="12" t="n">
        <f aca="false">Data!B206</f>
        <v>0.0405</v>
      </c>
      <c r="D206" s="12" t="n">
        <f aca="false">(B206-C206)*Inputs!B2</f>
        <v>0.0446</v>
      </c>
      <c r="E206" s="12" t="n">
        <f aca="false">4*Inputs!B2*Inputs!B4*Inputs!B3/10000</f>
        <v>0.001</v>
      </c>
      <c r="F206" s="12" t="n">
        <f aca="false">Inputs!B2*Inputs!B5/Inputs!B6</f>
        <v>0.000833333333333333</v>
      </c>
      <c r="G206" s="12" t="n">
        <f aca="false">D206-E206-F206</f>
        <v>0.0427666666666667</v>
      </c>
      <c r="H206" s="5" t="n">
        <f aca="false">(1+G206)*H205</f>
        <v>4.17215838702139</v>
      </c>
      <c r="I206" s="5" t="n">
        <f aca="false">MAX(1,H$2:H206)</f>
        <v>4.17215838702139</v>
      </c>
      <c r="J206" s="12" t="n">
        <f aca="false">H206/I206-1</f>
        <v>0</v>
      </c>
      <c r="K206" s="12" t="n">
        <f aca="false">Data!L206</f>
        <v>0.0746</v>
      </c>
    </row>
    <row r="207" customFormat="false" ht="30" hidden="false" customHeight="true" outlineLevel="0" collapsed="false">
      <c r="A207" s="4" t="str">
        <f aca="false">Data!A207</f>
        <v>1980-02</v>
      </c>
      <c r="B207" s="13" t="n">
        <f aca="false">Data!K207</f>
        <v>0.0504</v>
      </c>
      <c r="C207" s="13" t="n">
        <f aca="false">Data!B207</f>
        <v>-0.0516</v>
      </c>
      <c r="D207" s="13" t="n">
        <f aca="false">(B207-C207)*Inputs!B2</f>
        <v>0.051</v>
      </c>
      <c r="E207" s="13" t="n">
        <f aca="false">4*Inputs!B2*Inputs!B4*Inputs!B3/10000</f>
        <v>0.001</v>
      </c>
      <c r="F207" s="13" t="n">
        <f aca="false">Inputs!B2*Inputs!B5/Inputs!B6</f>
        <v>0.000833333333333333</v>
      </c>
      <c r="G207" s="13" t="n">
        <f aca="false">D207-E207-F207</f>
        <v>0.0491666666666667</v>
      </c>
      <c r="H207" s="4" t="n">
        <f aca="false">(1+G207)*H206</f>
        <v>4.3772895077166</v>
      </c>
      <c r="I207" s="4" t="n">
        <f aca="false">MAX(1,H$2:H207)</f>
        <v>4.3772895077166</v>
      </c>
      <c r="J207" s="13" t="n">
        <f aca="false">H207/I207-1</f>
        <v>0</v>
      </c>
      <c r="K207" s="13" t="n">
        <f aca="false">Data!L207</f>
        <v>0.0791</v>
      </c>
    </row>
    <row r="208" customFormat="false" ht="30" hidden="false" customHeight="true" outlineLevel="0" collapsed="false">
      <c r="A208" s="5" t="str">
        <f aca="false">Data!A208</f>
        <v>1980-03</v>
      </c>
      <c r="B208" s="12" t="n">
        <f aca="false">Data!K208</f>
        <v>-0.2125</v>
      </c>
      <c r="C208" s="12" t="n">
        <f aca="false">Data!B208</f>
        <v>-0.037</v>
      </c>
      <c r="D208" s="12" t="n">
        <f aca="false">(B208-C208)*Inputs!B2</f>
        <v>-0.08775</v>
      </c>
      <c r="E208" s="12" t="n">
        <f aca="false">4*Inputs!B2*Inputs!B4*Inputs!B3/10000</f>
        <v>0.001</v>
      </c>
      <c r="F208" s="12" t="n">
        <f aca="false">Inputs!B2*Inputs!B5/Inputs!B6</f>
        <v>0.000833333333333333</v>
      </c>
      <c r="G208" s="12" t="n">
        <f aca="false">D208-E208-F208</f>
        <v>-0.0895833333333333</v>
      </c>
      <c r="H208" s="5" t="n">
        <f aca="false">(1+G208)*H207</f>
        <v>3.98515732265032</v>
      </c>
      <c r="I208" s="5" t="n">
        <f aca="false">MAX(1,H$2:H208)</f>
        <v>4.3772895077166</v>
      </c>
      <c r="J208" s="12" t="n">
        <f aca="false">H208/I208-1</f>
        <v>-0.0895833333333334</v>
      </c>
      <c r="K208" s="12" t="n">
        <f aca="false">Data!L208</f>
        <v>-0.0959</v>
      </c>
    </row>
    <row r="209" customFormat="false" ht="30" hidden="false" customHeight="true" outlineLevel="0" collapsed="false">
      <c r="A209" s="4" t="str">
        <f aca="false">Data!A209</f>
        <v>1980-04</v>
      </c>
      <c r="B209" s="13" t="n">
        <f aca="false">Data!K209</f>
        <v>0.0687</v>
      </c>
      <c r="C209" s="13" t="n">
        <f aca="false">Data!B209</f>
        <v>0.0691</v>
      </c>
      <c r="D209" s="13" t="n">
        <f aca="false">(B209-C209)*Inputs!B2</f>
        <v>-0.000199999999999999</v>
      </c>
      <c r="E209" s="13" t="n">
        <f aca="false">4*Inputs!B2*Inputs!B4*Inputs!B3/10000</f>
        <v>0.001</v>
      </c>
      <c r="F209" s="13" t="n">
        <f aca="false">Inputs!B2*Inputs!B5/Inputs!B6</f>
        <v>0.000833333333333333</v>
      </c>
      <c r="G209" s="13" t="n">
        <f aca="false">D209-E209-F209</f>
        <v>-0.00203333333333333</v>
      </c>
      <c r="H209" s="4" t="n">
        <f aca="false">(1+G209)*H208</f>
        <v>3.9770541694276</v>
      </c>
      <c r="I209" s="4" t="n">
        <f aca="false">MAX(1,H$2:H209)</f>
        <v>4.3772895077166</v>
      </c>
      <c r="J209" s="13" t="n">
        <f aca="false">H209/I209-1</f>
        <v>-0.0914345138888889</v>
      </c>
      <c r="K209" s="13" t="n">
        <f aca="false">Data!L209</f>
        <v>-0.005</v>
      </c>
    </row>
    <row r="210" customFormat="false" ht="30" hidden="false" customHeight="true" outlineLevel="0" collapsed="false">
      <c r="A210" s="5" t="str">
        <f aca="false">Data!A210</f>
        <v>1980-05</v>
      </c>
      <c r="B210" s="12" t="n">
        <f aca="false">Data!K210</f>
        <v>0.0395</v>
      </c>
      <c r="C210" s="12" t="n">
        <f aca="false">Data!B210</f>
        <v>0.0908</v>
      </c>
      <c r="D210" s="12" t="n">
        <f aca="false">(B210-C210)*Inputs!B2</f>
        <v>-0.02565</v>
      </c>
      <c r="E210" s="12" t="n">
        <f aca="false">4*Inputs!B2*Inputs!B4*Inputs!B3/10000</f>
        <v>0.001</v>
      </c>
      <c r="F210" s="12" t="n">
        <f aca="false">Inputs!B2*Inputs!B5/Inputs!B6</f>
        <v>0.000833333333333333</v>
      </c>
      <c r="G210" s="12" t="n">
        <f aca="false">D210-E210-F210</f>
        <v>-0.0274833333333333</v>
      </c>
      <c r="H210" s="5" t="n">
        <f aca="false">(1+G210)*H209</f>
        <v>3.8677514640045</v>
      </c>
      <c r="I210" s="5" t="n">
        <f aca="false">MAX(1,H$2:H210)</f>
        <v>4.3772895077166</v>
      </c>
      <c r="J210" s="12" t="n">
        <f aca="false">H210/I210-1</f>
        <v>-0.116404921998843</v>
      </c>
      <c r="K210" s="12" t="n">
        <f aca="false">Data!L210</f>
        <v>-0.0118</v>
      </c>
    </row>
    <row r="211" customFormat="false" ht="30" hidden="false" customHeight="true" outlineLevel="0" collapsed="false">
      <c r="A211" s="4" t="str">
        <f aca="false">Data!A211</f>
        <v>1980-06</v>
      </c>
      <c r="B211" s="13" t="n">
        <f aca="false">Data!K211</f>
        <v>0.0629</v>
      </c>
      <c r="C211" s="13" t="n">
        <f aca="false">Data!B211</f>
        <v>0.029</v>
      </c>
      <c r="D211" s="13" t="n">
        <f aca="false">(B211-C211)*Inputs!B2</f>
        <v>0.01695</v>
      </c>
      <c r="E211" s="13" t="n">
        <f aca="false">4*Inputs!B2*Inputs!B4*Inputs!B3/10000</f>
        <v>0.001</v>
      </c>
      <c r="F211" s="13" t="n">
        <f aca="false">Inputs!B2*Inputs!B5/Inputs!B6</f>
        <v>0.000833333333333333</v>
      </c>
      <c r="G211" s="13" t="n">
        <f aca="false">D211-E211-F211</f>
        <v>0.0151166666666667</v>
      </c>
      <c r="H211" s="4" t="n">
        <f aca="false">(1+G211)*H210</f>
        <v>3.92621897363537</v>
      </c>
      <c r="I211" s="4" t="n">
        <f aca="false">MAX(1,H$2:H211)</f>
        <v>4.3772895077166</v>
      </c>
      <c r="J211" s="13" t="n">
        <f aca="false">H211/I211-1</f>
        <v>-0.103047909736392</v>
      </c>
      <c r="K211" s="13" t="n">
        <f aca="false">Data!L211</f>
        <v>0.0158</v>
      </c>
    </row>
    <row r="212" customFormat="false" ht="30" hidden="false" customHeight="true" outlineLevel="0" collapsed="false">
      <c r="A212" s="5" t="str">
        <f aca="false">Data!A212</f>
        <v>1980-07</v>
      </c>
      <c r="B212" s="12" t="n">
        <f aca="false">Data!K212</f>
        <v>0.0635</v>
      </c>
      <c r="C212" s="12" t="n">
        <f aca="false">Data!B212</f>
        <v>0.101</v>
      </c>
      <c r="D212" s="12" t="n">
        <f aca="false">(B212-C212)*Inputs!B2</f>
        <v>-0.01875</v>
      </c>
      <c r="E212" s="12" t="n">
        <f aca="false">4*Inputs!B2*Inputs!B4*Inputs!B3/10000</f>
        <v>0.001</v>
      </c>
      <c r="F212" s="12" t="n">
        <f aca="false">Inputs!B2*Inputs!B5/Inputs!B6</f>
        <v>0.000833333333333333</v>
      </c>
      <c r="G212" s="12" t="n">
        <f aca="false">D212-E212-F212</f>
        <v>-0.0205833333333333</v>
      </c>
      <c r="H212" s="5" t="n">
        <f aca="false">(1+G212)*H211</f>
        <v>3.84540429976137</v>
      </c>
      <c r="I212" s="5" t="n">
        <f aca="false">MAX(1,H$2:H212)</f>
        <v>4.3772895077166</v>
      </c>
      <c r="J212" s="12" t="n">
        <f aca="false">H212/I212-1</f>
        <v>-0.121510173594318</v>
      </c>
      <c r="K212" s="12" t="n">
        <f aca="false">Data!L212</f>
        <v>0.0032</v>
      </c>
    </row>
    <row r="213" customFormat="false" ht="30" hidden="false" customHeight="true" outlineLevel="0" collapsed="false">
      <c r="A213" s="4" t="str">
        <f aca="false">Data!A213</f>
        <v>1980-08</v>
      </c>
      <c r="B213" s="13" t="n">
        <f aca="false">Data!K213</f>
        <v>0.0515</v>
      </c>
      <c r="C213" s="13" t="n">
        <f aca="false">Data!B213</f>
        <v>0.0274</v>
      </c>
      <c r="D213" s="13" t="n">
        <f aca="false">(B213-C213)*Inputs!B2</f>
        <v>0.01205</v>
      </c>
      <c r="E213" s="13" t="n">
        <f aca="false">4*Inputs!B2*Inputs!B4*Inputs!B3/10000</f>
        <v>0.001</v>
      </c>
      <c r="F213" s="13" t="n">
        <f aca="false">Inputs!B2*Inputs!B5/Inputs!B6</f>
        <v>0.000833333333333333</v>
      </c>
      <c r="G213" s="13" t="n">
        <f aca="false">D213-E213-F213</f>
        <v>0.0102166666666667</v>
      </c>
      <c r="H213" s="4" t="n">
        <f aca="false">(1+G213)*H212</f>
        <v>3.8846915136906</v>
      </c>
      <c r="I213" s="4" t="n">
        <f aca="false">MAX(1,H$2:H213)</f>
        <v>4.3772895077166</v>
      </c>
      <c r="J213" s="13" t="n">
        <f aca="false">H213/I213-1</f>
        <v>-0.112534935867873</v>
      </c>
      <c r="K213" s="13" t="n">
        <f aca="false">Data!L213</f>
        <v>0.0308</v>
      </c>
    </row>
    <row r="214" customFormat="false" ht="30" hidden="false" customHeight="true" outlineLevel="0" collapsed="false">
      <c r="A214" s="5" t="str">
        <f aca="false">Data!A214</f>
        <v>1980-09</v>
      </c>
      <c r="B214" s="12" t="n">
        <f aca="false">Data!K214</f>
        <v>0.0832</v>
      </c>
      <c r="C214" s="12" t="n">
        <f aca="false">Data!B214</f>
        <v>0.0014</v>
      </c>
      <c r="D214" s="12" t="n">
        <f aca="false">(B214-C214)*Inputs!B2</f>
        <v>0.0409</v>
      </c>
      <c r="E214" s="12" t="n">
        <f aca="false">4*Inputs!B2*Inputs!B4*Inputs!B3/10000</f>
        <v>0.001</v>
      </c>
      <c r="F214" s="12" t="n">
        <f aca="false">Inputs!B2*Inputs!B5/Inputs!B6</f>
        <v>0.000833333333333333</v>
      </c>
      <c r="G214" s="12" t="n">
        <f aca="false">D214-E214-F214</f>
        <v>0.0390666666666667</v>
      </c>
      <c r="H214" s="5" t="n">
        <f aca="false">(1+G214)*H213</f>
        <v>4.03645346215878</v>
      </c>
      <c r="I214" s="5" t="n">
        <f aca="false">MAX(1,H$2:H214)</f>
        <v>4.3772895077166</v>
      </c>
      <c r="J214" s="12" t="n">
        <f aca="false">H214/I214-1</f>
        <v>-0.077864634029111</v>
      </c>
      <c r="K214" s="12" t="n">
        <f aca="false">Data!L214</f>
        <v>0.0544</v>
      </c>
    </row>
    <row r="215" customFormat="false" ht="30" hidden="false" customHeight="true" outlineLevel="0" collapsed="false">
      <c r="A215" s="4" t="str">
        <f aca="false">Data!A215</f>
        <v>1980-10</v>
      </c>
      <c r="B215" s="13" t="n">
        <f aca="false">Data!K215</f>
        <v>0.052</v>
      </c>
      <c r="C215" s="13" t="n">
        <f aca="false">Data!B215</f>
        <v>-0.018</v>
      </c>
      <c r="D215" s="13" t="n">
        <f aca="false">(B215-C215)*Inputs!B2</f>
        <v>0.035</v>
      </c>
      <c r="E215" s="13" t="n">
        <f aca="false">4*Inputs!B2*Inputs!B4*Inputs!B3/10000</f>
        <v>0.001</v>
      </c>
      <c r="F215" s="13" t="n">
        <f aca="false">Inputs!B2*Inputs!B5/Inputs!B6</f>
        <v>0.000833333333333333</v>
      </c>
      <c r="G215" s="13" t="n">
        <f aca="false">D215-E215-F215</f>
        <v>0.0331666666666667</v>
      </c>
      <c r="H215" s="4" t="n">
        <f aca="false">(1+G215)*H214</f>
        <v>4.17032916865372</v>
      </c>
      <c r="I215" s="4" t="n">
        <f aca="false">MAX(1,H$2:H215)</f>
        <v>4.3772895077166</v>
      </c>
      <c r="J215" s="13" t="n">
        <f aca="false">H215/I215-1</f>
        <v>-0.04728047772441</v>
      </c>
      <c r="K215" s="13" t="n">
        <f aca="false">Data!L215</f>
        <v>0.0714</v>
      </c>
    </row>
    <row r="216" customFormat="false" ht="30" hidden="false" customHeight="true" outlineLevel="0" collapsed="false">
      <c r="A216" s="5" t="str">
        <f aca="false">Data!A216</f>
        <v>1980-11</v>
      </c>
      <c r="B216" s="12" t="n">
        <f aca="false">Data!K216</f>
        <v>0.172</v>
      </c>
      <c r="C216" s="12" t="n">
        <f aca="false">Data!B216</f>
        <v>0.0087</v>
      </c>
      <c r="D216" s="12" t="n">
        <f aca="false">(B216-C216)*Inputs!B2</f>
        <v>0.08165</v>
      </c>
      <c r="E216" s="12" t="n">
        <f aca="false">4*Inputs!B2*Inputs!B4*Inputs!B3/10000</f>
        <v>0.001</v>
      </c>
      <c r="F216" s="12" t="n">
        <f aca="false">Inputs!B2*Inputs!B5/Inputs!B6</f>
        <v>0.000833333333333333</v>
      </c>
      <c r="G216" s="12" t="n">
        <f aca="false">D216-E216-F216</f>
        <v>0.0798166666666667</v>
      </c>
      <c r="H216" s="5" t="n">
        <f aca="false">(1+G216)*H215</f>
        <v>4.50319094179843</v>
      </c>
      <c r="I216" s="5" t="n">
        <f aca="false">MAX(1,H$2:H216)</f>
        <v>4.50319094179843</v>
      </c>
      <c r="J216" s="12" t="n">
        <f aca="false">H216/I216-1</f>
        <v>0</v>
      </c>
      <c r="K216" s="12" t="n">
        <f aca="false">Data!L216</f>
        <v>0.1519</v>
      </c>
    </row>
    <row r="217" customFormat="false" ht="30" hidden="false" customHeight="true" outlineLevel="0" collapsed="false">
      <c r="A217" s="4" t="str">
        <f aca="false">Data!A217</f>
        <v>1980-12</v>
      </c>
      <c r="B217" s="13" t="n">
        <f aca="false">Data!K217</f>
        <v>-0.0728</v>
      </c>
      <c r="C217" s="13" t="n">
        <f aca="false">Data!B217</f>
        <v>-0.0024</v>
      </c>
      <c r="D217" s="13" t="n">
        <f aca="false">(B217-C217)*Inputs!B2</f>
        <v>-0.0352</v>
      </c>
      <c r="E217" s="13" t="n">
        <f aca="false">4*Inputs!B2*Inputs!B4*Inputs!B3/10000</f>
        <v>0.001</v>
      </c>
      <c r="F217" s="13" t="n">
        <f aca="false">Inputs!B2*Inputs!B5/Inputs!B6</f>
        <v>0.000833333333333333</v>
      </c>
      <c r="G217" s="13" t="n">
        <f aca="false">D217-E217-F217</f>
        <v>-0.0370333333333333</v>
      </c>
      <c r="H217" s="4" t="n">
        <f aca="false">(1+G217)*H216</f>
        <v>4.33642277058716</v>
      </c>
      <c r="I217" s="4" t="n">
        <f aca="false">MAX(1,H$2:H217)</f>
        <v>4.50319094179843</v>
      </c>
      <c r="J217" s="13" t="n">
        <f aca="false">H217/I217-1</f>
        <v>-0.0370333333333334</v>
      </c>
      <c r="K217" s="13" t="n">
        <f aca="false">Data!L217</f>
        <v>-0.0669</v>
      </c>
    </row>
    <row r="218" customFormat="false" ht="30" hidden="false" customHeight="true" outlineLevel="0" collapsed="false">
      <c r="A218" s="5" t="str">
        <f aca="false">Data!A218</f>
        <v>1981-01</v>
      </c>
      <c r="B218" s="12" t="n">
        <f aca="false">Data!K218</f>
        <v>-0.1123</v>
      </c>
      <c r="C218" s="12" t="n">
        <f aca="false">Data!B218</f>
        <v>-0.0076</v>
      </c>
      <c r="D218" s="12" t="n">
        <f aca="false">(B218-C218)*Inputs!B2</f>
        <v>-0.05235</v>
      </c>
      <c r="E218" s="12" t="n">
        <f aca="false">4*Inputs!B2*Inputs!B4*Inputs!B3/10000</f>
        <v>0.001</v>
      </c>
      <c r="F218" s="12" t="n">
        <f aca="false">Inputs!B2*Inputs!B5/Inputs!B6</f>
        <v>0.000833333333333333</v>
      </c>
      <c r="G218" s="12" t="n">
        <f aca="false">D218-E218-F218</f>
        <v>-0.0541833333333333</v>
      </c>
      <c r="H218" s="5" t="n">
        <f aca="false">(1+G218)*H217</f>
        <v>4.10146093013418</v>
      </c>
      <c r="I218" s="5" t="n">
        <f aca="false">MAX(1,H$2:H218)</f>
        <v>4.50319094179843</v>
      </c>
      <c r="J218" s="12" t="n">
        <f aca="false">H218/I218-1</f>
        <v>-0.0892100772222223</v>
      </c>
      <c r="K218" s="12" t="n">
        <f aca="false">Data!L218</f>
        <v>-0.079</v>
      </c>
    </row>
    <row r="219" customFormat="false" ht="30" hidden="false" customHeight="true" outlineLevel="0" collapsed="false">
      <c r="A219" s="4" t="str">
        <f aca="false">Data!A219</f>
        <v>1981-02</v>
      </c>
      <c r="B219" s="13" t="n">
        <f aca="false">Data!K219</f>
        <v>0.0004</v>
      </c>
      <c r="C219" s="13" t="n">
        <f aca="false">Data!B219</f>
        <v>-0.0007</v>
      </c>
      <c r="D219" s="13" t="n">
        <f aca="false">(B219-C219)*Inputs!B2</f>
        <v>0.00055</v>
      </c>
      <c r="E219" s="13" t="n">
        <f aca="false">4*Inputs!B2*Inputs!B4*Inputs!B3/10000</f>
        <v>0.001</v>
      </c>
      <c r="F219" s="13" t="n">
        <f aca="false">Inputs!B2*Inputs!B5/Inputs!B6</f>
        <v>0.000833333333333333</v>
      </c>
      <c r="G219" s="13" t="n">
        <f aca="false">D219-E219-F219</f>
        <v>-0.00128333333333333</v>
      </c>
      <c r="H219" s="4" t="n">
        <f aca="false">(1+G219)*H218</f>
        <v>4.09619738860717</v>
      </c>
      <c r="I219" s="4" t="n">
        <f aca="false">MAX(1,H$2:H219)</f>
        <v>4.50319094179843</v>
      </c>
      <c r="J219" s="13" t="n">
        <f aca="false">H219/I219-1</f>
        <v>-0.0903789242897872</v>
      </c>
      <c r="K219" s="13" t="n">
        <f aca="false">Data!L219</f>
        <v>-0.0138</v>
      </c>
    </row>
    <row r="220" customFormat="false" ht="30" hidden="false" customHeight="true" outlineLevel="0" collapsed="false">
      <c r="A220" s="5" t="str">
        <f aca="false">Data!A220</f>
        <v>1981-03</v>
      </c>
      <c r="B220" s="12" t="n">
        <f aca="false">Data!K220</f>
        <v>0.085</v>
      </c>
      <c r="C220" s="12" t="n">
        <f aca="false">Data!B220</f>
        <v>0.1018</v>
      </c>
      <c r="D220" s="12" t="n">
        <f aca="false">(B220-C220)*Inputs!B2</f>
        <v>-0.0084</v>
      </c>
      <c r="E220" s="12" t="n">
        <f aca="false">4*Inputs!B2*Inputs!B4*Inputs!B3/10000</f>
        <v>0.001</v>
      </c>
      <c r="F220" s="12" t="n">
        <f aca="false">Inputs!B2*Inputs!B5/Inputs!B6</f>
        <v>0.000833333333333333</v>
      </c>
      <c r="G220" s="12" t="n">
        <f aca="false">D220-E220-F220</f>
        <v>-0.0102333333333333</v>
      </c>
      <c r="H220" s="5" t="n">
        <f aca="false">(1+G220)*H219</f>
        <v>4.05427963533042</v>
      </c>
      <c r="I220" s="5" t="n">
        <f aca="false">MAX(1,H$2:H220)</f>
        <v>4.50319094179843</v>
      </c>
      <c r="J220" s="12" t="n">
        <f aca="false">H220/I220-1</f>
        <v>-0.099687379964555</v>
      </c>
      <c r="K220" s="12" t="n">
        <f aca="false">Data!L220</f>
        <v>0.0083</v>
      </c>
    </row>
    <row r="221" customFormat="false" ht="30" hidden="false" customHeight="true" outlineLevel="0" collapsed="false">
      <c r="A221" s="4" t="str">
        <f aca="false">Data!A221</f>
        <v>1981-04</v>
      </c>
      <c r="B221" s="13" t="n">
        <f aca="false">Data!K221</f>
        <v>-0.0038</v>
      </c>
      <c r="C221" s="13" t="n">
        <f aca="false">Data!B221</f>
        <v>-0.0132</v>
      </c>
      <c r="D221" s="13" t="n">
        <f aca="false">(B221-C221)*Inputs!B2</f>
        <v>0.0047</v>
      </c>
      <c r="E221" s="13" t="n">
        <f aca="false">4*Inputs!B2*Inputs!B4*Inputs!B3/10000</f>
        <v>0.001</v>
      </c>
      <c r="F221" s="13" t="n">
        <f aca="false">Inputs!B2*Inputs!B5/Inputs!B6</f>
        <v>0.000833333333333333</v>
      </c>
      <c r="G221" s="13" t="n">
        <f aca="false">D221-E221-F221</f>
        <v>0.00286666666666667</v>
      </c>
      <c r="H221" s="4" t="n">
        <f aca="false">(1+G221)*H220</f>
        <v>4.06590190361837</v>
      </c>
      <c r="I221" s="4" t="n">
        <f aca="false">MAX(1,H$2:H221)</f>
        <v>4.50319094179843</v>
      </c>
      <c r="J221" s="13" t="n">
        <f aca="false">H221/I221-1</f>
        <v>-0.0971064837871202</v>
      </c>
      <c r="K221" s="13" t="n">
        <f aca="false">Data!L221</f>
        <v>-0.0108</v>
      </c>
    </row>
    <row r="222" customFormat="false" ht="30" hidden="false" customHeight="true" outlineLevel="0" collapsed="false">
      <c r="A222" s="5" t="str">
        <f aca="false">Data!A222</f>
        <v>1981-05</v>
      </c>
      <c r="B222" s="12" t="n">
        <f aca="false">Data!K222</f>
        <v>0.0578</v>
      </c>
      <c r="C222" s="12" t="n">
        <f aca="false">Data!B222</f>
        <v>0.0009</v>
      </c>
      <c r="D222" s="12" t="n">
        <f aca="false">(B222-C222)*Inputs!B2</f>
        <v>0.02845</v>
      </c>
      <c r="E222" s="12" t="n">
        <f aca="false">4*Inputs!B2*Inputs!B4*Inputs!B3/10000</f>
        <v>0.001</v>
      </c>
      <c r="F222" s="12" t="n">
        <f aca="false">Inputs!B2*Inputs!B5/Inputs!B6</f>
        <v>0.000833333333333333</v>
      </c>
      <c r="G222" s="12" t="n">
        <f aca="false">D222-E222-F222</f>
        <v>0.0266166666666667</v>
      </c>
      <c r="H222" s="5" t="n">
        <f aca="false">(1+G222)*H221</f>
        <v>4.17412265928635</v>
      </c>
      <c r="I222" s="5" t="n">
        <f aca="false">MAX(1,H$2:H222)</f>
        <v>4.50319094179843</v>
      </c>
      <c r="J222" s="12" t="n">
        <f aca="false">H222/I222-1</f>
        <v>-0.0730744680305874</v>
      </c>
      <c r="K222" s="12" t="n">
        <f aca="false">Data!L222</f>
        <v>0.0355</v>
      </c>
    </row>
    <row r="223" customFormat="false" ht="30" hidden="false" customHeight="true" outlineLevel="0" collapsed="false">
      <c r="A223" s="4" t="str">
        <f aca="false">Data!A223</f>
        <v>1981-06</v>
      </c>
      <c r="B223" s="13" t="n">
        <f aca="false">Data!K223</f>
        <v>-0.0797</v>
      </c>
      <c r="C223" s="13" t="n">
        <f aca="false">Data!B223</f>
        <v>0.0416</v>
      </c>
      <c r="D223" s="13" t="n">
        <f aca="false">(B223-C223)*Inputs!B2</f>
        <v>-0.06065</v>
      </c>
      <c r="E223" s="13" t="n">
        <f aca="false">4*Inputs!B2*Inputs!B4*Inputs!B3/10000</f>
        <v>0.001</v>
      </c>
      <c r="F223" s="13" t="n">
        <f aca="false">Inputs!B2*Inputs!B5/Inputs!B6</f>
        <v>0.000833333333333333</v>
      </c>
      <c r="G223" s="13" t="n">
        <f aca="false">D223-E223-F223</f>
        <v>-0.0624833333333333</v>
      </c>
      <c r="H223" s="4" t="n">
        <f aca="false">(1+G223)*H222</f>
        <v>3.91330956179194</v>
      </c>
      <c r="I223" s="4" t="n">
        <f aca="false">MAX(1,H$2:H223)</f>
        <v>4.50319094179843</v>
      </c>
      <c r="J223" s="13" t="n">
        <f aca="false">H223/I223-1</f>
        <v>-0.13099186501981</v>
      </c>
      <c r="K223" s="13" t="n">
        <f aca="false">Data!L223</f>
        <v>-0.0569</v>
      </c>
    </row>
    <row r="224" customFormat="false" ht="30" hidden="false" customHeight="true" outlineLevel="0" collapsed="false">
      <c r="A224" s="5" t="str">
        <f aca="false">Data!A224</f>
        <v>1981-07</v>
      </c>
      <c r="B224" s="12" t="n">
        <f aca="false">Data!K224</f>
        <v>-0.0249</v>
      </c>
      <c r="C224" s="12" t="n">
        <f aca="false">Data!B224</f>
        <v>0.0451</v>
      </c>
      <c r="D224" s="12" t="n">
        <f aca="false">(B224-C224)*Inputs!B2</f>
        <v>-0.035</v>
      </c>
      <c r="E224" s="12" t="n">
        <f aca="false">4*Inputs!B2*Inputs!B4*Inputs!B3/10000</f>
        <v>0.001</v>
      </c>
      <c r="F224" s="12" t="n">
        <f aca="false">Inputs!B2*Inputs!B5/Inputs!B6</f>
        <v>0.000833333333333333</v>
      </c>
      <c r="G224" s="12" t="n">
        <f aca="false">D224-E224-F224</f>
        <v>-0.0368333333333333</v>
      </c>
      <c r="H224" s="5" t="n">
        <f aca="false">(1+G224)*H223</f>
        <v>3.76916932626593</v>
      </c>
      <c r="I224" s="5" t="n">
        <f aca="false">MAX(1,H$2:H224)</f>
        <v>4.50319094179843</v>
      </c>
      <c r="J224" s="12" t="n">
        <f aca="false">H224/I224-1</f>
        <v>-0.163000331324913</v>
      </c>
      <c r="K224" s="12" t="n">
        <f aca="false">Data!L224</f>
        <v>-0.0245</v>
      </c>
    </row>
    <row r="225" customFormat="false" ht="30" hidden="false" customHeight="true" outlineLevel="0" collapsed="false">
      <c r="A225" s="4" t="str">
        <f aca="false">Data!A225</f>
        <v>1981-08</v>
      </c>
      <c r="B225" s="13" t="n">
        <f aca="false">Data!K225</f>
        <v>-0.0842</v>
      </c>
      <c r="C225" s="13" t="n">
        <f aca="false">Data!B225</f>
        <v>-0.0789</v>
      </c>
      <c r="D225" s="13" t="n">
        <f aca="false">(B225-C225)*Inputs!B2</f>
        <v>-0.00265</v>
      </c>
      <c r="E225" s="13" t="n">
        <f aca="false">4*Inputs!B2*Inputs!B4*Inputs!B3/10000</f>
        <v>0.001</v>
      </c>
      <c r="F225" s="13" t="n">
        <f aca="false">Inputs!B2*Inputs!B5/Inputs!B6</f>
        <v>0.000833333333333333</v>
      </c>
      <c r="G225" s="13" t="n">
        <f aca="false">D225-E225-F225</f>
        <v>-0.00448333333333333</v>
      </c>
      <c r="H225" s="4" t="n">
        <f aca="false">(1+G225)*H224</f>
        <v>3.75227088378651</v>
      </c>
      <c r="I225" s="4" t="n">
        <f aca="false">MAX(1,H$2:H225)</f>
        <v>4.50319094179843</v>
      </c>
      <c r="J225" s="13" t="n">
        <f aca="false">H225/I225-1</f>
        <v>-0.166752879839473</v>
      </c>
      <c r="K225" s="13" t="n">
        <f aca="false">Data!L225</f>
        <v>-0.0109</v>
      </c>
    </row>
    <row r="226" customFormat="false" ht="30" hidden="false" customHeight="true" outlineLevel="0" collapsed="false">
      <c r="A226" s="5" t="str">
        <f aca="false">Data!A226</f>
        <v>1981-09</v>
      </c>
      <c r="B226" s="12" t="n">
        <f aca="false">Data!K226</f>
        <v>-0.0814</v>
      </c>
      <c r="C226" s="12" t="n">
        <f aca="false">Data!B226</f>
        <v>-0.099</v>
      </c>
      <c r="D226" s="12" t="n">
        <f aca="false">(B226-C226)*Inputs!B2</f>
        <v>0.0088</v>
      </c>
      <c r="E226" s="12" t="n">
        <f aca="false">4*Inputs!B2*Inputs!B4*Inputs!B3/10000</f>
        <v>0.001</v>
      </c>
      <c r="F226" s="12" t="n">
        <f aca="false">Inputs!B2*Inputs!B5/Inputs!B6</f>
        <v>0.000833333333333333</v>
      </c>
      <c r="G226" s="12" t="n">
        <f aca="false">D226-E226-F226</f>
        <v>0.00696666666666667</v>
      </c>
      <c r="H226" s="5" t="n">
        <f aca="false">(1+G226)*H225</f>
        <v>3.77841170427689</v>
      </c>
      <c r="I226" s="5" t="n">
        <f aca="false">MAX(1,H$2:H226)</f>
        <v>4.50319094179843</v>
      </c>
      <c r="J226" s="12" t="n">
        <f aca="false">H226/I226-1</f>
        <v>-0.160947924902355</v>
      </c>
      <c r="K226" s="12" t="n">
        <f aca="false">Data!L226</f>
        <v>0.0213</v>
      </c>
    </row>
    <row r="227" customFormat="false" ht="30" hidden="false" customHeight="true" outlineLevel="0" collapsed="false">
      <c r="A227" s="4" t="str">
        <f aca="false">Data!A227</f>
        <v>1981-10</v>
      </c>
      <c r="B227" s="13" t="n">
        <f aca="false">Data!K227</f>
        <v>0.1181</v>
      </c>
      <c r="C227" s="13" t="n">
        <f aca="false">Data!B227</f>
        <v>0.0356</v>
      </c>
      <c r="D227" s="13" t="n">
        <f aca="false">(B227-C227)*Inputs!B2</f>
        <v>0.04125</v>
      </c>
      <c r="E227" s="13" t="n">
        <f aca="false">4*Inputs!B2*Inputs!B4*Inputs!B3/10000</f>
        <v>0.001</v>
      </c>
      <c r="F227" s="13" t="n">
        <f aca="false">Inputs!B2*Inputs!B5/Inputs!B6</f>
        <v>0.000833333333333333</v>
      </c>
      <c r="G227" s="13" t="n">
        <f aca="false">D227-E227-F227</f>
        <v>0.0394166666666667</v>
      </c>
      <c r="H227" s="4" t="n">
        <f aca="false">(1+G227)*H226</f>
        <v>3.9273440989538</v>
      </c>
      <c r="I227" s="4" t="n">
        <f aca="false">MAX(1,H$2:H227)</f>
        <v>4.50319094179843</v>
      </c>
      <c r="J227" s="13" t="n">
        <f aca="false">H227/I227-1</f>
        <v>-0.127875288942256</v>
      </c>
      <c r="K227" s="13" t="n">
        <f aca="false">Data!L227</f>
        <v>0.0393</v>
      </c>
    </row>
    <row r="228" customFormat="false" ht="30" hidden="false" customHeight="true" outlineLevel="0" collapsed="false">
      <c r="A228" s="5" t="str">
        <f aca="false">Data!A228</f>
        <v>1981-11</v>
      </c>
      <c r="B228" s="12" t="n">
        <f aca="false">Data!K228</f>
        <v>0.0278</v>
      </c>
      <c r="C228" s="12" t="n">
        <f aca="false">Data!B228</f>
        <v>0.037</v>
      </c>
      <c r="D228" s="12" t="n">
        <f aca="false">(B228-C228)*Inputs!B2</f>
        <v>-0.00460000000000001</v>
      </c>
      <c r="E228" s="12" t="n">
        <f aca="false">4*Inputs!B2*Inputs!B4*Inputs!B3/10000</f>
        <v>0.001</v>
      </c>
      <c r="F228" s="12" t="n">
        <f aca="false">Inputs!B2*Inputs!B5/Inputs!B6</f>
        <v>0.000833333333333333</v>
      </c>
      <c r="G228" s="12" t="n">
        <f aca="false">D228-E228-F228</f>
        <v>-0.00643333333333334</v>
      </c>
      <c r="H228" s="5" t="n">
        <f aca="false">(1+G228)*H227</f>
        <v>3.90207818525053</v>
      </c>
      <c r="I228" s="5" t="n">
        <f aca="false">MAX(1,H$2:H228)</f>
        <v>4.50319094179843</v>
      </c>
      <c r="J228" s="12" t="n">
        <f aca="false">H228/I228-1</f>
        <v>-0.133485957916728</v>
      </c>
      <c r="K228" s="12" t="n">
        <f aca="false">Data!L228</f>
        <v>-0.002</v>
      </c>
    </row>
    <row r="229" customFormat="false" ht="30" hidden="false" customHeight="true" outlineLevel="0" collapsed="false">
      <c r="A229" s="4" t="str">
        <f aca="false">Data!A229</f>
        <v>1981-12</v>
      </c>
      <c r="B229" s="13" t="n">
        <f aca="false">Data!K229</f>
        <v>-0.0261</v>
      </c>
      <c r="C229" s="13" t="n">
        <f aca="false">Data!B229</f>
        <v>-0.0525</v>
      </c>
      <c r="D229" s="13" t="n">
        <f aca="false">(B229-C229)*Inputs!B2</f>
        <v>0.0132</v>
      </c>
      <c r="E229" s="13" t="n">
        <f aca="false">4*Inputs!B2*Inputs!B4*Inputs!B3/10000</f>
        <v>0.001</v>
      </c>
      <c r="F229" s="13" t="n">
        <f aca="false">Inputs!B2*Inputs!B5/Inputs!B6</f>
        <v>0.000833333333333333</v>
      </c>
      <c r="G229" s="13" t="n">
        <f aca="false">D229-E229-F229</f>
        <v>0.0113666666666667</v>
      </c>
      <c r="H229" s="4" t="n">
        <f aca="false">(1+G229)*H228</f>
        <v>3.94643180728955</v>
      </c>
      <c r="I229" s="4" t="n">
        <f aca="false">MAX(1,H$2:H229)</f>
        <v>4.50319094179843</v>
      </c>
      <c r="J229" s="13" t="n">
        <f aca="false">H229/I229-1</f>
        <v>-0.123636581638381</v>
      </c>
      <c r="K229" s="13" t="n">
        <f aca="false">Data!L229</f>
        <v>0.0127</v>
      </c>
    </row>
    <row r="230" customFormat="false" ht="30" hidden="false" customHeight="true" outlineLevel="0" collapsed="false">
      <c r="A230" s="5" t="str">
        <f aca="false">Data!A230</f>
        <v>1982-01</v>
      </c>
      <c r="B230" s="12" t="n">
        <f aca="false">Data!K230</f>
        <v>-0.0359</v>
      </c>
      <c r="C230" s="12" t="n">
        <f aca="false">Data!B230</f>
        <v>-0.0484</v>
      </c>
      <c r="D230" s="12" t="n">
        <f aca="false">(B230-C230)*Inputs!B2</f>
        <v>0.00625</v>
      </c>
      <c r="E230" s="12" t="n">
        <f aca="false">4*Inputs!B2*Inputs!B4*Inputs!B3/10000</f>
        <v>0.001</v>
      </c>
      <c r="F230" s="12" t="n">
        <f aca="false">Inputs!B2*Inputs!B5/Inputs!B6</f>
        <v>0.000833333333333333</v>
      </c>
      <c r="G230" s="12" t="n">
        <f aca="false">D230-E230-F230</f>
        <v>0.00441666666666667</v>
      </c>
      <c r="H230" s="5" t="n">
        <f aca="false">(1+G230)*H229</f>
        <v>3.96386188110508</v>
      </c>
      <c r="I230" s="5" t="n">
        <f aca="false">MAX(1,H$2:H230)</f>
        <v>4.50319094179843</v>
      </c>
      <c r="J230" s="12" t="n">
        <f aca="false">H230/I230-1</f>
        <v>-0.119765976540617</v>
      </c>
      <c r="K230" s="12" t="n">
        <f aca="false">Data!L230</f>
        <v>0.0176</v>
      </c>
    </row>
    <row r="231" customFormat="false" ht="30" hidden="false" customHeight="true" outlineLevel="0" collapsed="false">
      <c r="A231" s="4" t="str">
        <f aca="false">Data!A231</f>
        <v>1982-02</v>
      </c>
      <c r="B231" s="13" t="n">
        <f aca="false">Data!K231</f>
        <v>-0.0477</v>
      </c>
      <c r="C231" s="13" t="n">
        <f aca="false">Data!B231</f>
        <v>-0.0916</v>
      </c>
      <c r="D231" s="13" t="n">
        <f aca="false">(B231-C231)*Inputs!B2</f>
        <v>0.02195</v>
      </c>
      <c r="E231" s="13" t="n">
        <f aca="false">4*Inputs!B2*Inputs!B4*Inputs!B3/10000</f>
        <v>0.001</v>
      </c>
      <c r="F231" s="13" t="n">
        <f aca="false">Inputs!B2*Inputs!B5/Inputs!B6</f>
        <v>0.000833333333333333</v>
      </c>
      <c r="G231" s="13" t="n">
        <f aca="false">D231-E231-F231</f>
        <v>0.0201166666666667</v>
      </c>
      <c r="H231" s="4" t="n">
        <f aca="false">(1+G231)*H230</f>
        <v>4.04360156927997</v>
      </c>
      <c r="I231" s="4" t="n">
        <f aca="false">MAX(1,H$2:H231)</f>
        <v>4.50319094179843</v>
      </c>
      <c r="J231" s="13" t="n">
        <f aca="false">H231/I231-1</f>
        <v>-0.102058602102026</v>
      </c>
      <c r="K231" s="13" t="n">
        <f aca="false">Data!L231</f>
        <v>0.0487</v>
      </c>
    </row>
    <row r="232" customFormat="false" ht="30" hidden="false" customHeight="true" outlineLevel="0" collapsed="false">
      <c r="A232" s="5" t="str">
        <f aca="false">Data!A232</f>
        <v>1982-03</v>
      </c>
      <c r="B232" s="12" t="n">
        <f aca="false">Data!K232</f>
        <v>-0.0052</v>
      </c>
      <c r="C232" s="12" t="n">
        <f aca="false">Data!B232</f>
        <v>-0.0477</v>
      </c>
      <c r="D232" s="12" t="n">
        <f aca="false">(B232-C232)*Inputs!B2</f>
        <v>0.02125</v>
      </c>
      <c r="E232" s="12" t="n">
        <f aca="false">4*Inputs!B2*Inputs!B4*Inputs!B3/10000</f>
        <v>0.001</v>
      </c>
      <c r="F232" s="12" t="n">
        <f aca="false">Inputs!B2*Inputs!B5/Inputs!B6</f>
        <v>0.000833333333333333</v>
      </c>
      <c r="G232" s="12" t="n">
        <f aca="false">D232-E232-F232</f>
        <v>0.0194166666666667</v>
      </c>
      <c r="H232" s="5" t="n">
        <f aca="false">(1+G232)*H231</f>
        <v>4.12211483308349</v>
      </c>
      <c r="I232" s="5" t="n">
        <f aca="false">MAX(1,H$2:H232)</f>
        <v>4.50319094179843</v>
      </c>
      <c r="J232" s="12" t="n">
        <f aca="false">H232/I232-1</f>
        <v>-0.0846235732928402</v>
      </c>
      <c r="K232" s="12" t="n">
        <f aca="false">Data!L232</f>
        <v>0.0291</v>
      </c>
    </row>
    <row r="233" customFormat="false" ht="30" hidden="false" customHeight="true" outlineLevel="0" collapsed="false">
      <c r="A233" s="4" t="str">
        <f aca="false">Data!A233</f>
        <v>1982-04</v>
      </c>
      <c r="B233" s="13" t="n">
        <f aca="false">Data!K233</f>
        <v>0.0441</v>
      </c>
      <c r="C233" s="13" t="n">
        <f aca="false">Data!B233</f>
        <v>0.0575</v>
      </c>
      <c r="D233" s="13" t="n">
        <f aca="false">(B233-C233)*Inputs!B2</f>
        <v>-0.0067</v>
      </c>
      <c r="E233" s="13" t="n">
        <f aca="false">4*Inputs!B2*Inputs!B4*Inputs!B3/10000</f>
        <v>0.001</v>
      </c>
      <c r="F233" s="13" t="n">
        <f aca="false">Inputs!B2*Inputs!B5/Inputs!B6</f>
        <v>0.000833333333333333</v>
      </c>
      <c r="G233" s="13" t="n">
        <f aca="false">D233-E233-F233</f>
        <v>-0.00853333333333333</v>
      </c>
      <c r="H233" s="4" t="n">
        <f aca="false">(1+G233)*H232</f>
        <v>4.08693945317451</v>
      </c>
      <c r="I233" s="4" t="n">
        <f aca="false">MAX(1,H$2:H233)</f>
        <v>4.50319094179843</v>
      </c>
      <c r="J233" s="13" t="n">
        <f aca="false">H233/I233-1</f>
        <v>-0.0924347854674079</v>
      </c>
      <c r="K233" s="13" t="n">
        <f aca="false">Data!L233</f>
        <v>-0.0046</v>
      </c>
    </row>
    <row r="234" customFormat="false" ht="30" hidden="false" customHeight="true" outlineLevel="0" collapsed="false">
      <c r="A234" s="5" t="str">
        <f aca="false">Data!A234</f>
        <v>1982-05</v>
      </c>
      <c r="B234" s="12" t="n">
        <f aca="false">Data!K234</f>
        <v>-0.0112</v>
      </c>
      <c r="C234" s="12" t="n">
        <f aca="false">Data!B234</f>
        <v>-0.0643</v>
      </c>
      <c r="D234" s="12" t="n">
        <f aca="false">(B234-C234)*Inputs!B2</f>
        <v>0.02655</v>
      </c>
      <c r="E234" s="12" t="n">
        <f aca="false">4*Inputs!B2*Inputs!B4*Inputs!B3/10000</f>
        <v>0.001</v>
      </c>
      <c r="F234" s="12" t="n">
        <f aca="false">Inputs!B2*Inputs!B5/Inputs!B6</f>
        <v>0.000833333333333333</v>
      </c>
      <c r="G234" s="12" t="n">
        <f aca="false">D234-E234-F234</f>
        <v>0.0247166666666667</v>
      </c>
      <c r="H234" s="5" t="n">
        <f aca="false">(1+G234)*H233</f>
        <v>4.18795497332548</v>
      </c>
      <c r="I234" s="5" t="n">
        <f aca="false">MAX(1,H$2:H234)</f>
        <v>4.50319094179843</v>
      </c>
      <c r="J234" s="12" t="n">
        <f aca="false">H234/I234-1</f>
        <v>-0.0700027985815439</v>
      </c>
      <c r="K234" s="12" t="n">
        <f aca="false">Data!L234</f>
        <v>0.0251</v>
      </c>
    </row>
    <row r="235" customFormat="false" ht="30" hidden="false" customHeight="true" outlineLevel="0" collapsed="false">
      <c r="A235" s="4" t="str">
        <f aca="false">Data!A235</f>
        <v>1982-06</v>
      </c>
      <c r="B235" s="13" t="n">
        <f aca="false">Data!K235</f>
        <v>0.0108</v>
      </c>
      <c r="C235" s="13" t="n">
        <f aca="false">Data!B235</f>
        <v>-0.0905</v>
      </c>
      <c r="D235" s="13" t="n">
        <f aca="false">(B235-C235)*Inputs!B2</f>
        <v>0.05065</v>
      </c>
      <c r="E235" s="13" t="n">
        <f aca="false">4*Inputs!B2*Inputs!B4*Inputs!B3/10000</f>
        <v>0.001</v>
      </c>
      <c r="F235" s="13" t="n">
        <f aca="false">Inputs!B2*Inputs!B5/Inputs!B6</f>
        <v>0.000833333333333333</v>
      </c>
      <c r="G235" s="13" t="n">
        <f aca="false">D235-E235-F235</f>
        <v>0.0488166666666667</v>
      </c>
      <c r="H235" s="4" t="n">
        <f aca="false">(1+G235)*H234</f>
        <v>4.39239697527332</v>
      </c>
      <c r="I235" s="4" t="n">
        <f aca="false">MAX(1,H$2:H235)</f>
        <v>4.50319094179843</v>
      </c>
      <c r="J235" s="13" t="n">
        <f aca="false">H235/I235-1</f>
        <v>-0.0246034351989664</v>
      </c>
      <c r="K235" s="13" t="n">
        <f aca="false">Data!L235</f>
        <v>0.0488</v>
      </c>
    </row>
    <row r="236" customFormat="false" ht="30" hidden="false" customHeight="true" outlineLevel="0" collapsed="false">
      <c r="A236" s="5" t="str">
        <f aca="false">Data!A236</f>
        <v>1982-07</v>
      </c>
      <c r="B236" s="12" t="n">
        <f aca="false">Data!K236</f>
        <v>-0.0157</v>
      </c>
      <c r="C236" s="12" t="n">
        <f aca="false">Data!B236</f>
        <v>-0.0677</v>
      </c>
      <c r="D236" s="12" t="n">
        <f aca="false">(B236-C236)*Inputs!B2</f>
        <v>0.026</v>
      </c>
      <c r="E236" s="12" t="n">
        <f aca="false">4*Inputs!B2*Inputs!B4*Inputs!B3/10000</f>
        <v>0.001</v>
      </c>
      <c r="F236" s="12" t="n">
        <f aca="false">Inputs!B2*Inputs!B5/Inputs!B6</f>
        <v>0.000833333333333333</v>
      </c>
      <c r="G236" s="12" t="n">
        <f aca="false">D236-E236-F236</f>
        <v>0.0241666666666667</v>
      </c>
      <c r="H236" s="5" t="n">
        <f aca="false">(1+G236)*H235</f>
        <v>4.49854656884242</v>
      </c>
      <c r="I236" s="5" t="n">
        <f aca="false">MAX(1,H$2:H236)</f>
        <v>4.50319094179843</v>
      </c>
      <c r="J236" s="12" t="n">
        <f aca="false">H236/I236-1</f>
        <v>-0.00103135154960798</v>
      </c>
      <c r="K236" s="12" t="n">
        <f aca="false">Data!L236</f>
        <v>0.044</v>
      </c>
    </row>
    <row r="237" customFormat="false" ht="30" hidden="false" customHeight="true" outlineLevel="0" collapsed="false">
      <c r="A237" s="4" t="str">
        <f aca="false">Data!A237</f>
        <v>1982-08</v>
      </c>
      <c r="B237" s="13" t="n">
        <f aca="false">Data!K237</f>
        <v>0.0956</v>
      </c>
      <c r="C237" s="13" t="n">
        <f aca="false">Data!B237</f>
        <v>0.1061</v>
      </c>
      <c r="D237" s="13" t="n">
        <f aca="false">(B237-C237)*Inputs!B2</f>
        <v>-0.00525</v>
      </c>
      <c r="E237" s="13" t="n">
        <f aca="false">4*Inputs!B2*Inputs!B4*Inputs!B3/10000</f>
        <v>0.001</v>
      </c>
      <c r="F237" s="13" t="n">
        <f aca="false">Inputs!B2*Inputs!B5/Inputs!B6</f>
        <v>0.000833333333333333</v>
      </c>
      <c r="G237" s="13" t="n">
        <f aca="false">D237-E237-F237</f>
        <v>-0.00708333333333333</v>
      </c>
      <c r="H237" s="4" t="n">
        <f aca="false">(1+G237)*H236</f>
        <v>4.46668186397979</v>
      </c>
      <c r="I237" s="4" t="n">
        <f aca="false">MAX(1,H$2:H237)</f>
        <v>4.50319094179843</v>
      </c>
      <c r="J237" s="13" t="n">
        <f aca="false">H237/I237-1</f>
        <v>-0.0081073794761316</v>
      </c>
      <c r="K237" s="13" t="n">
        <f aca="false">Data!L237</f>
        <v>-0.0356</v>
      </c>
    </row>
    <row r="238" customFormat="false" ht="30" hidden="false" customHeight="true" outlineLevel="0" collapsed="false">
      <c r="A238" s="5" t="str">
        <f aca="false">Data!A238</f>
        <v>1982-09</v>
      </c>
      <c r="B238" s="12" t="n">
        <f aca="false">Data!K238</f>
        <v>0.0473</v>
      </c>
      <c r="C238" s="12" t="n">
        <f aca="false">Data!B238</f>
        <v>-0.0306</v>
      </c>
      <c r="D238" s="12" t="n">
        <f aca="false">(B238-C238)*Inputs!B2</f>
        <v>0.03895</v>
      </c>
      <c r="E238" s="12" t="n">
        <f aca="false">4*Inputs!B2*Inputs!B4*Inputs!B3/10000</f>
        <v>0.001</v>
      </c>
      <c r="F238" s="12" t="n">
        <f aca="false">Inputs!B2*Inputs!B5/Inputs!B6</f>
        <v>0.000833333333333333</v>
      </c>
      <c r="G238" s="12" t="n">
        <f aca="false">D238-E238-F238</f>
        <v>0.0371166666666667</v>
      </c>
      <c r="H238" s="5" t="n">
        <f aca="false">(1+G238)*H237</f>
        <v>4.63247020583117</v>
      </c>
      <c r="I238" s="5" t="n">
        <f aca="false">MAX(1,H$2:H238)</f>
        <v>4.63247020583117</v>
      </c>
      <c r="J238" s="12" t="n">
        <f aca="false">H238/I238-1</f>
        <v>0</v>
      </c>
      <c r="K238" s="12" t="n">
        <f aca="false">Data!L238</f>
        <v>0.0414</v>
      </c>
    </row>
    <row r="239" customFormat="false" ht="30" hidden="false" customHeight="true" outlineLevel="0" collapsed="false">
      <c r="A239" s="4" t="str">
        <f aca="false">Data!A239</f>
        <v>1982-10</v>
      </c>
      <c r="B239" s="13" t="n">
        <f aca="false">Data!K239</f>
        <v>0.1387</v>
      </c>
      <c r="C239" s="13" t="n">
        <f aca="false">Data!B239</f>
        <v>0.1381</v>
      </c>
      <c r="D239" s="13" t="n">
        <f aca="false">(B239-C239)*Inputs!B2</f>
        <v>0.000299999999999995</v>
      </c>
      <c r="E239" s="13" t="n">
        <f aca="false">4*Inputs!B2*Inputs!B4*Inputs!B3/10000</f>
        <v>0.001</v>
      </c>
      <c r="F239" s="13" t="n">
        <f aca="false">Inputs!B2*Inputs!B5/Inputs!B6</f>
        <v>0.000833333333333333</v>
      </c>
      <c r="G239" s="13" t="n">
        <f aca="false">D239-E239-F239</f>
        <v>-0.00153333333333334</v>
      </c>
      <c r="H239" s="4" t="n">
        <f aca="false">(1+G239)*H238</f>
        <v>4.6253670848489</v>
      </c>
      <c r="I239" s="4" t="n">
        <f aca="false">MAX(1,H$2:H239)</f>
        <v>4.63247020583117</v>
      </c>
      <c r="J239" s="13" t="n">
        <f aca="false">H239/I239-1</f>
        <v>-0.00153333333333339</v>
      </c>
      <c r="K239" s="13" t="n">
        <f aca="false">Data!L239</f>
        <v>0</v>
      </c>
    </row>
    <row r="240" customFormat="false" ht="30" hidden="false" customHeight="true" outlineLevel="0" collapsed="false">
      <c r="A240" s="5" t="str">
        <f aca="false">Data!A240</f>
        <v>1982-11</v>
      </c>
      <c r="B240" s="12" t="n">
        <f aca="false">Data!K240</f>
        <v>0.0995</v>
      </c>
      <c r="C240" s="12" t="n">
        <f aca="false">Data!B240</f>
        <v>0.0184</v>
      </c>
      <c r="D240" s="12" t="n">
        <f aca="false">(B240-C240)*Inputs!B2</f>
        <v>0.04055</v>
      </c>
      <c r="E240" s="12" t="n">
        <f aca="false">4*Inputs!B2*Inputs!B4*Inputs!B3/10000</f>
        <v>0.001</v>
      </c>
      <c r="F240" s="12" t="n">
        <f aca="false">Inputs!B2*Inputs!B5/Inputs!B6</f>
        <v>0.000833333333333333</v>
      </c>
      <c r="G240" s="12" t="n">
        <f aca="false">D240-E240-F240</f>
        <v>0.0387166666666667</v>
      </c>
      <c r="H240" s="5" t="n">
        <f aca="false">(1+G240)*H239</f>
        <v>4.80444588048396</v>
      </c>
      <c r="I240" s="5" t="n">
        <f aca="false">MAX(1,H$2:H240)</f>
        <v>4.80444588048396</v>
      </c>
      <c r="J240" s="12" t="n">
        <f aca="false">H240/I240-1</f>
        <v>0</v>
      </c>
      <c r="K240" s="12" t="n">
        <f aca="false">Data!L240</f>
        <v>0.0591</v>
      </c>
    </row>
    <row r="241" customFormat="false" ht="30" hidden="false" customHeight="true" outlineLevel="0" collapsed="false">
      <c r="A241" s="4" t="str">
        <f aca="false">Data!A241</f>
        <v>1982-12</v>
      </c>
      <c r="B241" s="13" t="n">
        <f aca="false">Data!K241</f>
        <v>0.0006</v>
      </c>
      <c r="C241" s="13" t="n">
        <f aca="false">Data!B241</f>
        <v>0.0382</v>
      </c>
      <c r="D241" s="13" t="n">
        <f aca="false">(B241-C241)*Inputs!B2</f>
        <v>-0.0188</v>
      </c>
      <c r="E241" s="13" t="n">
        <f aca="false">4*Inputs!B2*Inputs!B4*Inputs!B3/10000</f>
        <v>0.001</v>
      </c>
      <c r="F241" s="13" t="n">
        <f aca="false">Inputs!B2*Inputs!B5/Inputs!B6</f>
        <v>0.000833333333333333</v>
      </c>
      <c r="G241" s="13" t="n">
        <f aca="false">D241-E241-F241</f>
        <v>-0.0206333333333333</v>
      </c>
      <c r="H241" s="4" t="n">
        <f aca="false">(1+G241)*H240</f>
        <v>4.70531414714998</v>
      </c>
      <c r="I241" s="4" t="n">
        <f aca="false">MAX(1,H$2:H241)</f>
        <v>4.80444588048396</v>
      </c>
      <c r="J241" s="13" t="n">
        <f aca="false">H241/I241-1</f>
        <v>-0.0206333333333333</v>
      </c>
      <c r="K241" s="13" t="n">
        <f aca="false">Data!L241</f>
        <v>0</v>
      </c>
    </row>
    <row r="242" customFormat="false" ht="30" hidden="false" customHeight="true" outlineLevel="0" collapsed="false">
      <c r="A242" s="5" t="str">
        <f aca="false">Data!A242</f>
        <v>1983-01</v>
      </c>
      <c r="B242" s="12" t="n">
        <f aca="false">Data!K242</f>
        <v>0.0256</v>
      </c>
      <c r="C242" s="12" t="n">
        <f aca="false">Data!B242</f>
        <v>0.0696</v>
      </c>
      <c r="D242" s="12" t="n">
        <f aca="false">(B242-C242)*Inputs!B2</f>
        <v>-0.022</v>
      </c>
      <c r="E242" s="12" t="n">
        <f aca="false">4*Inputs!B2*Inputs!B4*Inputs!B3/10000</f>
        <v>0.001</v>
      </c>
      <c r="F242" s="12" t="n">
        <f aca="false">Inputs!B2*Inputs!B5/Inputs!B6</f>
        <v>0.000833333333333333</v>
      </c>
      <c r="G242" s="12" t="n">
        <f aca="false">D242-E242-F242</f>
        <v>-0.0238333333333333</v>
      </c>
      <c r="H242" s="5" t="n">
        <f aca="false">(1+G242)*H241</f>
        <v>4.5931708266429</v>
      </c>
      <c r="I242" s="5" t="n">
        <f aca="false">MAX(1,H$2:H242)</f>
        <v>4.80444588048396</v>
      </c>
      <c r="J242" s="12" t="n">
        <f aca="false">H242/I242-1</f>
        <v>-0.0439749055555555</v>
      </c>
      <c r="K242" s="12" t="n">
        <f aca="false">Data!L242</f>
        <v>-0.0164</v>
      </c>
    </row>
    <row r="243" customFormat="false" ht="30" hidden="false" customHeight="true" outlineLevel="0" collapsed="false">
      <c r="A243" s="4" t="str">
        <f aca="false">Data!A243</f>
        <v>1983-02</v>
      </c>
      <c r="B243" s="13" t="n">
        <f aca="false">Data!K243</f>
        <v>0.0691</v>
      </c>
      <c r="C243" s="13" t="n">
        <f aca="false">Data!B243</f>
        <v>-0.0202</v>
      </c>
      <c r="D243" s="13" t="n">
        <f aca="false">(B243-C243)*Inputs!B2</f>
        <v>0.04465</v>
      </c>
      <c r="E243" s="13" t="n">
        <f aca="false">4*Inputs!B2*Inputs!B4*Inputs!B3/10000</f>
        <v>0.001</v>
      </c>
      <c r="F243" s="13" t="n">
        <f aca="false">Inputs!B2*Inputs!B5/Inputs!B6</f>
        <v>0.000833333333333333</v>
      </c>
      <c r="G243" s="13" t="n">
        <f aca="false">D243-E243-F243</f>
        <v>0.0428166666666667</v>
      </c>
      <c r="H243" s="4" t="n">
        <f aca="false">(1+G243)*H242</f>
        <v>4.78983509087033</v>
      </c>
      <c r="I243" s="4" t="n">
        <f aca="false">MAX(1,H$2:H243)</f>
        <v>4.80444588048396</v>
      </c>
      <c r="J243" s="13" t="n">
        <f aca="false">H243/I243-1</f>
        <v>-0.00304109776175932</v>
      </c>
      <c r="K243" s="13" t="n">
        <f aca="false">Data!L243</f>
        <v>0.0371</v>
      </c>
    </row>
    <row r="244" customFormat="false" ht="30" hidden="false" customHeight="true" outlineLevel="0" collapsed="false">
      <c r="A244" s="5" t="str">
        <f aca="false">Data!A244</f>
        <v>1983-03</v>
      </c>
      <c r="B244" s="12" t="n">
        <f aca="false">Data!K244</f>
        <v>0.0489</v>
      </c>
      <c r="C244" s="12" t="n">
        <f aca="false">Data!B244</f>
        <v>0.0219</v>
      </c>
      <c r="D244" s="12" t="n">
        <f aca="false">(B244-C244)*Inputs!B2</f>
        <v>0.0135</v>
      </c>
      <c r="E244" s="12" t="n">
        <f aca="false">4*Inputs!B2*Inputs!B4*Inputs!B3/10000</f>
        <v>0.001</v>
      </c>
      <c r="F244" s="12" t="n">
        <f aca="false">Inputs!B2*Inputs!B5/Inputs!B6</f>
        <v>0.000833333333333333</v>
      </c>
      <c r="G244" s="12" t="n">
        <f aca="false">D244-E244-F244</f>
        <v>0.0116666666666667</v>
      </c>
      <c r="H244" s="5" t="n">
        <f aca="false">(1+G244)*H243</f>
        <v>4.84571650026382</v>
      </c>
      <c r="I244" s="5" t="n">
        <f aca="false">MAX(1,H$2:H244)</f>
        <v>4.84571650026382</v>
      </c>
      <c r="J244" s="12" t="n">
        <f aca="false">H244/I244-1</f>
        <v>0</v>
      </c>
      <c r="K244" s="12" t="n">
        <f aca="false">Data!L244</f>
        <v>0.0088</v>
      </c>
    </row>
    <row r="245" customFormat="false" ht="30" hidden="false" customHeight="true" outlineLevel="0" collapsed="false">
      <c r="A245" s="4" t="str">
        <f aca="false">Data!A245</f>
        <v>1983-04</v>
      </c>
      <c r="B245" s="13" t="n">
        <f aca="false">Data!K245</f>
        <v>0.1063</v>
      </c>
      <c r="C245" s="13" t="n">
        <f aca="false">Data!B245</f>
        <v>0.0651</v>
      </c>
      <c r="D245" s="13" t="n">
        <f aca="false">(B245-C245)*Inputs!B2</f>
        <v>0.0206</v>
      </c>
      <c r="E245" s="13" t="n">
        <f aca="false">4*Inputs!B2*Inputs!B4*Inputs!B3/10000</f>
        <v>0.001</v>
      </c>
      <c r="F245" s="13" t="n">
        <f aca="false">Inputs!B2*Inputs!B5/Inputs!B6</f>
        <v>0.000833333333333333</v>
      </c>
      <c r="G245" s="13" t="n">
        <f aca="false">D245-E245-F245</f>
        <v>0.0187666666666667</v>
      </c>
      <c r="H245" s="4" t="n">
        <f aca="false">(1+G245)*H244</f>
        <v>4.93665444658543</v>
      </c>
      <c r="I245" s="4" t="n">
        <f aca="false">MAX(1,H$2:H245)</f>
        <v>4.93665444658543</v>
      </c>
      <c r="J245" s="13" t="n">
        <f aca="false">H245/I245-1</f>
        <v>0</v>
      </c>
      <c r="K245" s="13" t="n">
        <f aca="false">Data!L245</f>
        <v>0.0164</v>
      </c>
    </row>
    <row r="246" customFormat="false" ht="30" hidden="false" customHeight="true" outlineLevel="0" collapsed="false">
      <c r="A246" s="5" t="str">
        <f aca="false">Data!A246</f>
        <v>1983-05</v>
      </c>
      <c r="B246" s="12" t="n">
        <f aca="false">Data!K246</f>
        <v>0.0476</v>
      </c>
      <c r="C246" s="12" t="n">
        <f aca="false">Data!B246</f>
        <v>0.0867</v>
      </c>
      <c r="D246" s="12" t="n">
        <f aca="false">(B246-C246)*Inputs!B2</f>
        <v>-0.01955</v>
      </c>
      <c r="E246" s="12" t="n">
        <f aca="false">4*Inputs!B2*Inputs!B4*Inputs!B3/10000</f>
        <v>0.001</v>
      </c>
      <c r="F246" s="12" t="n">
        <f aca="false">Inputs!B2*Inputs!B5/Inputs!B6</f>
        <v>0.000833333333333333</v>
      </c>
      <c r="G246" s="12" t="n">
        <f aca="false">D246-E246-F246</f>
        <v>-0.0213833333333333</v>
      </c>
      <c r="H246" s="5" t="n">
        <f aca="false">(1+G246)*H245</f>
        <v>4.83109231900262</v>
      </c>
      <c r="I246" s="5" t="n">
        <f aca="false">MAX(1,H$2:H246)</f>
        <v>4.93665444658543</v>
      </c>
      <c r="J246" s="12" t="n">
        <f aca="false">H246/I246-1</f>
        <v>-0.0213833333333332</v>
      </c>
      <c r="K246" s="12" t="n">
        <f aca="false">Data!L246</f>
        <v>-0.0156</v>
      </c>
    </row>
    <row r="247" customFormat="false" ht="30" hidden="false" customHeight="true" outlineLevel="0" collapsed="false">
      <c r="A247" s="4" t="str">
        <f aca="false">Data!A247</f>
        <v>1983-06</v>
      </c>
      <c r="B247" s="13" t="n">
        <f aca="false">Data!K247</f>
        <v>0.0571</v>
      </c>
      <c r="C247" s="13" t="n">
        <f aca="false">Data!B247</f>
        <v>0.0457</v>
      </c>
      <c r="D247" s="13" t="n">
        <f aca="false">(B247-C247)*Inputs!B2</f>
        <v>0.0057</v>
      </c>
      <c r="E247" s="13" t="n">
        <f aca="false">4*Inputs!B2*Inputs!B4*Inputs!B3/10000</f>
        <v>0.001</v>
      </c>
      <c r="F247" s="13" t="n">
        <f aca="false">Inputs!B2*Inputs!B5/Inputs!B6</f>
        <v>0.000833333333333333</v>
      </c>
      <c r="G247" s="13" t="n">
        <f aca="false">D247-E247-F247</f>
        <v>0.00386666666666667</v>
      </c>
      <c r="H247" s="4" t="n">
        <f aca="false">(1+G247)*H246</f>
        <v>4.84977254263609</v>
      </c>
      <c r="I247" s="4" t="n">
        <f aca="false">MAX(1,H$2:H247)</f>
        <v>4.93665444658543</v>
      </c>
      <c r="J247" s="13" t="n">
        <f aca="false">H247/I247-1</f>
        <v>-0.0175993488888888</v>
      </c>
      <c r="K247" s="13" t="n">
        <f aca="false">Data!L247</f>
        <v>0.0186</v>
      </c>
    </row>
    <row r="248" customFormat="false" ht="30" hidden="false" customHeight="true" outlineLevel="0" collapsed="false">
      <c r="A248" s="5" t="str">
        <f aca="false">Data!A248</f>
        <v>1983-07</v>
      </c>
      <c r="B248" s="12" t="n">
        <f aca="false">Data!K248</f>
        <v>-0.0784</v>
      </c>
      <c r="C248" s="12" t="n">
        <f aca="false">Data!B248</f>
        <v>-0.0267</v>
      </c>
      <c r="D248" s="12" t="n">
        <f aca="false">(B248-C248)*Inputs!B2</f>
        <v>-0.02585</v>
      </c>
      <c r="E248" s="12" t="n">
        <f aca="false">4*Inputs!B2*Inputs!B4*Inputs!B3/10000</f>
        <v>0.001</v>
      </c>
      <c r="F248" s="12" t="n">
        <f aca="false">Inputs!B2*Inputs!B5/Inputs!B6</f>
        <v>0.000833333333333333</v>
      </c>
      <c r="G248" s="12" t="n">
        <f aca="false">D248-E248-F248</f>
        <v>-0.0276833333333333</v>
      </c>
      <c r="H248" s="5" t="n">
        <f aca="false">(1+G248)*H247</f>
        <v>4.71551467274745</v>
      </c>
      <c r="I248" s="5" t="n">
        <f aca="false">MAX(1,H$2:H248)</f>
        <v>4.93665444658543</v>
      </c>
      <c r="J248" s="12" t="n">
        <f aca="false">H248/I248-1</f>
        <v>-0.0447954735804812</v>
      </c>
      <c r="K248" s="12" t="n">
        <f aca="false">Data!L248</f>
        <v>-0.0308</v>
      </c>
    </row>
    <row r="249" customFormat="false" ht="30" hidden="false" customHeight="true" outlineLevel="0" collapsed="false">
      <c r="A249" s="4" t="str">
        <f aca="false">Data!A249</f>
        <v>1983-08</v>
      </c>
      <c r="B249" s="13" t="n">
        <f aca="false">Data!K249</f>
        <v>-0.0452</v>
      </c>
      <c r="C249" s="13" t="n">
        <f aca="false">Data!B249</f>
        <v>-0.0023</v>
      </c>
      <c r="D249" s="13" t="n">
        <f aca="false">(B249-C249)*Inputs!B2</f>
        <v>-0.02145</v>
      </c>
      <c r="E249" s="13" t="n">
        <f aca="false">4*Inputs!B2*Inputs!B4*Inputs!B3/10000</f>
        <v>0.001</v>
      </c>
      <c r="F249" s="13" t="n">
        <f aca="false">Inputs!B2*Inputs!B5/Inputs!B6</f>
        <v>0.000833333333333333</v>
      </c>
      <c r="G249" s="13" t="n">
        <f aca="false">D249-E249-F249</f>
        <v>-0.0232833333333333</v>
      </c>
      <c r="H249" s="4" t="n">
        <f aca="false">(1+G249)*H248</f>
        <v>4.60572177278365</v>
      </c>
      <c r="I249" s="4" t="n">
        <f aca="false">MAX(1,H$2:H249)</f>
        <v>4.93665444658543</v>
      </c>
      <c r="J249" s="13" t="n">
        <f aca="false">H249/I249-1</f>
        <v>-0.0670358189706156</v>
      </c>
      <c r="K249" s="13" t="n">
        <f aca="false">Data!L249</f>
        <v>-0.0536</v>
      </c>
    </row>
    <row r="250" customFormat="false" ht="30" hidden="false" customHeight="true" outlineLevel="0" collapsed="false">
      <c r="A250" s="5" t="str">
        <f aca="false">Data!A250</f>
        <v>1983-09</v>
      </c>
      <c r="B250" s="12" t="n">
        <f aca="false">Data!K250</f>
        <v>0.0117</v>
      </c>
      <c r="C250" s="12" t="n">
        <f aca="false">Data!B250</f>
        <v>0.0358</v>
      </c>
      <c r="D250" s="12" t="n">
        <f aca="false">(B250-C250)*Inputs!B2</f>
        <v>-0.01205</v>
      </c>
      <c r="E250" s="12" t="n">
        <f aca="false">4*Inputs!B2*Inputs!B4*Inputs!B3/10000</f>
        <v>0.001</v>
      </c>
      <c r="F250" s="12" t="n">
        <f aca="false">Inputs!B2*Inputs!B5/Inputs!B6</f>
        <v>0.000833333333333333</v>
      </c>
      <c r="G250" s="12" t="n">
        <f aca="false">D250-E250-F250</f>
        <v>-0.0138833333333333</v>
      </c>
      <c r="H250" s="5" t="n">
        <f aca="false">(1+G250)*H249</f>
        <v>4.5417790021715</v>
      </c>
      <c r="I250" s="5" t="n">
        <f aca="false">MAX(1,H$2:H250)</f>
        <v>4.93665444658543</v>
      </c>
      <c r="J250" s="12" t="n">
        <f aca="false">H250/I250-1</f>
        <v>-0.0799884716839069</v>
      </c>
      <c r="K250" s="12" t="n">
        <f aca="false">Data!L250</f>
        <v>-0.0001</v>
      </c>
    </row>
    <row r="251" customFormat="false" ht="30" hidden="false" customHeight="true" outlineLevel="0" collapsed="false">
      <c r="A251" s="4" t="str">
        <f aca="false">Data!A251</f>
        <v>1983-10</v>
      </c>
      <c r="B251" s="13" t="n">
        <f aca="false">Data!K251</f>
        <v>-0.0939</v>
      </c>
      <c r="C251" s="13" t="n">
        <f aca="false">Data!B251</f>
        <v>-0.0184</v>
      </c>
      <c r="D251" s="13" t="n">
        <f aca="false">(B251-C251)*Inputs!B2</f>
        <v>-0.03775</v>
      </c>
      <c r="E251" s="13" t="n">
        <f aca="false">4*Inputs!B2*Inputs!B4*Inputs!B3/10000</f>
        <v>0.001</v>
      </c>
      <c r="F251" s="13" t="n">
        <f aca="false">Inputs!B2*Inputs!B5/Inputs!B6</f>
        <v>0.000833333333333333</v>
      </c>
      <c r="G251" s="13" t="n">
        <f aca="false">D251-E251-F251</f>
        <v>-0.0395833333333333</v>
      </c>
      <c r="H251" s="4" t="n">
        <f aca="false">(1+G251)*H250</f>
        <v>4.36200025000221</v>
      </c>
      <c r="I251" s="4" t="n">
        <f aca="false">MAX(1,H$2:H251)</f>
        <v>4.93665444658543</v>
      </c>
      <c r="J251" s="13" t="n">
        <f aca="false">H251/I251-1</f>
        <v>-0.116405594679752</v>
      </c>
      <c r="K251" s="13" t="n">
        <f aca="false">Data!L251</f>
        <v>-0.0448</v>
      </c>
    </row>
    <row r="252" customFormat="false" ht="30" hidden="false" customHeight="true" outlineLevel="0" collapsed="false">
      <c r="A252" s="5" t="str">
        <f aca="false">Data!A252</f>
        <v>1983-11</v>
      </c>
      <c r="B252" s="12" t="n">
        <f aca="false">Data!K252</f>
        <v>0.0541</v>
      </c>
      <c r="C252" s="12" t="n">
        <f aca="false">Data!B252</f>
        <v>0.0484</v>
      </c>
      <c r="D252" s="12" t="n">
        <f aca="false">(B252-C252)*Inputs!B2</f>
        <v>0.00285</v>
      </c>
      <c r="E252" s="12" t="n">
        <f aca="false">4*Inputs!B2*Inputs!B4*Inputs!B3/10000</f>
        <v>0.001</v>
      </c>
      <c r="F252" s="12" t="n">
        <f aca="false">Inputs!B2*Inputs!B5/Inputs!B6</f>
        <v>0.000833333333333333</v>
      </c>
      <c r="G252" s="12" t="n">
        <f aca="false">D252-E252-F252</f>
        <v>0.00101666666666667</v>
      </c>
      <c r="H252" s="5" t="n">
        <f aca="false">(1+G252)*H251</f>
        <v>4.36643495025638</v>
      </c>
      <c r="I252" s="5" t="n">
        <f aca="false">MAX(1,H$2:H252)</f>
        <v>4.93665444658543</v>
      </c>
      <c r="J252" s="12" t="n">
        <f aca="false">H252/I252-1</f>
        <v>-0.11550727370101</v>
      </c>
      <c r="K252" s="12" t="n">
        <f aca="false">Data!L252</f>
        <v>-0.0013</v>
      </c>
    </row>
    <row r="253" customFormat="false" ht="30" hidden="false" customHeight="true" outlineLevel="0" collapsed="false">
      <c r="A253" s="4" t="str">
        <f aca="false">Data!A253</f>
        <v>1983-12</v>
      </c>
      <c r="B253" s="13" t="n">
        <f aca="false">Data!K253</f>
        <v>-0.0263</v>
      </c>
      <c r="C253" s="13" t="n">
        <f aca="false">Data!B253</f>
        <v>0.0002</v>
      </c>
      <c r="D253" s="13" t="n">
        <f aca="false">(B253-C253)*Inputs!B2</f>
        <v>-0.01325</v>
      </c>
      <c r="E253" s="13" t="n">
        <f aca="false">4*Inputs!B2*Inputs!B4*Inputs!B3/10000</f>
        <v>0.001</v>
      </c>
      <c r="F253" s="13" t="n">
        <f aca="false">Inputs!B2*Inputs!B5/Inputs!B6</f>
        <v>0.000833333333333333</v>
      </c>
      <c r="G253" s="13" t="n">
        <f aca="false">D253-E253-F253</f>
        <v>-0.0150833333333333</v>
      </c>
      <c r="H253" s="4" t="n">
        <f aca="false">(1+G253)*H252</f>
        <v>4.30057455642335</v>
      </c>
      <c r="I253" s="4" t="n">
        <f aca="false">MAX(1,H$2:H253)</f>
        <v>4.93665444658543</v>
      </c>
      <c r="J253" s="13" t="n">
        <f aca="false">H253/I253-1</f>
        <v>-0.128848372322686</v>
      </c>
      <c r="K253" s="13" t="n">
        <f aca="false">Data!L253</f>
        <v>0.0082</v>
      </c>
    </row>
    <row r="254" customFormat="false" ht="30" hidden="false" customHeight="true" outlineLevel="0" collapsed="false">
      <c r="A254" s="5" t="str">
        <f aca="false">Data!A254</f>
        <v>1984-01</v>
      </c>
      <c r="B254" s="12" t="n">
        <f aca="false">Data!K254</f>
        <v>-0.0666</v>
      </c>
      <c r="C254" s="12" t="n">
        <f aca="false">Data!B254</f>
        <v>-0.0184</v>
      </c>
      <c r="D254" s="12" t="n">
        <f aca="false">(B254-C254)*Inputs!B2</f>
        <v>-0.0241</v>
      </c>
      <c r="E254" s="12" t="n">
        <f aca="false">4*Inputs!B2*Inputs!B4*Inputs!B3/10000</f>
        <v>0.001</v>
      </c>
      <c r="F254" s="12" t="n">
        <f aca="false">Inputs!B2*Inputs!B5/Inputs!B6</f>
        <v>0.000833333333333333</v>
      </c>
      <c r="G254" s="12" t="n">
        <f aca="false">D254-E254-F254</f>
        <v>-0.0259333333333333</v>
      </c>
      <c r="H254" s="5" t="n">
        <f aca="false">(1+G254)*H253</f>
        <v>4.18904632292677</v>
      </c>
      <c r="I254" s="5" t="n">
        <f aca="false">MAX(1,H$2:H254)</f>
        <v>4.93665444658543</v>
      </c>
      <c r="J254" s="12" t="n">
        <f aca="false">H254/I254-1</f>
        <v>-0.151440237867118</v>
      </c>
      <c r="K254" s="12" t="n">
        <f aca="false">Data!L254</f>
        <v>-0.0257</v>
      </c>
    </row>
    <row r="255" customFormat="false" ht="30" hidden="false" customHeight="true" outlineLevel="0" collapsed="false">
      <c r="A255" s="4" t="str">
        <f aca="false">Data!A255</f>
        <v>1984-02</v>
      </c>
      <c r="B255" s="13" t="n">
        <f aca="false">Data!K255</f>
        <v>-0.0461</v>
      </c>
      <c r="C255" s="13" t="n">
        <f aca="false">Data!B255</f>
        <v>-0.0584</v>
      </c>
      <c r="D255" s="13" t="n">
        <f aca="false">(B255-C255)*Inputs!B2</f>
        <v>0.00615</v>
      </c>
      <c r="E255" s="13" t="n">
        <f aca="false">4*Inputs!B2*Inputs!B4*Inputs!B3/10000</f>
        <v>0.001</v>
      </c>
      <c r="F255" s="13" t="n">
        <f aca="false">Inputs!B2*Inputs!B5/Inputs!B6</f>
        <v>0.000833333333333333</v>
      </c>
      <c r="G255" s="13" t="n">
        <f aca="false">D255-E255-F255</f>
        <v>0.00431666666666667</v>
      </c>
      <c r="H255" s="4" t="n">
        <f aca="false">(1+G255)*H254</f>
        <v>4.20712903955407</v>
      </c>
      <c r="I255" s="4" t="n">
        <f aca="false">MAX(1,H$2:H255)</f>
        <v>4.93665444658543</v>
      </c>
      <c r="J255" s="13" t="n">
        <f aca="false">H255/I255-1</f>
        <v>-0.147777288227244</v>
      </c>
      <c r="K255" s="13" t="n">
        <f aca="false">Data!L255</f>
        <v>0.0045</v>
      </c>
    </row>
    <row r="256" customFormat="false" ht="30" hidden="false" customHeight="true" outlineLevel="0" collapsed="false">
      <c r="A256" s="5" t="str">
        <f aca="false">Data!A256</f>
        <v>1984-03</v>
      </c>
      <c r="B256" s="12" t="n">
        <f aca="false">Data!K256</f>
        <v>0.0232</v>
      </c>
      <c r="C256" s="12" t="n">
        <f aca="false">Data!B256</f>
        <v>-0.0086</v>
      </c>
      <c r="D256" s="12" t="n">
        <f aca="false">(B256-C256)*Inputs!B2</f>
        <v>0.0159</v>
      </c>
      <c r="E256" s="12" t="n">
        <f aca="false">4*Inputs!B2*Inputs!B4*Inputs!B3/10000</f>
        <v>0.001</v>
      </c>
      <c r="F256" s="12" t="n">
        <f aca="false">Inputs!B2*Inputs!B5/Inputs!B6</f>
        <v>0.000833333333333333</v>
      </c>
      <c r="G256" s="12" t="n">
        <f aca="false">D256-E256-F256</f>
        <v>0.0140666666666667</v>
      </c>
      <c r="H256" s="5" t="n">
        <f aca="false">(1+G256)*H255</f>
        <v>4.26630932137713</v>
      </c>
      <c r="I256" s="5" t="n">
        <f aca="false">MAX(1,H$2:H256)</f>
        <v>4.93665444658543</v>
      </c>
      <c r="J256" s="12" t="n">
        <f aca="false">H256/I256-1</f>
        <v>-0.135789355414974</v>
      </c>
      <c r="K256" s="12" t="n">
        <f aca="false">Data!L256</f>
        <v>0.0112</v>
      </c>
    </row>
    <row r="257" customFormat="false" ht="30" hidden="false" customHeight="true" outlineLevel="0" collapsed="false">
      <c r="A257" s="4" t="str">
        <f aca="false">Data!A257</f>
        <v>1984-04</v>
      </c>
      <c r="B257" s="13" t="n">
        <f aca="false">Data!K257</f>
        <v>0.0165</v>
      </c>
      <c r="C257" s="13" t="n">
        <f aca="false">Data!B257</f>
        <v>-0.0132</v>
      </c>
      <c r="D257" s="13" t="n">
        <f aca="false">(B257-C257)*Inputs!B2</f>
        <v>0.01485</v>
      </c>
      <c r="E257" s="13" t="n">
        <f aca="false">4*Inputs!B2*Inputs!B4*Inputs!B3/10000</f>
        <v>0.001</v>
      </c>
      <c r="F257" s="13" t="n">
        <f aca="false">Inputs!B2*Inputs!B5/Inputs!B6</f>
        <v>0.000833333333333333</v>
      </c>
      <c r="G257" s="13" t="n">
        <f aca="false">D257-E257-F257</f>
        <v>0.0130166666666667</v>
      </c>
      <c r="H257" s="4" t="n">
        <f aca="false">(1+G257)*H256</f>
        <v>4.32184244771039</v>
      </c>
      <c r="I257" s="4" t="n">
        <f aca="false">MAX(1,H$2:H257)</f>
        <v>4.93665444658543</v>
      </c>
      <c r="J257" s="13" t="n">
        <f aca="false">H257/I257-1</f>
        <v>-0.124540213524626</v>
      </c>
      <c r="K257" s="13" t="n">
        <f aca="false">Data!L257</f>
        <v>0.0214</v>
      </c>
    </row>
    <row r="258" customFormat="false" ht="30" hidden="false" customHeight="true" outlineLevel="0" collapsed="false">
      <c r="A258" s="5" t="str">
        <f aca="false">Data!A258</f>
        <v>1984-05</v>
      </c>
      <c r="B258" s="12" t="n">
        <f aca="false">Data!K258</f>
        <v>-0.0557</v>
      </c>
      <c r="C258" s="12" t="n">
        <f aca="false">Data!B258</f>
        <v>-0.088</v>
      </c>
      <c r="D258" s="12" t="n">
        <f aca="false">(B258-C258)*Inputs!B2</f>
        <v>0.01615</v>
      </c>
      <c r="E258" s="12" t="n">
        <f aca="false">4*Inputs!B2*Inputs!B4*Inputs!B3/10000</f>
        <v>0.001</v>
      </c>
      <c r="F258" s="12" t="n">
        <f aca="false">Inputs!B2*Inputs!B5/Inputs!B6</f>
        <v>0.000833333333333333</v>
      </c>
      <c r="G258" s="12" t="n">
        <f aca="false">D258-E258-F258</f>
        <v>0.0143166666666667</v>
      </c>
      <c r="H258" s="5" t="n">
        <f aca="false">(1+G258)*H257</f>
        <v>4.38371682542011</v>
      </c>
      <c r="I258" s="5" t="n">
        <f aca="false">MAX(1,H$2:H258)</f>
        <v>4.93665444658543</v>
      </c>
      <c r="J258" s="12" t="n">
        <f aca="false">H258/I258-1</f>
        <v>-0.112006547581587</v>
      </c>
      <c r="K258" s="12" t="n">
        <f aca="false">Data!L258</f>
        <v>0.0152</v>
      </c>
    </row>
    <row r="259" customFormat="false" ht="30" hidden="false" customHeight="true" outlineLevel="0" collapsed="false">
      <c r="A259" s="4" t="str">
        <f aca="false">Data!A259</f>
        <v>1984-06</v>
      </c>
      <c r="B259" s="13" t="n">
        <f aca="false">Data!K259</f>
        <v>0.0145</v>
      </c>
      <c r="C259" s="13" t="n">
        <f aca="false">Data!B259</f>
        <v>0.0135</v>
      </c>
      <c r="D259" s="13" t="n">
        <f aca="false">(B259-C259)*Inputs!B2</f>
        <v>0.0005</v>
      </c>
      <c r="E259" s="13" t="n">
        <f aca="false">4*Inputs!B2*Inputs!B4*Inputs!B3/10000</f>
        <v>0.001</v>
      </c>
      <c r="F259" s="13" t="n">
        <f aca="false">Inputs!B2*Inputs!B5/Inputs!B6</f>
        <v>0.000833333333333333</v>
      </c>
      <c r="G259" s="13" t="n">
        <f aca="false">D259-E259-F259</f>
        <v>-0.00133333333333333</v>
      </c>
      <c r="H259" s="4" t="n">
        <f aca="false">(1+G259)*H258</f>
        <v>4.37787186965288</v>
      </c>
      <c r="I259" s="4" t="n">
        <f aca="false">MAX(1,H$2:H259)</f>
        <v>4.93665444658543</v>
      </c>
      <c r="J259" s="13" t="n">
        <f aca="false">H259/I259-1</f>
        <v>-0.113190538851478</v>
      </c>
      <c r="K259" s="13" t="n">
        <f aca="false">Data!L259</f>
        <v>-0.0055</v>
      </c>
    </row>
    <row r="260" customFormat="false" ht="30" hidden="false" customHeight="true" outlineLevel="0" collapsed="false">
      <c r="A260" s="5" t="str">
        <f aca="false">Data!A260</f>
        <v>1984-07</v>
      </c>
      <c r="B260" s="12" t="n">
        <f aca="false">Data!K260</f>
        <v>-0.0201</v>
      </c>
      <c r="C260" s="12" t="n">
        <f aca="false">Data!B260</f>
        <v>-0.0689</v>
      </c>
      <c r="D260" s="12" t="n">
        <f aca="false">(B260-C260)*Inputs!B2</f>
        <v>0.0244</v>
      </c>
      <c r="E260" s="12" t="n">
        <f aca="false">4*Inputs!B2*Inputs!B4*Inputs!B3/10000</f>
        <v>0.001</v>
      </c>
      <c r="F260" s="12" t="n">
        <f aca="false">Inputs!B2*Inputs!B5/Inputs!B6</f>
        <v>0.000833333333333333</v>
      </c>
      <c r="G260" s="12" t="n">
        <f aca="false">D260-E260-F260</f>
        <v>0.0225666666666667</v>
      </c>
      <c r="H260" s="5" t="n">
        <f aca="false">(1+G260)*H259</f>
        <v>4.47666584484472</v>
      </c>
      <c r="I260" s="5" t="n">
        <f aca="false">MAX(1,H$2:H260)</f>
        <v>4.93665444658543</v>
      </c>
      <c r="J260" s="12" t="n">
        <f aca="false">H260/I260-1</f>
        <v>-0.0931782053448929</v>
      </c>
      <c r="K260" s="12" t="n">
        <f aca="false">Data!L260</f>
        <v>0.0278</v>
      </c>
    </row>
    <row r="261" customFormat="false" ht="30" hidden="false" customHeight="true" outlineLevel="0" collapsed="false">
      <c r="A261" s="4" t="str">
        <f aca="false">Data!A261</f>
        <v>1984-08</v>
      </c>
      <c r="B261" s="13" t="n">
        <f aca="false">Data!K261</f>
        <v>0.0862</v>
      </c>
      <c r="C261" s="13" t="n">
        <f aca="false">Data!B261</f>
        <v>0.135</v>
      </c>
      <c r="D261" s="13" t="n">
        <f aca="false">(B261-C261)*Inputs!B2</f>
        <v>-0.0244</v>
      </c>
      <c r="E261" s="13" t="n">
        <f aca="false">4*Inputs!B2*Inputs!B4*Inputs!B3/10000</f>
        <v>0.001</v>
      </c>
      <c r="F261" s="13" t="n">
        <f aca="false">Inputs!B2*Inputs!B5/Inputs!B6</f>
        <v>0.000833333333333333</v>
      </c>
      <c r="G261" s="13" t="n">
        <f aca="false">D261-E261-F261</f>
        <v>-0.0262333333333333</v>
      </c>
      <c r="H261" s="4" t="n">
        <f aca="false">(1+G261)*H260</f>
        <v>4.35922797751496</v>
      </c>
      <c r="I261" s="4" t="n">
        <f aca="false">MAX(1,H$2:H261)</f>
        <v>4.93665444658543</v>
      </c>
      <c r="J261" s="13" t="n">
        <f aca="false">H261/I261-1</f>
        <v>-0.116967163758012</v>
      </c>
      <c r="K261" s="13" t="n">
        <f aca="false">Data!L261</f>
        <v>-0.056</v>
      </c>
    </row>
    <row r="262" customFormat="false" ht="30" hidden="false" customHeight="true" outlineLevel="0" collapsed="false">
      <c r="A262" s="5" t="str">
        <f aca="false">Data!A262</f>
        <v>1984-09</v>
      </c>
      <c r="B262" s="12" t="n">
        <f aca="false">Data!K262</f>
        <v>0.0124</v>
      </c>
      <c r="C262" s="12" t="n">
        <f aca="false">Data!B262</f>
        <v>-0.0339</v>
      </c>
      <c r="D262" s="12" t="n">
        <f aca="false">(B262-C262)*Inputs!B2</f>
        <v>0.02315</v>
      </c>
      <c r="E262" s="12" t="n">
        <f aca="false">4*Inputs!B2*Inputs!B4*Inputs!B3/10000</f>
        <v>0.001</v>
      </c>
      <c r="F262" s="12" t="n">
        <f aca="false">Inputs!B2*Inputs!B5/Inputs!B6</f>
        <v>0.000833333333333333</v>
      </c>
      <c r="G262" s="12" t="n">
        <f aca="false">D262-E262-F262</f>
        <v>0.0213166666666667</v>
      </c>
      <c r="H262" s="5" t="n">
        <f aca="false">(1+G262)*H261</f>
        <v>4.45215218723565</v>
      </c>
      <c r="I262" s="5" t="n">
        <f aca="false">MAX(1,H$2:H262)</f>
        <v>4.93665444658543</v>
      </c>
      <c r="J262" s="12" t="n">
        <f aca="false">H262/I262-1</f>
        <v>-0.0981438471321201</v>
      </c>
      <c r="K262" s="12" t="n">
        <f aca="false">Data!L262</f>
        <v>0.0364</v>
      </c>
    </row>
    <row r="263" customFormat="false" ht="30" hidden="false" customHeight="true" outlineLevel="0" collapsed="false">
      <c r="A263" s="4" t="str">
        <f aca="false">Data!A263</f>
        <v>1984-10</v>
      </c>
      <c r="B263" s="13" t="n">
        <f aca="false">Data!K263</f>
        <v>0.0074</v>
      </c>
      <c r="C263" s="13" t="n">
        <f aca="false">Data!B263</f>
        <v>-0.0341</v>
      </c>
      <c r="D263" s="13" t="n">
        <f aca="false">(B263-C263)*Inputs!B2</f>
        <v>0.02075</v>
      </c>
      <c r="E263" s="13" t="n">
        <f aca="false">4*Inputs!B2*Inputs!B4*Inputs!B3/10000</f>
        <v>0.001</v>
      </c>
      <c r="F263" s="13" t="n">
        <f aca="false">Inputs!B2*Inputs!B5/Inputs!B6</f>
        <v>0.000833333333333333</v>
      </c>
      <c r="G263" s="13" t="n">
        <f aca="false">D263-E263-F263</f>
        <v>0.0189166666666667</v>
      </c>
      <c r="H263" s="4" t="n">
        <f aca="false">(1+G263)*H262</f>
        <v>4.53637206611086</v>
      </c>
      <c r="I263" s="4" t="n">
        <f aca="false">MAX(1,H$2:H263)</f>
        <v>4.93665444658543</v>
      </c>
      <c r="J263" s="13" t="n">
        <f aca="false">H263/I263-1</f>
        <v>-0.0810837349070359</v>
      </c>
      <c r="K263" s="13" t="n">
        <f aca="false">Data!L263</f>
        <v>0.0329</v>
      </c>
    </row>
    <row r="264" customFormat="false" ht="30" hidden="false" customHeight="true" outlineLevel="0" collapsed="false">
      <c r="A264" s="5" t="str">
        <f aca="false">Data!A264</f>
        <v>1984-11</v>
      </c>
      <c r="B264" s="12" t="n">
        <f aca="false">Data!K264</f>
        <v>-0.0132</v>
      </c>
      <c r="C264" s="12" t="n">
        <f aca="false">Data!B264</f>
        <v>-0.0456</v>
      </c>
      <c r="D264" s="12" t="n">
        <f aca="false">(B264-C264)*Inputs!B2</f>
        <v>0.0162</v>
      </c>
      <c r="E264" s="12" t="n">
        <f aca="false">4*Inputs!B2*Inputs!B4*Inputs!B3/10000</f>
        <v>0.001</v>
      </c>
      <c r="F264" s="12" t="n">
        <f aca="false">Inputs!B2*Inputs!B5/Inputs!B6</f>
        <v>0.000833333333333333</v>
      </c>
      <c r="G264" s="12" t="n">
        <f aca="false">D264-E264-F264</f>
        <v>0.0143666666666667</v>
      </c>
      <c r="H264" s="5" t="n">
        <f aca="false">(1+G264)*H263</f>
        <v>4.60154461146065</v>
      </c>
      <c r="I264" s="5" t="n">
        <f aca="false">MAX(1,H$2:H264)</f>
        <v>4.93665444658543</v>
      </c>
      <c r="J264" s="12" t="n">
        <f aca="false">H264/I264-1</f>
        <v>-0.067881971231867</v>
      </c>
      <c r="K264" s="12" t="n">
        <f aca="false">Data!L264</f>
        <v>0.0157</v>
      </c>
    </row>
    <row r="265" customFormat="false" ht="30" hidden="false" customHeight="true" outlineLevel="0" collapsed="false">
      <c r="A265" s="4" t="str">
        <f aca="false">Data!A265</f>
        <v>1984-12</v>
      </c>
      <c r="B265" s="13" t="n">
        <f aca="false">Data!K265</f>
        <v>0.0258</v>
      </c>
      <c r="C265" s="13" t="n">
        <f aca="false">Data!B265</f>
        <v>0.0102</v>
      </c>
      <c r="D265" s="13" t="n">
        <f aca="false">(B265-C265)*Inputs!B2</f>
        <v>0.0078</v>
      </c>
      <c r="E265" s="13" t="n">
        <f aca="false">4*Inputs!B2*Inputs!B4*Inputs!B3/10000</f>
        <v>0.001</v>
      </c>
      <c r="F265" s="13" t="n">
        <f aca="false">Inputs!B2*Inputs!B5/Inputs!B6</f>
        <v>0.000833333333333333</v>
      </c>
      <c r="G265" s="13" t="n">
        <f aca="false">D265-E265-F265</f>
        <v>0.00596666666666667</v>
      </c>
      <c r="H265" s="4" t="n">
        <f aca="false">(1+G265)*H264</f>
        <v>4.62900049430903</v>
      </c>
      <c r="I265" s="4" t="n">
        <f aca="false">MAX(1,H$2:H265)</f>
        <v>4.93665444658543</v>
      </c>
      <c r="J265" s="13" t="n">
        <f aca="false">H265/I265-1</f>
        <v>-0.0623203336602173</v>
      </c>
      <c r="K265" s="13" t="n">
        <f aca="false">Data!L265</f>
        <v>0.014</v>
      </c>
    </row>
    <row r="266" customFormat="false" ht="30" hidden="false" customHeight="true" outlineLevel="0" collapsed="false">
      <c r="A266" s="5" t="str">
        <f aca="false">Data!A266</f>
        <v>1985-01</v>
      </c>
      <c r="B266" s="12" t="n">
        <f aca="false">Data!K266</f>
        <v>0.0648</v>
      </c>
      <c r="C266" s="12" t="n">
        <f aca="false">Data!B266</f>
        <v>0.1658</v>
      </c>
      <c r="D266" s="12" t="n">
        <f aca="false">(B266-C266)*Inputs!B2</f>
        <v>-0.0505</v>
      </c>
      <c r="E266" s="12" t="n">
        <f aca="false">4*Inputs!B2*Inputs!B4*Inputs!B3/10000</f>
        <v>0.001</v>
      </c>
      <c r="F266" s="12" t="n">
        <f aca="false">Inputs!B2*Inputs!B5/Inputs!B6</f>
        <v>0.000833333333333333</v>
      </c>
      <c r="G266" s="12" t="n">
        <f aca="false">D266-E266-F266</f>
        <v>-0.0523333333333333</v>
      </c>
      <c r="H266" s="5" t="n">
        <f aca="false">(1+G266)*H265</f>
        <v>4.3867494684402</v>
      </c>
      <c r="I266" s="5" t="n">
        <f aca="false">MAX(1,H$2:H266)</f>
        <v>4.93665444658543</v>
      </c>
      <c r="J266" s="12" t="n">
        <f aca="false">H266/I266-1</f>
        <v>-0.111392236198666</v>
      </c>
      <c r="K266" s="12" t="n">
        <f aca="false">Data!L266</f>
        <v>-0.0677</v>
      </c>
    </row>
    <row r="267" customFormat="false" ht="30" hidden="false" customHeight="true" outlineLevel="0" collapsed="false">
      <c r="A267" s="4" t="str">
        <f aca="false">Data!A267</f>
        <v>1985-02</v>
      </c>
      <c r="B267" s="13" t="n">
        <f aca="false">Data!K267</f>
        <v>0.0288</v>
      </c>
      <c r="C267" s="13" t="n">
        <f aca="false">Data!B267</f>
        <v>0.0025</v>
      </c>
      <c r="D267" s="13" t="n">
        <f aca="false">(B267-C267)*Inputs!B2</f>
        <v>0.01315</v>
      </c>
      <c r="E267" s="13" t="n">
        <f aca="false">4*Inputs!B2*Inputs!B4*Inputs!B3/10000</f>
        <v>0.001</v>
      </c>
      <c r="F267" s="13" t="n">
        <f aca="false">Inputs!B2*Inputs!B5/Inputs!B6</f>
        <v>0.000833333333333333</v>
      </c>
      <c r="G267" s="13" t="n">
        <f aca="false">D267-E267-F267</f>
        <v>0.0113166666666667</v>
      </c>
      <c r="H267" s="4" t="n">
        <f aca="false">(1+G267)*H266</f>
        <v>4.43639284992471</v>
      </c>
      <c r="I267" s="4" t="n">
        <f aca="false">MAX(1,H$2:H267)</f>
        <v>4.93665444658543</v>
      </c>
      <c r="J267" s="13" t="n">
        <f aca="false">H267/I267-1</f>
        <v>-0.101336158338314</v>
      </c>
      <c r="K267" s="13" t="n">
        <f aca="false">Data!L267</f>
        <v>0.0186</v>
      </c>
    </row>
    <row r="268" customFormat="false" ht="30" hidden="false" customHeight="true" outlineLevel="0" collapsed="false">
      <c r="A268" s="5" t="str">
        <f aca="false">Data!A268</f>
        <v>1985-03</v>
      </c>
      <c r="B268" s="12" t="n">
        <f aca="false">Data!K268</f>
        <v>-0.0053</v>
      </c>
      <c r="C268" s="12" t="n">
        <f aca="false">Data!B268</f>
        <v>-0.0095</v>
      </c>
      <c r="D268" s="12" t="n">
        <f aca="false">(B268-C268)*Inputs!B2</f>
        <v>0.0021</v>
      </c>
      <c r="E268" s="12" t="n">
        <f aca="false">4*Inputs!B2*Inputs!B4*Inputs!B3/10000</f>
        <v>0.001</v>
      </c>
      <c r="F268" s="12" t="n">
        <f aca="false">Inputs!B2*Inputs!B5/Inputs!B6</f>
        <v>0.000833333333333333</v>
      </c>
      <c r="G268" s="12" t="n">
        <f aca="false">D268-E268-F268</f>
        <v>0.000266666666666666</v>
      </c>
      <c r="H268" s="5" t="n">
        <f aca="false">(1+G268)*H267</f>
        <v>4.43757588801802</v>
      </c>
      <c r="I268" s="5" t="n">
        <f aca="false">MAX(1,H$2:H268)</f>
        <v>4.93665444658543</v>
      </c>
      <c r="J268" s="12" t="n">
        <f aca="false">H268/I268-1</f>
        <v>-0.101096514647204</v>
      </c>
      <c r="K268" s="12" t="n">
        <f aca="false">Data!L268</f>
        <v>0.0179</v>
      </c>
    </row>
    <row r="269" customFormat="false" ht="30" hidden="false" customHeight="true" outlineLevel="0" collapsed="false">
      <c r="A269" s="4" t="str">
        <f aca="false">Data!A269</f>
        <v>1985-04</v>
      </c>
      <c r="B269" s="13" t="n">
        <f aca="false">Data!K269</f>
        <v>0</v>
      </c>
      <c r="C269" s="13" t="n">
        <f aca="false">Data!B269</f>
        <v>-0.0339</v>
      </c>
      <c r="D269" s="13" t="n">
        <f aca="false">(B269-C269)*Inputs!B2</f>
        <v>0.01695</v>
      </c>
      <c r="E269" s="13" t="n">
        <f aca="false">4*Inputs!B2*Inputs!B4*Inputs!B3/10000</f>
        <v>0.001</v>
      </c>
      <c r="F269" s="13" t="n">
        <f aca="false">Inputs!B2*Inputs!B5/Inputs!B6</f>
        <v>0.000833333333333333</v>
      </c>
      <c r="G269" s="13" t="n">
        <f aca="false">D269-E269-F269</f>
        <v>0.0151166666666667</v>
      </c>
      <c r="H269" s="4" t="n">
        <f aca="false">(1+G269)*H268</f>
        <v>4.50465724352523</v>
      </c>
      <c r="I269" s="4" t="n">
        <f aca="false">MAX(1,H$2:H269)</f>
        <v>4.93665444658543</v>
      </c>
      <c r="J269" s="13" t="n">
        <f aca="false">H269/I269-1</f>
        <v>-0.0875080902936211</v>
      </c>
      <c r="K269" s="13" t="n">
        <f aca="false">Data!L269</f>
        <v>0.0295</v>
      </c>
    </row>
    <row r="270" customFormat="false" ht="30" hidden="false" customHeight="true" outlineLevel="0" collapsed="false">
      <c r="A270" s="5" t="str">
        <f aca="false">Data!A270</f>
        <v>1985-05</v>
      </c>
      <c r="B270" s="12" t="n">
        <f aca="false">Data!K270</f>
        <v>0.0746</v>
      </c>
      <c r="C270" s="12" t="n">
        <f aca="false">Data!B270</f>
        <v>-0.0075</v>
      </c>
      <c r="D270" s="12" t="n">
        <f aca="false">(B270-C270)*Inputs!B2</f>
        <v>0.04105</v>
      </c>
      <c r="E270" s="12" t="n">
        <f aca="false">4*Inputs!B2*Inputs!B4*Inputs!B3/10000</f>
        <v>0.001</v>
      </c>
      <c r="F270" s="12" t="n">
        <f aca="false">Inputs!B2*Inputs!B5/Inputs!B6</f>
        <v>0.000833333333333333</v>
      </c>
      <c r="G270" s="12" t="n">
        <f aca="false">D270-E270-F270</f>
        <v>0.0392166666666667</v>
      </c>
      <c r="H270" s="5" t="n">
        <f aca="false">(1+G270)*H269</f>
        <v>4.68131488509214</v>
      </c>
      <c r="I270" s="5" t="n">
        <f aca="false">MAX(1,H$2:H270)</f>
        <v>4.93665444658543</v>
      </c>
      <c r="J270" s="12" t="n">
        <f aca="false">H270/I270-1</f>
        <v>-0.0517231992346359</v>
      </c>
      <c r="K270" s="12" t="n">
        <f aca="false">Data!L270</f>
        <v>0.0406</v>
      </c>
    </row>
    <row r="271" customFormat="false" ht="30" hidden="false" customHeight="true" outlineLevel="0" collapsed="false">
      <c r="A271" s="4" t="str">
        <f aca="false">Data!A271</f>
        <v>1985-06</v>
      </c>
      <c r="B271" s="13" t="n">
        <f aca="false">Data!K271</f>
        <v>0.0355</v>
      </c>
      <c r="C271" s="13" t="n">
        <f aca="false">Data!B271</f>
        <v>-0.0122</v>
      </c>
      <c r="D271" s="13" t="n">
        <f aca="false">(B271-C271)*Inputs!B2</f>
        <v>0.02385</v>
      </c>
      <c r="E271" s="13" t="n">
        <f aca="false">4*Inputs!B2*Inputs!B4*Inputs!B3/10000</f>
        <v>0.001</v>
      </c>
      <c r="F271" s="13" t="n">
        <f aca="false">Inputs!B2*Inputs!B5/Inputs!B6</f>
        <v>0.000833333333333333</v>
      </c>
      <c r="G271" s="13" t="n">
        <f aca="false">D271-E271-F271</f>
        <v>0.0220166666666667</v>
      </c>
      <c r="H271" s="4" t="n">
        <f aca="false">(1+G271)*H270</f>
        <v>4.78438183447892</v>
      </c>
      <c r="I271" s="4" t="n">
        <f aca="false">MAX(1,H$2:H271)</f>
        <v>4.93665444658543</v>
      </c>
      <c r="J271" s="13" t="n">
        <f aca="false">H271/I271-1</f>
        <v>-0.0308453050044518</v>
      </c>
      <c r="K271" s="13" t="n">
        <f aca="false">Data!L271</f>
        <v>0.0339</v>
      </c>
    </row>
    <row r="272" customFormat="false" ht="30" hidden="false" customHeight="true" outlineLevel="0" collapsed="false">
      <c r="A272" s="5" t="str">
        <f aca="false">Data!A272</f>
        <v>1985-07</v>
      </c>
      <c r="B272" s="12" t="n">
        <f aca="false">Data!K272</f>
        <v>-0.0134</v>
      </c>
      <c r="C272" s="12" t="n">
        <f aca="false">Data!B272</f>
        <v>0.0305</v>
      </c>
      <c r="D272" s="12" t="n">
        <f aca="false">(B272-C272)*Inputs!B2</f>
        <v>-0.02195</v>
      </c>
      <c r="E272" s="12" t="n">
        <f aca="false">4*Inputs!B2*Inputs!B4*Inputs!B3/10000</f>
        <v>0.001</v>
      </c>
      <c r="F272" s="12" t="n">
        <f aca="false">Inputs!B2*Inputs!B5/Inputs!B6</f>
        <v>0.000833333333333333</v>
      </c>
      <c r="G272" s="12" t="n">
        <f aca="false">D272-E272-F272</f>
        <v>-0.0237833333333333</v>
      </c>
      <c r="H272" s="5" t="n">
        <f aca="false">(1+G272)*H271</f>
        <v>4.67059328651557</v>
      </c>
      <c r="I272" s="5" t="n">
        <f aca="false">MAX(1,H$2:H272)</f>
        <v>4.93665444658543</v>
      </c>
      <c r="J272" s="12" t="n">
        <f aca="false">H272/I272-1</f>
        <v>-0.053895034167096</v>
      </c>
      <c r="K272" s="12" t="n">
        <f aca="false">Data!L272</f>
        <v>-0.0385</v>
      </c>
    </row>
    <row r="273" customFormat="false" ht="30" hidden="false" customHeight="true" outlineLevel="0" collapsed="false">
      <c r="A273" s="4" t="str">
        <f aca="false">Data!A273</f>
        <v>1985-08</v>
      </c>
      <c r="B273" s="13" t="n">
        <f aca="false">Data!K273</f>
        <v>-0.0091</v>
      </c>
      <c r="C273" s="13" t="n">
        <f aca="false">Data!B273</f>
        <v>-0.0321</v>
      </c>
      <c r="D273" s="13" t="n">
        <f aca="false">(B273-C273)*Inputs!B2</f>
        <v>0.0115</v>
      </c>
      <c r="E273" s="13" t="n">
        <f aca="false">4*Inputs!B2*Inputs!B4*Inputs!B3/10000</f>
        <v>0.001</v>
      </c>
      <c r="F273" s="13" t="n">
        <f aca="false">Inputs!B2*Inputs!B5/Inputs!B6</f>
        <v>0.000833333333333333</v>
      </c>
      <c r="G273" s="13" t="n">
        <f aca="false">D273-E273-F273</f>
        <v>0.00966666666666667</v>
      </c>
      <c r="H273" s="4" t="n">
        <f aca="false">(1+G273)*H272</f>
        <v>4.71574235495188</v>
      </c>
      <c r="I273" s="4" t="n">
        <f aca="false">MAX(1,H$2:H273)</f>
        <v>4.93665444658543</v>
      </c>
      <c r="J273" s="13" t="n">
        <f aca="false">H273/I273-1</f>
        <v>-0.0447493528307111</v>
      </c>
      <c r="K273" s="13" t="n">
        <f aca="false">Data!L273</f>
        <v>0.0178</v>
      </c>
    </row>
    <row r="274" customFormat="false" ht="30" hidden="false" customHeight="true" outlineLevel="0" collapsed="false">
      <c r="A274" s="5" t="str">
        <f aca="false">Data!A274</f>
        <v>1985-09</v>
      </c>
      <c r="B274" s="12" t="n">
        <f aca="false">Data!K274</f>
        <v>-0.0486</v>
      </c>
      <c r="C274" s="12" t="n">
        <f aca="false">Data!B274</f>
        <v>-0.0883</v>
      </c>
      <c r="D274" s="12" t="n">
        <f aca="false">(B274-C274)*Inputs!B2</f>
        <v>0.01985</v>
      </c>
      <c r="E274" s="12" t="n">
        <f aca="false">4*Inputs!B2*Inputs!B4*Inputs!B3/10000</f>
        <v>0.001</v>
      </c>
      <c r="F274" s="12" t="n">
        <f aca="false">Inputs!B2*Inputs!B5/Inputs!B6</f>
        <v>0.000833333333333333</v>
      </c>
      <c r="G274" s="12" t="n">
        <f aca="false">D274-E274-F274</f>
        <v>0.0180166666666667</v>
      </c>
      <c r="H274" s="5" t="n">
        <f aca="false">(1+G274)*H273</f>
        <v>4.80070431304693</v>
      </c>
      <c r="I274" s="5" t="n">
        <f aca="false">MAX(1,H$2:H274)</f>
        <v>4.93665444658543</v>
      </c>
      <c r="J274" s="12" t="n">
        <f aca="false">H274/I274-1</f>
        <v>-0.0275389203375446</v>
      </c>
      <c r="K274" s="12" t="n">
        <f aca="false">Data!L274</f>
        <v>0.0159</v>
      </c>
    </row>
    <row r="275" customFormat="false" ht="30" hidden="false" customHeight="true" outlineLevel="0" collapsed="false">
      <c r="A275" s="4" t="str">
        <f aca="false">Data!A275</f>
        <v>1985-10</v>
      </c>
      <c r="B275" s="13" t="n">
        <f aca="false">Data!K275</f>
        <v>0.0733</v>
      </c>
      <c r="C275" s="13" t="n">
        <f aca="false">Data!B275</f>
        <v>0.0002</v>
      </c>
      <c r="D275" s="13" t="n">
        <f aca="false">(B275-C275)*Inputs!B2</f>
        <v>0.03655</v>
      </c>
      <c r="E275" s="13" t="n">
        <f aca="false">4*Inputs!B2*Inputs!B4*Inputs!B3/10000</f>
        <v>0.001</v>
      </c>
      <c r="F275" s="13" t="n">
        <f aca="false">Inputs!B2*Inputs!B5/Inputs!B6</f>
        <v>0.000833333333333333</v>
      </c>
      <c r="G275" s="13" t="n">
        <f aca="false">D275-E275-F275</f>
        <v>0.0347166666666667</v>
      </c>
      <c r="H275" s="4" t="n">
        <f aca="false">(1+G275)*H274</f>
        <v>4.96736876444821</v>
      </c>
      <c r="I275" s="4" t="n">
        <f aca="false">MAX(1,H$2:H275)</f>
        <v>4.96736876444821</v>
      </c>
      <c r="J275" s="13" t="n">
        <f aca="false">H275/I275-1</f>
        <v>0</v>
      </c>
      <c r="K275" s="13" t="n">
        <f aca="false">Data!L275</f>
        <v>0.0486</v>
      </c>
    </row>
    <row r="276" customFormat="false" ht="30" hidden="false" customHeight="true" outlineLevel="0" collapsed="false">
      <c r="A276" s="5" t="str">
        <f aca="false">Data!A276</f>
        <v>1985-11</v>
      </c>
      <c r="B276" s="12" t="n">
        <f aca="false">Data!K276</f>
        <v>0.0741</v>
      </c>
      <c r="C276" s="12" t="n">
        <f aca="false">Data!B276</f>
        <v>0.067</v>
      </c>
      <c r="D276" s="12" t="n">
        <f aca="false">(B276-C276)*Inputs!B2</f>
        <v>0.00355</v>
      </c>
      <c r="E276" s="12" t="n">
        <f aca="false">4*Inputs!B2*Inputs!B4*Inputs!B3/10000</f>
        <v>0.001</v>
      </c>
      <c r="F276" s="12" t="n">
        <f aca="false">Inputs!B2*Inputs!B5/Inputs!B6</f>
        <v>0.000833333333333333</v>
      </c>
      <c r="G276" s="12" t="n">
        <f aca="false">D276-E276-F276</f>
        <v>0.00171666666666666</v>
      </c>
      <c r="H276" s="5" t="n">
        <f aca="false">(1+G276)*H275</f>
        <v>4.97589608082718</v>
      </c>
      <c r="I276" s="5" t="n">
        <f aca="false">MAX(1,H$2:H276)</f>
        <v>4.97589608082718</v>
      </c>
      <c r="J276" s="12" t="n">
        <f aca="false">H276/I276-1</f>
        <v>0</v>
      </c>
      <c r="K276" s="12" t="n">
        <f aca="false">Data!L276</f>
        <v>-0.0058</v>
      </c>
    </row>
    <row r="277" customFormat="false" ht="30" hidden="false" customHeight="true" outlineLevel="0" collapsed="false">
      <c r="A277" s="4" t="str">
        <f aca="false">Data!A277</f>
        <v>1985-12</v>
      </c>
      <c r="B277" s="13" t="n">
        <f aca="false">Data!K277</f>
        <v>0.0376</v>
      </c>
      <c r="C277" s="13" t="n">
        <f aca="false">Data!B277</f>
        <v>0.0349</v>
      </c>
      <c r="D277" s="13" t="n">
        <f aca="false">(B277-C277)*Inputs!B2</f>
        <v>0.00134999999999999</v>
      </c>
      <c r="E277" s="13" t="n">
        <f aca="false">4*Inputs!B2*Inputs!B4*Inputs!B3/10000</f>
        <v>0.001</v>
      </c>
      <c r="F277" s="13" t="n">
        <f aca="false">Inputs!B2*Inputs!B5/Inputs!B6</f>
        <v>0.000833333333333333</v>
      </c>
      <c r="G277" s="13" t="n">
        <f aca="false">D277-E277-F277</f>
        <v>-0.00048333333333334</v>
      </c>
      <c r="H277" s="4" t="n">
        <f aca="false">(1+G277)*H276</f>
        <v>4.97349106438811</v>
      </c>
      <c r="I277" s="4" t="n">
        <f aca="false">MAX(1,H$2:H277)</f>
        <v>4.97589608082718</v>
      </c>
      <c r="J277" s="13" t="n">
        <f aca="false">H277/I277-1</f>
        <v>-0.000483333333333391</v>
      </c>
      <c r="K277" s="13" t="n">
        <f aca="false">Data!L277</f>
        <v>-0.0023</v>
      </c>
    </row>
    <row r="278" customFormat="false" ht="30" hidden="false" customHeight="true" outlineLevel="0" collapsed="false">
      <c r="A278" s="5" t="str">
        <f aca="false">Data!A278</f>
        <v>1986-01</v>
      </c>
      <c r="B278" s="12" t="n">
        <f aca="false">Data!K278</f>
        <v>0.0446</v>
      </c>
      <c r="C278" s="12" t="n">
        <f aca="false">Data!B278</f>
        <v>-0.0194</v>
      </c>
      <c r="D278" s="12" t="n">
        <f aca="false">(B278-C278)*Inputs!B2</f>
        <v>0.032</v>
      </c>
      <c r="E278" s="12" t="n">
        <f aca="false">4*Inputs!B2*Inputs!B4*Inputs!B3/10000</f>
        <v>0.001</v>
      </c>
      <c r="F278" s="12" t="n">
        <f aca="false">Inputs!B2*Inputs!B5/Inputs!B6</f>
        <v>0.000833333333333333</v>
      </c>
      <c r="G278" s="12" t="n">
        <f aca="false">D278-E278-F278</f>
        <v>0.0301666666666667</v>
      </c>
      <c r="H278" s="5" t="n">
        <f aca="false">(1+G278)*H277</f>
        <v>5.12352471149716</v>
      </c>
      <c r="I278" s="5" t="n">
        <f aca="false">MAX(1,H$2:H278)</f>
        <v>5.12352471149716</v>
      </c>
      <c r="J278" s="12" t="n">
        <f aca="false">H278/I278-1</f>
        <v>0</v>
      </c>
      <c r="K278" s="12" t="n">
        <f aca="false">Data!L278</f>
        <v>0.0296</v>
      </c>
    </row>
    <row r="279" customFormat="false" ht="30" hidden="false" customHeight="true" outlineLevel="0" collapsed="false">
      <c r="A279" s="4" t="str">
        <f aca="false">Data!A279</f>
        <v>1986-02</v>
      </c>
      <c r="B279" s="13" t="n">
        <f aca="false">Data!K279</f>
        <v>0.0833</v>
      </c>
      <c r="C279" s="13" t="n">
        <f aca="false">Data!B279</f>
        <v>0.045</v>
      </c>
      <c r="D279" s="13" t="n">
        <f aca="false">(B279-C279)*Inputs!B2</f>
        <v>0.01915</v>
      </c>
      <c r="E279" s="13" t="n">
        <f aca="false">4*Inputs!B2*Inputs!B4*Inputs!B3/10000</f>
        <v>0.001</v>
      </c>
      <c r="F279" s="13" t="n">
        <f aca="false">Inputs!B2*Inputs!B5/Inputs!B6</f>
        <v>0.000833333333333333</v>
      </c>
      <c r="G279" s="13" t="n">
        <f aca="false">D279-E279-F279</f>
        <v>0.0173166666666667</v>
      </c>
      <c r="H279" s="4" t="n">
        <f aca="false">(1+G279)*H278</f>
        <v>5.21224708108458</v>
      </c>
      <c r="I279" s="4" t="n">
        <f aca="false">MAX(1,H$2:H279)</f>
        <v>5.21224708108458</v>
      </c>
      <c r="J279" s="13" t="n">
        <f aca="false">H279/I279-1</f>
        <v>0</v>
      </c>
      <c r="K279" s="13" t="n">
        <f aca="false">Data!L279</f>
        <v>0.0259</v>
      </c>
    </row>
    <row r="280" customFormat="false" ht="30" hidden="false" customHeight="true" outlineLevel="0" collapsed="false">
      <c r="A280" s="5" t="str">
        <f aca="false">Data!A280</f>
        <v>1986-03</v>
      </c>
      <c r="B280" s="12" t="n">
        <f aca="false">Data!K280</f>
        <v>0.0576</v>
      </c>
      <c r="C280" s="12" t="n">
        <f aca="false">Data!B280</f>
        <v>0.0252</v>
      </c>
      <c r="D280" s="12" t="n">
        <f aca="false">(B280-C280)*Inputs!B2</f>
        <v>0.0162</v>
      </c>
      <c r="E280" s="12" t="n">
        <f aca="false">4*Inputs!B2*Inputs!B4*Inputs!B3/10000</f>
        <v>0.001</v>
      </c>
      <c r="F280" s="12" t="n">
        <f aca="false">Inputs!B2*Inputs!B5/Inputs!B6</f>
        <v>0.000833333333333333</v>
      </c>
      <c r="G280" s="12" t="n">
        <f aca="false">D280-E280-F280</f>
        <v>0.0143666666666667</v>
      </c>
      <c r="H280" s="5" t="n">
        <f aca="false">(1+G280)*H279</f>
        <v>5.28712969748283</v>
      </c>
      <c r="I280" s="5" t="n">
        <f aca="false">MAX(1,H$2:H280)</f>
        <v>5.28712969748283</v>
      </c>
      <c r="J280" s="12" t="n">
        <f aca="false">H280/I280-1</f>
        <v>0</v>
      </c>
      <c r="K280" s="12" t="n">
        <f aca="false">Data!L280</f>
        <v>0.024</v>
      </c>
    </row>
    <row r="281" customFormat="false" ht="30" hidden="false" customHeight="true" outlineLevel="0" collapsed="false">
      <c r="A281" s="4" t="str">
        <f aca="false">Data!A281</f>
        <v>1986-04</v>
      </c>
      <c r="B281" s="13" t="n">
        <f aca="false">Data!K281</f>
        <v>0.0016</v>
      </c>
      <c r="C281" s="13" t="n">
        <f aca="false">Data!B281</f>
        <v>-0.0088</v>
      </c>
      <c r="D281" s="13" t="n">
        <f aca="false">(B281-C281)*Inputs!B2</f>
        <v>0.0052</v>
      </c>
      <c r="E281" s="13" t="n">
        <f aca="false">4*Inputs!B2*Inputs!B4*Inputs!B3/10000</f>
        <v>0.001</v>
      </c>
      <c r="F281" s="13" t="n">
        <f aca="false">Inputs!B2*Inputs!B5/Inputs!B6</f>
        <v>0.000833333333333333</v>
      </c>
      <c r="G281" s="13" t="n">
        <f aca="false">D281-E281-F281</f>
        <v>0.00336666666666667</v>
      </c>
      <c r="H281" s="4" t="n">
        <f aca="false">(1+G281)*H280</f>
        <v>5.30492970079769</v>
      </c>
      <c r="I281" s="4" t="n">
        <f aca="false">MAX(1,H$2:H281)</f>
        <v>5.30492970079769</v>
      </c>
      <c r="J281" s="13" t="n">
        <f aca="false">H281/I281-1</f>
        <v>0</v>
      </c>
      <c r="K281" s="13" t="n">
        <f aca="false">Data!L281</f>
        <v>-0.0034</v>
      </c>
    </row>
    <row r="282" customFormat="false" ht="30" hidden="false" customHeight="true" outlineLevel="0" collapsed="false">
      <c r="A282" s="5" t="str">
        <f aca="false">Data!A282</f>
        <v>1986-05</v>
      </c>
      <c r="B282" s="12" t="n">
        <f aca="false">Data!K282</f>
        <v>0.0663</v>
      </c>
      <c r="C282" s="12" t="n">
        <f aca="false">Data!B282</f>
        <v>0.0498</v>
      </c>
      <c r="D282" s="12" t="n">
        <f aca="false">(B282-C282)*Inputs!B2</f>
        <v>0.00825</v>
      </c>
      <c r="E282" s="12" t="n">
        <f aca="false">4*Inputs!B2*Inputs!B4*Inputs!B3/10000</f>
        <v>0.001</v>
      </c>
      <c r="F282" s="12" t="n">
        <f aca="false">Inputs!B2*Inputs!B5/Inputs!B6</f>
        <v>0.000833333333333333</v>
      </c>
      <c r="G282" s="12" t="n">
        <f aca="false">D282-E282-F282</f>
        <v>0.00641666666666667</v>
      </c>
      <c r="H282" s="5" t="n">
        <f aca="false">(1+G282)*H281</f>
        <v>5.33896966637781</v>
      </c>
      <c r="I282" s="5" t="n">
        <f aca="false">MAX(1,H$2:H282)</f>
        <v>5.33896966637781</v>
      </c>
      <c r="J282" s="12" t="n">
        <f aca="false">H282/I282-1</f>
        <v>0</v>
      </c>
      <c r="K282" s="12" t="n">
        <f aca="false">Data!L282</f>
        <v>0.0209</v>
      </c>
    </row>
    <row r="283" customFormat="false" ht="30" hidden="false" customHeight="true" outlineLevel="0" collapsed="false">
      <c r="A283" s="4" t="str">
        <f aca="false">Data!A283</f>
        <v>1986-06</v>
      </c>
      <c r="B283" s="13" t="n">
        <f aca="false">Data!K283</f>
        <v>0.0312</v>
      </c>
      <c r="C283" s="13" t="n">
        <f aca="false">Data!B283</f>
        <v>-0.0425</v>
      </c>
      <c r="D283" s="13" t="n">
        <f aca="false">(B283-C283)*Inputs!B2</f>
        <v>0.03685</v>
      </c>
      <c r="E283" s="13" t="n">
        <f aca="false">4*Inputs!B2*Inputs!B4*Inputs!B3/10000</f>
        <v>0.001</v>
      </c>
      <c r="F283" s="13" t="n">
        <f aca="false">Inputs!B2*Inputs!B5/Inputs!B6</f>
        <v>0.000833333333333333</v>
      </c>
      <c r="G283" s="13" t="n">
        <f aca="false">D283-E283-F283</f>
        <v>0.0350166666666667</v>
      </c>
      <c r="H283" s="4" t="n">
        <f aca="false">(1+G283)*H282</f>
        <v>5.5259225875288</v>
      </c>
      <c r="I283" s="4" t="n">
        <f aca="false">MAX(1,H$2:H283)</f>
        <v>5.5259225875288</v>
      </c>
      <c r="J283" s="13" t="n">
        <f aca="false">H283/I283-1</f>
        <v>0</v>
      </c>
      <c r="K283" s="13" t="n">
        <f aca="false">Data!L283</f>
        <v>0.0495</v>
      </c>
    </row>
    <row r="284" customFormat="false" ht="30" hidden="false" customHeight="true" outlineLevel="0" collapsed="false">
      <c r="A284" s="5" t="str">
        <f aca="false">Data!A284</f>
        <v>1986-07</v>
      </c>
      <c r="B284" s="12" t="n">
        <f aca="false">Data!K284</f>
        <v>-0.0764</v>
      </c>
      <c r="C284" s="12" t="n">
        <f aca="false">Data!B284</f>
        <v>-0.1172</v>
      </c>
      <c r="D284" s="12" t="n">
        <f aca="false">(B284-C284)*Inputs!B2</f>
        <v>0.0204</v>
      </c>
      <c r="E284" s="12" t="n">
        <f aca="false">4*Inputs!B2*Inputs!B4*Inputs!B3/10000</f>
        <v>0.001</v>
      </c>
      <c r="F284" s="12" t="n">
        <f aca="false">Inputs!B2*Inputs!B5/Inputs!B6</f>
        <v>0.000833333333333333</v>
      </c>
      <c r="G284" s="12" t="n">
        <f aca="false">D284-E284-F284</f>
        <v>0.0185666666666667</v>
      </c>
      <c r="H284" s="5" t="n">
        <f aca="false">(1+G284)*H283</f>
        <v>5.62852055023726</v>
      </c>
      <c r="I284" s="5" t="n">
        <f aca="false">MAX(1,H$2:H284)</f>
        <v>5.62852055023726</v>
      </c>
      <c r="J284" s="12" t="n">
        <f aca="false">H284/I284-1</f>
        <v>0</v>
      </c>
      <c r="K284" s="12" t="n">
        <f aca="false">Data!L284</f>
        <v>0.019</v>
      </c>
    </row>
    <row r="285" customFormat="false" ht="30" hidden="false" customHeight="true" outlineLevel="0" collapsed="false">
      <c r="A285" s="4" t="str">
        <f aca="false">Data!A285</f>
        <v>1986-08</v>
      </c>
      <c r="B285" s="13" t="n">
        <f aca="false">Data!K285</f>
        <v>0.0371</v>
      </c>
      <c r="C285" s="13" t="n">
        <f aca="false">Data!B285</f>
        <v>0.1108</v>
      </c>
      <c r="D285" s="13" t="n">
        <f aca="false">(B285-C285)*Inputs!B2</f>
        <v>-0.03685</v>
      </c>
      <c r="E285" s="13" t="n">
        <f aca="false">4*Inputs!B2*Inputs!B4*Inputs!B3/10000</f>
        <v>0.001</v>
      </c>
      <c r="F285" s="13" t="n">
        <f aca="false">Inputs!B2*Inputs!B5/Inputs!B6</f>
        <v>0.000833333333333333</v>
      </c>
      <c r="G285" s="13" t="n">
        <f aca="false">D285-E285-F285</f>
        <v>-0.0386833333333333</v>
      </c>
      <c r="H285" s="4" t="n">
        <f aca="false">(1+G285)*H284</f>
        <v>5.41079061361891</v>
      </c>
      <c r="I285" s="4" t="n">
        <f aca="false">MAX(1,H$2:H285)</f>
        <v>5.62852055023726</v>
      </c>
      <c r="J285" s="13" t="n">
        <f aca="false">H285/I285-1</f>
        <v>-0.0386833333333333</v>
      </c>
      <c r="K285" s="13" t="n">
        <f aca="false">Data!L285</f>
        <v>-0.0516</v>
      </c>
    </row>
    <row r="286" customFormat="false" ht="30" hidden="false" customHeight="true" outlineLevel="0" collapsed="false">
      <c r="A286" s="5" t="str">
        <f aca="false">Data!A286</f>
        <v>1986-09</v>
      </c>
      <c r="B286" s="12" t="n">
        <f aca="false">Data!K286</f>
        <v>-0.1144</v>
      </c>
      <c r="C286" s="12" t="n">
        <f aca="false">Data!B286</f>
        <v>-0.0118</v>
      </c>
      <c r="D286" s="12" t="n">
        <f aca="false">(B286-C286)*Inputs!B2</f>
        <v>-0.0513</v>
      </c>
      <c r="E286" s="12" t="n">
        <f aca="false">4*Inputs!B2*Inputs!B4*Inputs!B3/10000</f>
        <v>0.001</v>
      </c>
      <c r="F286" s="12" t="n">
        <f aca="false">Inputs!B2*Inputs!B5/Inputs!B6</f>
        <v>0.000833333333333333</v>
      </c>
      <c r="G286" s="12" t="n">
        <f aca="false">D286-E286-F286</f>
        <v>-0.0531333333333333</v>
      </c>
      <c r="H286" s="5" t="n">
        <f aca="false">(1+G286)*H285</f>
        <v>5.12329727234863</v>
      </c>
      <c r="I286" s="5" t="n">
        <f aca="false">MAX(1,H$2:H286)</f>
        <v>5.62852055023726</v>
      </c>
      <c r="J286" s="12" t="n">
        <f aca="false">H286/I286-1</f>
        <v>-0.0897612922222223</v>
      </c>
      <c r="K286" s="12" t="n">
        <f aca="false">Data!L286</f>
        <v>-0.0569</v>
      </c>
    </row>
    <row r="287" customFormat="false" ht="30" hidden="false" customHeight="true" outlineLevel="0" collapsed="false">
      <c r="A287" s="4" t="str">
        <f aca="false">Data!A287</f>
        <v>1986-10</v>
      </c>
      <c r="B287" s="13" t="n">
        <f aca="false">Data!K287</f>
        <v>0.0725</v>
      </c>
      <c r="C287" s="13" t="n">
        <f aca="false">Data!B287</f>
        <v>0.0191</v>
      </c>
      <c r="D287" s="13" t="n">
        <f aca="false">(B287-C287)*Inputs!B2</f>
        <v>0.0267</v>
      </c>
      <c r="E287" s="13" t="n">
        <f aca="false">4*Inputs!B2*Inputs!B4*Inputs!B3/10000</f>
        <v>0.001</v>
      </c>
      <c r="F287" s="13" t="n">
        <f aca="false">Inputs!B2*Inputs!B5/Inputs!B6</f>
        <v>0.000833333333333333</v>
      </c>
      <c r="G287" s="13" t="n">
        <f aca="false">D287-E287-F287</f>
        <v>0.0248666666666667</v>
      </c>
      <c r="H287" s="4" t="n">
        <f aca="false">(1+G287)*H286</f>
        <v>5.25069659785436</v>
      </c>
      <c r="I287" s="4" t="n">
        <f aca="false">MAX(1,H$2:H287)</f>
        <v>5.62852055023726</v>
      </c>
      <c r="J287" s="13" t="n">
        <f aca="false">H287/I287-1</f>
        <v>-0.0671266896888149</v>
      </c>
      <c r="K287" s="13" t="n">
        <f aca="false">Data!L287</f>
        <v>0.0446</v>
      </c>
    </row>
    <row r="288" customFormat="false" ht="30" hidden="false" customHeight="true" outlineLevel="0" collapsed="false">
      <c r="A288" s="5" t="str">
        <f aca="false">Data!A288</f>
        <v>1986-11</v>
      </c>
      <c r="B288" s="12" t="n">
        <f aca="false">Data!K288</f>
        <v>0.0044</v>
      </c>
      <c r="C288" s="12" t="n">
        <f aca="false">Data!B288</f>
        <v>0.0041</v>
      </c>
      <c r="D288" s="12" t="n">
        <f aca="false">(B288-C288)*Inputs!B2</f>
        <v>0.000150000000000001</v>
      </c>
      <c r="E288" s="12" t="n">
        <f aca="false">4*Inputs!B2*Inputs!B4*Inputs!B3/10000</f>
        <v>0.001</v>
      </c>
      <c r="F288" s="12" t="n">
        <f aca="false">Inputs!B2*Inputs!B5/Inputs!B6</f>
        <v>0.000833333333333333</v>
      </c>
      <c r="G288" s="12" t="n">
        <f aca="false">D288-E288-F288</f>
        <v>-0.00168333333333333</v>
      </c>
      <c r="H288" s="5" t="n">
        <f aca="false">(1+G288)*H287</f>
        <v>5.24185792524797</v>
      </c>
      <c r="I288" s="5" t="n">
        <f aca="false">MAX(1,H$2:H288)</f>
        <v>5.62852055023726</v>
      </c>
      <c r="J288" s="12" t="n">
        <f aca="false">H288/I288-1</f>
        <v>-0.0686970264278387</v>
      </c>
      <c r="K288" s="12" t="n">
        <f aca="false">Data!L288</f>
        <v>-0.0025</v>
      </c>
    </row>
    <row r="289" customFormat="false" ht="30" hidden="false" customHeight="true" outlineLevel="0" collapsed="false">
      <c r="A289" s="4" t="str">
        <f aca="false">Data!A289</f>
        <v>1986-12</v>
      </c>
      <c r="B289" s="13" t="n">
        <f aca="false">Data!K289</f>
        <v>-0.0212</v>
      </c>
      <c r="C289" s="13" t="n">
        <f aca="false">Data!B289</f>
        <v>-0.052</v>
      </c>
      <c r="D289" s="13" t="n">
        <f aca="false">(B289-C289)*Inputs!B2</f>
        <v>0.0154</v>
      </c>
      <c r="E289" s="13" t="n">
        <f aca="false">4*Inputs!B2*Inputs!B4*Inputs!B3/10000</f>
        <v>0.001</v>
      </c>
      <c r="F289" s="13" t="n">
        <f aca="false">Inputs!B2*Inputs!B5/Inputs!B6</f>
        <v>0.000833333333333333</v>
      </c>
      <c r="G289" s="13" t="n">
        <f aca="false">D289-E289-F289</f>
        <v>0.0135666666666667</v>
      </c>
      <c r="H289" s="4" t="n">
        <f aca="false">(1+G289)*H288</f>
        <v>5.31297246443384</v>
      </c>
      <c r="I289" s="4" t="n">
        <f aca="false">MAX(1,H$2:H289)</f>
        <v>5.62852055023726</v>
      </c>
      <c r="J289" s="13" t="n">
        <f aca="false">H289/I289-1</f>
        <v>-0.0560623494197097</v>
      </c>
      <c r="K289" s="13" t="n">
        <f aca="false">Data!L289</f>
        <v>0.0046</v>
      </c>
    </row>
    <row r="290" customFormat="false" ht="30" hidden="false" customHeight="true" outlineLevel="0" collapsed="false">
      <c r="A290" s="5" t="str">
        <f aca="false">Data!A290</f>
        <v>1987-01</v>
      </c>
      <c r="B290" s="12" t="n">
        <f aca="false">Data!K290</f>
        <v>0.1803</v>
      </c>
      <c r="C290" s="12" t="n">
        <f aca="false">Data!B290</f>
        <v>0.1412</v>
      </c>
      <c r="D290" s="12" t="n">
        <f aca="false">(B290-C290)*Inputs!B2</f>
        <v>0.01955</v>
      </c>
      <c r="E290" s="12" t="n">
        <f aca="false">4*Inputs!B2*Inputs!B4*Inputs!B3/10000</f>
        <v>0.001</v>
      </c>
      <c r="F290" s="12" t="n">
        <f aca="false">Inputs!B2*Inputs!B5/Inputs!B6</f>
        <v>0.000833333333333333</v>
      </c>
      <c r="G290" s="12" t="n">
        <f aca="false">D290-E290-F290</f>
        <v>0.0177166666666667</v>
      </c>
      <c r="H290" s="5" t="n">
        <f aca="false">(1+G290)*H289</f>
        <v>5.40710062659539</v>
      </c>
      <c r="I290" s="5" t="n">
        <f aca="false">MAX(1,H$2:H290)</f>
        <v>5.62852055023726</v>
      </c>
      <c r="J290" s="12" t="n">
        <f aca="false">H290/I290-1</f>
        <v>-0.0393389207102622</v>
      </c>
      <c r="K290" s="12" t="n">
        <f aca="false">Data!L290</f>
        <v>0.0206</v>
      </c>
    </row>
    <row r="291" customFormat="false" ht="30" hidden="false" customHeight="true" outlineLevel="0" collapsed="false">
      <c r="A291" s="4" t="str">
        <f aca="false">Data!A291</f>
        <v>1987-02</v>
      </c>
      <c r="B291" s="13" t="n">
        <f aca="false">Data!K291</f>
        <v>0.0523</v>
      </c>
      <c r="C291" s="13" t="n">
        <f aca="false">Data!B291</f>
        <v>0.085</v>
      </c>
      <c r="D291" s="13" t="n">
        <f aca="false">(B291-C291)*Inputs!B2</f>
        <v>-0.01635</v>
      </c>
      <c r="E291" s="13" t="n">
        <f aca="false">4*Inputs!B2*Inputs!B4*Inputs!B3/10000</f>
        <v>0.001</v>
      </c>
      <c r="F291" s="13" t="n">
        <f aca="false">Inputs!B2*Inputs!B5/Inputs!B6</f>
        <v>0.000833333333333333</v>
      </c>
      <c r="G291" s="13" t="n">
        <f aca="false">D291-E291-F291</f>
        <v>-0.0181833333333333</v>
      </c>
      <c r="H291" s="4" t="n">
        <f aca="false">(1+G291)*H290</f>
        <v>5.30878151353513</v>
      </c>
      <c r="I291" s="4" t="n">
        <f aca="false">MAX(1,H$2:H291)</f>
        <v>5.62852055023726</v>
      </c>
      <c r="J291" s="13" t="n">
        <f aca="false">H291/I291-1</f>
        <v>-0.0568069413353475</v>
      </c>
      <c r="K291" s="13" t="n">
        <f aca="false">Data!L291</f>
        <v>-0.0223</v>
      </c>
    </row>
    <row r="292" customFormat="false" ht="30" hidden="false" customHeight="true" outlineLevel="0" collapsed="false">
      <c r="A292" s="5" t="str">
        <f aca="false">Data!A292</f>
        <v>1987-03</v>
      </c>
      <c r="B292" s="12" t="n">
        <f aca="false">Data!K292</f>
        <v>0.0409</v>
      </c>
      <c r="C292" s="12" t="n">
        <f aca="false">Data!B292</f>
        <v>0.0006</v>
      </c>
      <c r="D292" s="12" t="n">
        <f aca="false">(B292-C292)*Inputs!B2</f>
        <v>0.02015</v>
      </c>
      <c r="E292" s="12" t="n">
        <f aca="false">4*Inputs!B2*Inputs!B4*Inputs!B3/10000</f>
        <v>0.001</v>
      </c>
      <c r="F292" s="12" t="n">
        <f aca="false">Inputs!B2*Inputs!B5/Inputs!B6</f>
        <v>0.000833333333333333</v>
      </c>
      <c r="G292" s="12" t="n">
        <f aca="false">D292-E292-F292</f>
        <v>0.0183166666666667</v>
      </c>
      <c r="H292" s="5" t="n">
        <f aca="false">(1+G292)*H291</f>
        <v>5.40602069492472</v>
      </c>
      <c r="I292" s="5" t="n">
        <f aca="false">MAX(1,H$2:H292)</f>
        <v>5.62852055023726</v>
      </c>
      <c r="J292" s="12" t="n">
        <f aca="false">H292/I292-1</f>
        <v>-0.0395307884774732</v>
      </c>
      <c r="K292" s="12" t="n">
        <f aca="false">Data!L292</f>
        <v>0.0166</v>
      </c>
    </row>
    <row r="293" customFormat="false" ht="30" hidden="false" customHeight="true" outlineLevel="0" collapsed="false">
      <c r="A293" s="4" t="str">
        <f aca="false">Data!A293</f>
        <v>1987-04</v>
      </c>
      <c r="B293" s="13" t="n">
        <f aca="false">Data!K293</f>
        <v>0.0044</v>
      </c>
      <c r="C293" s="13" t="n">
        <f aca="false">Data!B293</f>
        <v>-0.05</v>
      </c>
      <c r="D293" s="13" t="n">
        <f aca="false">(B293-C293)*Inputs!B2</f>
        <v>0.0272</v>
      </c>
      <c r="E293" s="13" t="n">
        <f aca="false">4*Inputs!B2*Inputs!B4*Inputs!B3/10000</f>
        <v>0.001</v>
      </c>
      <c r="F293" s="13" t="n">
        <f aca="false">Inputs!B2*Inputs!B5/Inputs!B6</f>
        <v>0.000833333333333333</v>
      </c>
      <c r="G293" s="13" t="n">
        <f aca="false">D293-E293-F293</f>
        <v>0.0253666666666667</v>
      </c>
      <c r="H293" s="4" t="n">
        <f aca="false">(1+G293)*H292</f>
        <v>5.54315341988597</v>
      </c>
      <c r="I293" s="4" t="n">
        <f aca="false">MAX(1,H$2:H293)</f>
        <v>5.62852055023726</v>
      </c>
      <c r="J293" s="13" t="n">
        <f aca="false">H293/I293-1</f>
        <v>-0.015166886145185</v>
      </c>
      <c r="K293" s="13" t="n">
        <f aca="false">Data!L293</f>
        <v>0.0021</v>
      </c>
    </row>
    <row r="294" customFormat="false" ht="30" hidden="false" customHeight="true" outlineLevel="0" collapsed="false">
      <c r="A294" s="5" t="str">
        <f aca="false">Data!A294</f>
        <v>1987-05</v>
      </c>
      <c r="B294" s="12" t="n">
        <f aca="false">Data!K294</f>
        <v>0.0084</v>
      </c>
      <c r="C294" s="12" t="n">
        <f aca="false">Data!B294</f>
        <v>0.0154</v>
      </c>
      <c r="D294" s="12" t="n">
        <f aca="false">(B294-C294)*Inputs!B2</f>
        <v>-0.0035</v>
      </c>
      <c r="E294" s="12" t="n">
        <f aca="false">4*Inputs!B2*Inputs!B4*Inputs!B3/10000</f>
        <v>0.001</v>
      </c>
      <c r="F294" s="12" t="n">
        <f aca="false">Inputs!B2*Inputs!B5/Inputs!B6</f>
        <v>0.000833333333333333</v>
      </c>
      <c r="G294" s="12" t="n">
        <f aca="false">D294-E294-F294</f>
        <v>-0.00533333333333333</v>
      </c>
      <c r="H294" s="5" t="n">
        <f aca="false">(1+G294)*H293</f>
        <v>5.51358993497991</v>
      </c>
      <c r="I294" s="5" t="n">
        <f aca="false">MAX(1,H$2:H294)</f>
        <v>5.62852055023726</v>
      </c>
      <c r="J294" s="12" t="n">
        <f aca="false">H294/I294-1</f>
        <v>-0.0204193294190772</v>
      </c>
      <c r="K294" s="12" t="n">
        <f aca="false">Data!L294</f>
        <v>-0.008</v>
      </c>
    </row>
    <row r="295" customFormat="false" ht="30" hidden="false" customHeight="true" outlineLevel="0" collapsed="false">
      <c r="A295" s="4" t="str">
        <f aca="false">Data!A295</f>
        <v>1987-06</v>
      </c>
      <c r="B295" s="13" t="n">
        <f aca="false">Data!K295</f>
        <v>0.0367</v>
      </c>
      <c r="C295" s="13" t="n">
        <f aca="false">Data!B295</f>
        <v>0.0205</v>
      </c>
      <c r="D295" s="13" t="n">
        <f aca="false">(B295-C295)*Inputs!B2</f>
        <v>0.0081</v>
      </c>
      <c r="E295" s="13" t="n">
        <f aca="false">4*Inputs!B2*Inputs!B4*Inputs!B3/10000</f>
        <v>0.001</v>
      </c>
      <c r="F295" s="13" t="n">
        <f aca="false">Inputs!B2*Inputs!B5/Inputs!B6</f>
        <v>0.000833333333333333</v>
      </c>
      <c r="G295" s="13" t="n">
        <f aca="false">D295-E295-F295</f>
        <v>0.00626666666666667</v>
      </c>
      <c r="H295" s="4" t="n">
        <f aca="false">(1+G295)*H294</f>
        <v>5.54814176523912</v>
      </c>
      <c r="I295" s="4" t="n">
        <f aca="false">MAX(1,H$2:H295)</f>
        <v>5.62852055023726</v>
      </c>
      <c r="J295" s="13" t="n">
        <f aca="false">H295/I295-1</f>
        <v>-0.0142806238834368</v>
      </c>
      <c r="K295" s="13" t="n">
        <f aca="false">Data!L295</f>
        <v>-0.0022</v>
      </c>
    </row>
    <row r="296" customFormat="false" ht="30" hidden="false" customHeight="true" outlineLevel="0" collapsed="false">
      <c r="A296" s="5" t="str">
        <f aca="false">Data!A296</f>
        <v>1987-07</v>
      </c>
      <c r="B296" s="12" t="n">
        <f aca="false">Data!K296</f>
        <v>0.0554</v>
      </c>
      <c r="C296" s="12" t="n">
        <f aca="false">Data!B296</f>
        <v>0.0309</v>
      </c>
      <c r="D296" s="12" t="n">
        <f aca="false">(B296-C296)*Inputs!B2</f>
        <v>0.01225</v>
      </c>
      <c r="E296" s="12" t="n">
        <f aca="false">4*Inputs!B2*Inputs!B4*Inputs!B3/10000</f>
        <v>0.001</v>
      </c>
      <c r="F296" s="12" t="n">
        <f aca="false">Inputs!B2*Inputs!B5/Inputs!B6</f>
        <v>0.000833333333333333</v>
      </c>
      <c r="G296" s="12" t="n">
        <f aca="false">D296-E296-F296</f>
        <v>0.0104166666666667</v>
      </c>
      <c r="H296" s="5" t="n">
        <f aca="false">(1+G296)*H295</f>
        <v>5.60593490862703</v>
      </c>
      <c r="I296" s="5" t="n">
        <f aca="false">MAX(1,H$2:H296)</f>
        <v>5.62852055023726</v>
      </c>
      <c r="J296" s="12" t="n">
        <f aca="false">H296/I296-1</f>
        <v>-0.00401271371555578</v>
      </c>
      <c r="K296" s="12" t="n">
        <f aca="false">Data!L296</f>
        <v>0.0258</v>
      </c>
    </row>
    <row r="297" customFormat="false" ht="30" hidden="false" customHeight="true" outlineLevel="0" collapsed="false">
      <c r="A297" s="4" t="str">
        <f aca="false">Data!A297</f>
        <v>1987-08</v>
      </c>
      <c r="B297" s="13" t="n">
        <f aca="false">Data!K297</f>
        <v>0.0408</v>
      </c>
      <c r="C297" s="13" t="n">
        <f aca="false">Data!B297</f>
        <v>0.0331</v>
      </c>
      <c r="D297" s="13" t="n">
        <f aca="false">(B297-C297)*Inputs!B2</f>
        <v>0.00385</v>
      </c>
      <c r="E297" s="13" t="n">
        <f aca="false">4*Inputs!B2*Inputs!B4*Inputs!B3/10000</f>
        <v>0.001</v>
      </c>
      <c r="F297" s="13" t="n">
        <f aca="false">Inputs!B2*Inputs!B5/Inputs!B6</f>
        <v>0.000833333333333333</v>
      </c>
      <c r="G297" s="13" t="n">
        <f aca="false">D297-E297-F297</f>
        <v>0.00201666666666667</v>
      </c>
      <c r="H297" s="4" t="n">
        <f aca="false">(1+G297)*H296</f>
        <v>5.61724021069276</v>
      </c>
      <c r="I297" s="4" t="n">
        <f aca="false">MAX(1,H$2:H297)</f>
        <v>5.62852055023726</v>
      </c>
      <c r="J297" s="13" t="n">
        <f aca="false">H297/I297-1</f>
        <v>-0.00200413935488208</v>
      </c>
      <c r="K297" s="13" t="n">
        <f aca="false">Data!L297</f>
        <v>-0.0095</v>
      </c>
    </row>
    <row r="298" customFormat="false" ht="30" hidden="false" customHeight="true" outlineLevel="0" collapsed="false">
      <c r="A298" s="5" t="str">
        <f aca="false">Data!A298</f>
        <v>1987-09</v>
      </c>
      <c r="B298" s="12" t="n">
        <f aca="false">Data!K298</f>
        <v>0.0009</v>
      </c>
      <c r="C298" s="12" t="n">
        <f aca="false">Data!B298</f>
        <v>-0.0301</v>
      </c>
      <c r="D298" s="12" t="n">
        <f aca="false">(B298-C298)*Inputs!B2</f>
        <v>0.0155</v>
      </c>
      <c r="E298" s="12" t="n">
        <f aca="false">4*Inputs!B2*Inputs!B4*Inputs!B3/10000</f>
        <v>0.001</v>
      </c>
      <c r="F298" s="12" t="n">
        <f aca="false">Inputs!B2*Inputs!B5/Inputs!B6</f>
        <v>0.000833333333333333</v>
      </c>
      <c r="G298" s="12" t="n">
        <f aca="false">D298-E298-F298</f>
        <v>0.0136666666666667</v>
      </c>
      <c r="H298" s="5" t="n">
        <f aca="false">(1+G298)*H297</f>
        <v>5.6940091602389</v>
      </c>
      <c r="I298" s="5" t="n">
        <f aca="false">MAX(1,H$2:H298)</f>
        <v>5.6940091602389</v>
      </c>
      <c r="J298" s="12" t="n">
        <f aca="false">H298/I298-1</f>
        <v>0</v>
      </c>
      <c r="K298" s="12" t="n">
        <f aca="false">Data!L298</f>
        <v>0.008</v>
      </c>
    </row>
    <row r="299" customFormat="false" ht="30" hidden="false" customHeight="true" outlineLevel="0" collapsed="false">
      <c r="A299" s="4" t="str">
        <f aca="false">Data!A299</f>
        <v>1987-10</v>
      </c>
      <c r="B299" s="13" t="n">
        <f aca="false">Data!K299</f>
        <v>-0.267</v>
      </c>
      <c r="C299" s="13" t="n">
        <f aca="false">Data!B299</f>
        <v>-0.2384</v>
      </c>
      <c r="D299" s="13" t="n">
        <f aca="false">(B299-C299)*Inputs!B2</f>
        <v>-0.0143</v>
      </c>
      <c r="E299" s="13" t="n">
        <f aca="false">4*Inputs!B2*Inputs!B4*Inputs!B3/10000</f>
        <v>0.001</v>
      </c>
      <c r="F299" s="13" t="n">
        <f aca="false">Inputs!B2*Inputs!B5/Inputs!B6</f>
        <v>0.000833333333333333</v>
      </c>
      <c r="G299" s="13" t="n">
        <f aca="false">D299-E299-F299</f>
        <v>-0.0161333333333333</v>
      </c>
      <c r="H299" s="4" t="n">
        <f aca="false">(1+G299)*H298</f>
        <v>5.60214581245371</v>
      </c>
      <c r="I299" s="4" t="n">
        <f aca="false">MAX(1,H$2:H299)</f>
        <v>5.6940091602389</v>
      </c>
      <c r="J299" s="13" t="n">
        <f aca="false">H299/I299-1</f>
        <v>-0.0161333333333333</v>
      </c>
      <c r="K299" s="13" t="n">
        <f aca="false">Data!L299</f>
        <v>-0.0772</v>
      </c>
    </row>
    <row r="300" customFormat="false" ht="30" hidden="false" customHeight="true" outlineLevel="0" collapsed="false">
      <c r="A300" s="5" t="str">
        <f aca="false">Data!A300</f>
        <v>1987-11</v>
      </c>
      <c r="B300" s="12" t="n">
        <f aca="false">Data!K300</f>
        <v>-0.0618</v>
      </c>
      <c r="C300" s="12" t="n">
        <f aca="false">Data!B300</f>
        <v>-0.0594</v>
      </c>
      <c r="D300" s="12" t="n">
        <f aca="false">(B300-C300)*Inputs!B2</f>
        <v>-0.00119999999999999</v>
      </c>
      <c r="E300" s="12" t="n">
        <f aca="false">4*Inputs!B2*Inputs!B4*Inputs!B3/10000</f>
        <v>0.001</v>
      </c>
      <c r="F300" s="12" t="n">
        <f aca="false">Inputs!B2*Inputs!B5/Inputs!B6</f>
        <v>0.000833333333333333</v>
      </c>
      <c r="G300" s="12" t="n">
        <f aca="false">D300-E300-F300</f>
        <v>-0.00303333333333333</v>
      </c>
      <c r="H300" s="5" t="n">
        <f aca="false">(1+G300)*H299</f>
        <v>5.5851526368226</v>
      </c>
      <c r="I300" s="5" t="n">
        <f aca="false">MAX(1,H$2:H300)</f>
        <v>5.6940091602389</v>
      </c>
      <c r="J300" s="12" t="n">
        <f aca="false">H300/I300-1</f>
        <v>-0.019117728888889</v>
      </c>
      <c r="K300" s="12" t="n">
        <f aca="false">Data!L300</f>
        <v>-0.0123</v>
      </c>
    </row>
    <row r="301" customFormat="false" ht="30" hidden="false" customHeight="true" outlineLevel="0" collapsed="false">
      <c r="A301" s="4" t="str">
        <f aca="false">Data!A301</f>
        <v>1987-12</v>
      </c>
      <c r="B301" s="13" t="n">
        <f aca="false">Data!K301</f>
        <v>0.0802</v>
      </c>
      <c r="C301" s="13" t="n">
        <f aca="false">Data!B301</f>
        <v>0.0197</v>
      </c>
      <c r="D301" s="13" t="n">
        <f aca="false">(B301-C301)*Inputs!B2</f>
        <v>0.03025</v>
      </c>
      <c r="E301" s="13" t="n">
        <f aca="false">4*Inputs!B2*Inputs!B4*Inputs!B3/10000</f>
        <v>0.001</v>
      </c>
      <c r="F301" s="13" t="n">
        <f aca="false">Inputs!B2*Inputs!B5/Inputs!B6</f>
        <v>0.000833333333333333</v>
      </c>
      <c r="G301" s="13" t="n">
        <f aca="false">D301-E301-F301</f>
        <v>0.0284166666666667</v>
      </c>
      <c r="H301" s="4" t="n">
        <f aca="false">(1+G301)*H300</f>
        <v>5.74386405758564</v>
      </c>
      <c r="I301" s="4" t="n">
        <f aca="false">MAX(1,H$2:H301)</f>
        <v>5.74386405758564</v>
      </c>
      <c r="J301" s="13" t="n">
        <f aca="false">H301/I301-1</f>
        <v>0</v>
      </c>
      <c r="K301" s="13" t="n">
        <f aca="false">Data!L301</f>
        <v>0.0587</v>
      </c>
    </row>
    <row r="302" customFormat="false" ht="30" hidden="false" customHeight="true" outlineLevel="0" collapsed="false">
      <c r="A302" s="5" t="str">
        <f aca="false">Data!A302</f>
        <v>1988-01</v>
      </c>
      <c r="B302" s="12" t="n">
        <f aca="false">Data!K302</f>
        <v>-0.0207</v>
      </c>
      <c r="C302" s="12" t="n">
        <f aca="false">Data!B302</f>
        <v>0.0747</v>
      </c>
      <c r="D302" s="12" t="n">
        <f aca="false">(B302-C302)*Inputs!B2</f>
        <v>-0.0477</v>
      </c>
      <c r="E302" s="12" t="n">
        <f aca="false">4*Inputs!B2*Inputs!B4*Inputs!B3/10000</f>
        <v>0.001</v>
      </c>
      <c r="F302" s="12" t="n">
        <f aca="false">Inputs!B2*Inputs!B5/Inputs!B6</f>
        <v>0.000833333333333333</v>
      </c>
      <c r="G302" s="12" t="n">
        <f aca="false">D302-E302-F302</f>
        <v>-0.0495333333333333</v>
      </c>
      <c r="H302" s="5" t="n">
        <f aca="false">(1+G302)*H301</f>
        <v>5.4593513245999</v>
      </c>
      <c r="I302" s="5" t="n">
        <f aca="false">MAX(1,H$2:H302)</f>
        <v>5.74386405758564</v>
      </c>
      <c r="J302" s="12" t="n">
        <f aca="false">H302/I302-1</f>
        <v>-0.0495333333333333</v>
      </c>
      <c r="K302" s="12" t="n">
        <f aca="false">Data!L302</f>
        <v>-0.0736</v>
      </c>
    </row>
    <row r="303" customFormat="false" ht="30" hidden="false" customHeight="true" outlineLevel="0" collapsed="false">
      <c r="A303" s="4" t="str">
        <f aca="false">Data!A303</f>
        <v>1988-02</v>
      </c>
      <c r="B303" s="13" t="n">
        <f aca="false">Data!K303</f>
        <v>0.0759</v>
      </c>
      <c r="C303" s="13" t="n">
        <f aca="false">Data!B303</f>
        <v>0.0874</v>
      </c>
      <c r="D303" s="13" t="n">
        <f aca="false">(B303-C303)*Inputs!B2</f>
        <v>-0.00575000000000001</v>
      </c>
      <c r="E303" s="13" t="n">
        <f aca="false">4*Inputs!B2*Inputs!B4*Inputs!B3/10000</f>
        <v>0.001</v>
      </c>
      <c r="F303" s="13" t="n">
        <f aca="false">Inputs!B2*Inputs!B5/Inputs!B6</f>
        <v>0.000833333333333333</v>
      </c>
      <c r="G303" s="13" t="n">
        <f aca="false">D303-E303-F303</f>
        <v>-0.00758333333333334</v>
      </c>
      <c r="H303" s="4" t="n">
        <f aca="false">(1+G303)*H302</f>
        <v>5.41795124372168</v>
      </c>
      <c r="I303" s="4" t="n">
        <f aca="false">MAX(1,H$2:H303)</f>
        <v>5.74386405758564</v>
      </c>
      <c r="J303" s="13" t="n">
        <f aca="false">H303/I303-1</f>
        <v>-0.0567410388888889</v>
      </c>
      <c r="K303" s="13" t="n">
        <f aca="false">Data!L303</f>
        <v>-0.0147</v>
      </c>
    </row>
    <row r="304" customFormat="false" ht="30" hidden="false" customHeight="true" outlineLevel="0" collapsed="false">
      <c r="A304" s="5" t="str">
        <f aca="false">Data!A304</f>
        <v>1988-03</v>
      </c>
      <c r="B304" s="12" t="n">
        <f aca="false">Data!K304</f>
        <v>0.0044</v>
      </c>
      <c r="C304" s="12" t="n">
        <f aca="false">Data!B304</f>
        <v>0.0001</v>
      </c>
      <c r="D304" s="12" t="n">
        <f aca="false">(B304-C304)*Inputs!B2</f>
        <v>0.00215</v>
      </c>
      <c r="E304" s="12" t="n">
        <f aca="false">4*Inputs!B2*Inputs!B4*Inputs!B3/10000</f>
        <v>0.001</v>
      </c>
      <c r="F304" s="12" t="n">
        <f aca="false">Inputs!B2*Inputs!B5/Inputs!B6</f>
        <v>0.000833333333333333</v>
      </c>
      <c r="G304" s="12" t="n">
        <f aca="false">D304-E304-F304</f>
        <v>0.000316666666666667</v>
      </c>
      <c r="H304" s="5" t="n">
        <f aca="false">(1+G304)*H303</f>
        <v>5.4196669282822</v>
      </c>
      <c r="I304" s="5" t="n">
        <f aca="false">MAX(1,H$2:H304)</f>
        <v>5.74386405758564</v>
      </c>
      <c r="J304" s="12" t="n">
        <f aca="false">H304/I304-1</f>
        <v>-0.0564423402178703</v>
      </c>
      <c r="K304" s="12" t="n">
        <f aca="false">Data!L304</f>
        <v>0.0056</v>
      </c>
    </row>
    <row r="305" customFormat="false" ht="30" hidden="false" customHeight="true" outlineLevel="0" collapsed="false">
      <c r="A305" s="4" t="str">
        <f aca="false">Data!A305</f>
        <v>1988-04</v>
      </c>
      <c r="B305" s="13" t="n">
        <f aca="false">Data!K305</f>
        <v>0.0167</v>
      </c>
      <c r="C305" s="13" t="n">
        <f aca="false">Data!B305</f>
        <v>-0.0024</v>
      </c>
      <c r="D305" s="13" t="n">
        <f aca="false">(B305-C305)*Inputs!B2</f>
        <v>0.00955</v>
      </c>
      <c r="E305" s="13" t="n">
        <f aca="false">4*Inputs!B2*Inputs!B4*Inputs!B3/10000</f>
        <v>0.001</v>
      </c>
      <c r="F305" s="13" t="n">
        <f aca="false">Inputs!B2*Inputs!B5/Inputs!B6</f>
        <v>0.000833333333333333</v>
      </c>
      <c r="G305" s="13" t="n">
        <f aca="false">D305-E305-F305</f>
        <v>0.00771666666666667</v>
      </c>
      <c r="H305" s="4" t="n">
        <f aca="false">(1+G305)*H304</f>
        <v>5.46148869141211</v>
      </c>
      <c r="I305" s="4" t="n">
        <f aca="false">MAX(1,H$2:H305)</f>
        <v>5.74386405758564</v>
      </c>
      <c r="J305" s="13" t="n">
        <f aca="false">H305/I305-1</f>
        <v>-0.0491612202765516</v>
      </c>
      <c r="K305" s="13" t="n">
        <f aca="false">Data!L305</f>
        <v>0.0221</v>
      </c>
    </row>
    <row r="306" customFormat="false" ht="30" hidden="false" customHeight="true" outlineLevel="0" collapsed="false">
      <c r="A306" s="5" t="str">
        <f aca="false">Data!A306</f>
        <v>1988-05</v>
      </c>
      <c r="B306" s="12" t="n">
        <f aca="false">Data!K306</f>
        <v>-0.0114</v>
      </c>
      <c r="C306" s="12" t="n">
        <f aca="false">Data!B306</f>
        <v>-0.0305</v>
      </c>
      <c r="D306" s="12" t="n">
        <f aca="false">(B306-C306)*Inputs!B2</f>
        <v>0.00955</v>
      </c>
      <c r="E306" s="12" t="n">
        <f aca="false">4*Inputs!B2*Inputs!B4*Inputs!B3/10000</f>
        <v>0.001</v>
      </c>
      <c r="F306" s="12" t="n">
        <f aca="false">Inputs!B2*Inputs!B5/Inputs!B6</f>
        <v>0.000833333333333333</v>
      </c>
      <c r="G306" s="12" t="n">
        <f aca="false">D306-E306-F306</f>
        <v>0.00771666666666667</v>
      </c>
      <c r="H306" s="5" t="n">
        <f aca="false">(1+G306)*H305</f>
        <v>5.5036331791475</v>
      </c>
      <c r="I306" s="5" t="n">
        <f aca="false">MAX(1,H$2:H306)</f>
        <v>5.74386405758564</v>
      </c>
      <c r="J306" s="12" t="n">
        <f aca="false">H306/I306-1</f>
        <v>-0.0418239143596857</v>
      </c>
      <c r="K306" s="12" t="n">
        <f aca="false">Data!L306</f>
        <v>0.0066</v>
      </c>
    </row>
    <row r="307" customFormat="false" ht="30" hidden="false" customHeight="true" outlineLevel="0" collapsed="false">
      <c r="A307" s="4" t="str">
        <f aca="false">Data!A307</f>
        <v>1988-06</v>
      </c>
      <c r="B307" s="13" t="n">
        <f aca="false">Data!K307</f>
        <v>0.0353</v>
      </c>
      <c r="C307" s="13" t="n">
        <f aca="false">Data!B307</f>
        <v>0.0967</v>
      </c>
      <c r="D307" s="13" t="n">
        <f aca="false">(B307-C307)*Inputs!B2</f>
        <v>-0.0307</v>
      </c>
      <c r="E307" s="13" t="n">
        <f aca="false">4*Inputs!B2*Inputs!B4*Inputs!B3/10000</f>
        <v>0.001</v>
      </c>
      <c r="F307" s="13" t="n">
        <f aca="false">Inputs!B2*Inputs!B5/Inputs!B6</f>
        <v>0.000833333333333333</v>
      </c>
      <c r="G307" s="13" t="n">
        <f aca="false">D307-E307-F307</f>
        <v>-0.0325333333333333</v>
      </c>
      <c r="H307" s="4" t="n">
        <f aca="false">(1+G307)*H306</f>
        <v>5.3245816463859</v>
      </c>
      <c r="I307" s="4" t="n">
        <f aca="false">MAX(1,H$2:H307)</f>
        <v>5.74386405758564</v>
      </c>
      <c r="J307" s="13" t="n">
        <f aca="false">H307/I307-1</f>
        <v>-0.0729965763458506</v>
      </c>
      <c r="K307" s="13" t="n">
        <f aca="false">Data!L307</f>
        <v>-0.0302</v>
      </c>
    </row>
    <row r="308" customFormat="false" ht="30" hidden="false" customHeight="true" outlineLevel="0" collapsed="false">
      <c r="A308" s="5" t="str">
        <f aca="false">Data!A308</f>
        <v>1988-07</v>
      </c>
      <c r="B308" s="12" t="n">
        <f aca="false">Data!K308</f>
        <v>-0.0109</v>
      </c>
      <c r="C308" s="12" t="n">
        <f aca="false">Data!B308</f>
        <v>-0.0245</v>
      </c>
      <c r="D308" s="12" t="n">
        <f aca="false">(B308-C308)*Inputs!B2</f>
        <v>0.0068</v>
      </c>
      <c r="E308" s="12" t="n">
        <f aca="false">4*Inputs!B2*Inputs!B4*Inputs!B3/10000</f>
        <v>0.001</v>
      </c>
      <c r="F308" s="12" t="n">
        <f aca="false">Inputs!B2*Inputs!B5/Inputs!B6</f>
        <v>0.000833333333333333</v>
      </c>
      <c r="G308" s="12" t="n">
        <f aca="false">D308-E308-F308</f>
        <v>0.00496666666666667</v>
      </c>
      <c r="H308" s="5" t="n">
        <f aca="false">(1+G308)*H307</f>
        <v>5.35102706856295</v>
      </c>
      <c r="I308" s="5" t="n">
        <f aca="false">MAX(1,H$2:H308)</f>
        <v>5.74386405758564</v>
      </c>
      <c r="J308" s="12" t="n">
        <f aca="false">H308/I308-1</f>
        <v>-0.0683924593417017</v>
      </c>
      <c r="K308" s="12" t="n">
        <f aca="false">Data!L308</f>
        <v>0.0065</v>
      </c>
    </row>
    <row r="309" customFormat="false" ht="30" hidden="false" customHeight="true" outlineLevel="0" collapsed="false">
      <c r="A309" s="4" t="str">
        <f aca="false">Data!A309</f>
        <v>1988-08</v>
      </c>
      <c r="B309" s="13" t="n">
        <f aca="false">Data!K309</f>
        <v>-0.0301</v>
      </c>
      <c r="C309" s="13" t="n">
        <f aca="false">Data!B309</f>
        <v>-0.0364</v>
      </c>
      <c r="D309" s="13" t="n">
        <f aca="false">(B309-C309)*Inputs!B2</f>
        <v>0.00315</v>
      </c>
      <c r="E309" s="13" t="n">
        <f aca="false">4*Inputs!B2*Inputs!B4*Inputs!B3/10000</f>
        <v>0.001</v>
      </c>
      <c r="F309" s="13" t="n">
        <f aca="false">Inputs!B2*Inputs!B5/Inputs!B6</f>
        <v>0.000833333333333333</v>
      </c>
      <c r="G309" s="13" t="n">
        <f aca="false">D309-E309-F309</f>
        <v>0.00131666666666667</v>
      </c>
      <c r="H309" s="4" t="n">
        <f aca="false">(1+G309)*H308</f>
        <v>5.35807258753656</v>
      </c>
      <c r="I309" s="4" t="n">
        <f aca="false">MAX(1,H$2:H309)</f>
        <v>5.74386405758564</v>
      </c>
      <c r="J309" s="13" t="n">
        <f aca="false">H309/I309-1</f>
        <v>-0.0671658427465016</v>
      </c>
      <c r="K309" s="13" t="n">
        <f aca="false">Data!L309</f>
        <v>0.0036</v>
      </c>
    </row>
    <row r="310" customFormat="false" ht="30" hidden="false" customHeight="true" outlineLevel="0" collapsed="false">
      <c r="A310" s="5" t="str">
        <f aca="false">Data!A310</f>
        <v>1988-09</v>
      </c>
      <c r="B310" s="12" t="n">
        <f aca="false">Data!K310</f>
        <v>0.0438</v>
      </c>
      <c r="C310" s="12" t="n">
        <f aca="false">Data!B310</f>
        <v>0.0197</v>
      </c>
      <c r="D310" s="12" t="n">
        <f aca="false">(B310-C310)*Inputs!B2</f>
        <v>0.01205</v>
      </c>
      <c r="E310" s="12" t="n">
        <f aca="false">4*Inputs!B2*Inputs!B4*Inputs!B3/10000</f>
        <v>0.001</v>
      </c>
      <c r="F310" s="12" t="n">
        <f aca="false">Inputs!B2*Inputs!B5/Inputs!B6</f>
        <v>0.000833333333333333</v>
      </c>
      <c r="G310" s="12" t="n">
        <f aca="false">D310-E310-F310</f>
        <v>0.0102166666666667</v>
      </c>
      <c r="H310" s="5" t="n">
        <f aca="false">(1+G310)*H309</f>
        <v>5.41281422913923</v>
      </c>
      <c r="I310" s="5" t="n">
        <f aca="false">MAX(1,H$2:H310)</f>
        <v>5.74386405758564</v>
      </c>
      <c r="J310" s="12" t="n">
        <f aca="false">H310/I310-1</f>
        <v>-0.0576353871065616</v>
      </c>
      <c r="K310" s="12" t="n">
        <f aca="false">Data!L310</f>
        <v>0.0029</v>
      </c>
    </row>
    <row r="311" customFormat="false" ht="30" hidden="false" customHeight="true" outlineLevel="0" collapsed="false">
      <c r="A311" s="4" t="str">
        <f aca="false">Data!A311</f>
        <v>1988-10</v>
      </c>
      <c r="B311" s="13" t="n">
        <f aca="false">Data!K311</f>
        <v>0.0168</v>
      </c>
      <c r="C311" s="13" t="n">
        <f aca="false">Data!B311</f>
        <v>0.0064</v>
      </c>
      <c r="D311" s="13" t="n">
        <f aca="false">(B311-C311)*Inputs!B2</f>
        <v>0.0052</v>
      </c>
      <c r="E311" s="13" t="n">
        <f aca="false">4*Inputs!B2*Inputs!B4*Inputs!B3/10000</f>
        <v>0.001</v>
      </c>
      <c r="F311" s="13" t="n">
        <f aca="false">Inputs!B2*Inputs!B5/Inputs!B6</f>
        <v>0.000833333333333333</v>
      </c>
      <c r="G311" s="13" t="n">
        <f aca="false">D311-E311-F311</f>
        <v>0.00336666666666667</v>
      </c>
      <c r="H311" s="4" t="n">
        <f aca="false">(1+G311)*H310</f>
        <v>5.43103737037733</v>
      </c>
      <c r="I311" s="4" t="n">
        <f aca="false">MAX(1,H$2:H311)</f>
        <v>5.74386405758564</v>
      </c>
      <c r="J311" s="13" t="n">
        <f aca="false">H311/I311-1</f>
        <v>-0.0544627595764868</v>
      </c>
      <c r="K311" s="13" t="n">
        <f aca="false">Data!L311</f>
        <v>0.0131</v>
      </c>
    </row>
    <row r="312" customFormat="false" ht="30" hidden="false" customHeight="true" outlineLevel="0" collapsed="false">
      <c r="A312" s="5" t="str">
        <f aca="false">Data!A312</f>
        <v>1988-11</v>
      </c>
      <c r="B312" s="12" t="n">
        <f aca="false">Data!K312</f>
        <v>-0.023</v>
      </c>
      <c r="C312" s="12" t="n">
        <f aca="false">Data!B312</f>
        <v>-0.0394</v>
      </c>
      <c r="D312" s="12" t="n">
        <f aca="false">(B312-C312)*Inputs!B2</f>
        <v>0.0082</v>
      </c>
      <c r="E312" s="12" t="n">
        <f aca="false">4*Inputs!B2*Inputs!B4*Inputs!B3/10000</f>
        <v>0.001</v>
      </c>
      <c r="F312" s="12" t="n">
        <f aca="false">Inputs!B2*Inputs!B5/Inputs!B6</f>
        <v>0.000833333333333333</v>
      </c>
      <c r="G312" s="12" t="n">
        <f aca="false">D312-E312-F312</f>
        <v>0.00636666666666667</v>
      </c>
      <c r="H312" s="5" t="n">
        <f aca="false">(1+G312)*H311</f>
        <v>5.46561497496873</v>
      </c>
      <c r="I312" s="5" t="n">
        <f aca="false">MAX(1,H$2:H312)</f>
        <v>5.74386405758564</v>
      </c>
      <c r="J312" s="12" t="n">
        <f aca="false">H312/I312-1</f>
        <v>-0.0484428391457905</v>
      </c>
      <c r="K312" s="12" t="n">
        <f aca="false">Data!L312</f>
        <v>0.002</v>
      </c>
    </row>
    <row r="313" customFormat="false" ht="30" hidden="false" customHeight="true" outlineLevel="0" collapsed="false">
      <c r="A313" s="4" t="str">
        <f aca="false">Data!A313</f>
        <v>1988-12</v>
      </c>
      <c r="B313" s="13" t="n">
        <f aca="false">Data!K313</f>
        <v>0.0202</v>
      </c>
      <c r="C313" s="13" t="n">
        <f aca="false">Data!B313</f>
        <v>0.0249</v>
      </c>
      <c r="D313" s="13" t="n">
        <f aca="false">(B313-C313)*Inputs!B2</f>
        <v>-0.00235</v>
      </c>
      <c r="E313" s="13" t="n">
        <f aca="false">4*Inputs!B2*Inputs!B4*Inputs!B3/10000</f>
        <v>0.001</v>
      </c>
      <c r="F313" s="13" t="n">
        <f aca="false">Inputs!B2*Inputs!B5/Inputs!B6</f>
        <v>0.000833333333333333</v>
      </c>
      <c r="G313" s="13" t="n">
        <f aca="false">D313-E313-F313</f>
        <v>-0.00418333333333333</v>
      </c>
      <c r="H313" s="4" t="n">
        <f aca="false">(1+G313)*H312</f>
        <v>5.44275048565678</v>
      </c>
      <c r="I313" s="4" t="n">
        <f aca="false">MAX(1,H$2:H313)</f>
        <v>5.74386405758564</v>
      </c>
      <c r="J313" s="13" t="n">
        <f aca="false">H313/I313-1</f>
        <v>-0.0524235199353639</v>
      </c>
      <c r="K313" s="13" t="n">
        <f aca="false">Data!L313</f>
        <v>0.0032</v>
      </c>
    </row>
    <row r="314" customFormat="false" ht="30" hidden="false" customHeight="true" outlineLevel="0" collapsed="false">
      <c r="A314" s="5" t="str">
        <f aca="false">Data!A314</f>
        <v>1989-01</v>
      </c>
      <c r="B314" s="12" t="n">
        <f aca="false">Data!K314</f>
        <v>0.0657</v>
      </c>
      <c r="C314" s="12" t="n">
        <f aca="false">Data!B314</f>
        <v>0.0856</v>
      </c>
      <c r="D314" s="12" t="n">
        <f aca="false">(B314-C314)*Inputs!B2</f>
        <v>-0.00995</v>
      </c>
      <c r="E314" s="12" t="n">
        <f aca="false">4*Inputs!B2*Inputs!B4*Inputs!B3/10000</f>
        <v>0.001</v>
      </c>
      <c r="F314" s="12" t="n">
        <f aca="false">Inputs!B2*Inputs!B5/Inputs!B6</f>
        <v>0.000833333333333333</v>
      </c>
      <c r="G314" s="12" t="n">
        <f aca="false">D314-E314-F314</f>
        <v>-0.0117833333333333</v>
      </c>
      <c r="H314" s="5" t="n">
        <f aca="false">(1+G314)*H313</f>
        <v>5.37861674243413</v>
      </c>
      <c r="I314" s="5" t="n">
        <f aca="false">MAX(1,H$2:H314)</f>
        <v>5.74386405758564</v>
      </c>
      <c r="J314" s="12" t="n">
        <f aca="false">H314/I314-1</f>
        <v>-0.0635891294587921</v>
      </c>
      <c r="K314" s="12" t="n">
        <f aca="false">Data!L314</f>
        <v>-0.002</v>
      </c>
    </row>
    <row r="315" customFormat="false" ht="30" hidden="false" customHeight="true" outlineLevel="0" collapsed="false">
      <c r="A315" s="4" t="str">
        <f aca="false">Data!A315</f>
        <v>1989-02</v>
      </c>
      <c r="B315" s="13" t="n">
        <f aca="false">Data!K315</f>
        <v>0.0178</v>
      </c>
      <c r="C315" s="13" t="n">
        <f aca="false">Data!B315</f>
        <v>-0.017</v>
      </c>
      <c r="D315" s="13" t="n">
        <f aca="false">(B315-C315)*Inputs!B2</f>
        <v>0.0174</v>
      </c>
      <c r="E315" s="13" t="n">
        <f aca="false">4*Inputs!B2*Inputs!B4*Inputs!B3/10000</f>
        <v>0.001</v>
      </c>
      <c r="F315" s="13" t="n">
        <f aca="false">Inputs!B2*Inputs!B5/Inputs!B6</f>
        <v>0.000833333333333333</v>
      </c>
      <c r="G315" s="13" t="n">
        <f aca="false">D315-E315-F315</f>
        <v>0.0155666666666667</v>
      </c>
      <c r="H315" s="4" t="n">
        <f aca="false">(1+G315)*H314</f>
        <v>5.46234387639135</v>
      </c>
      <c r="I315" s="4" t="n">
        <f aca="false">MAX(1,H$2:H315)</f>
        <v>5.74386405758564</v>
      </c>
      <c r="J315" s="13" t="n">
        <f aca="false">H315/I315-1</f>
        <v>-0.049012333574034</v>
      </c>
      <c r="K315" s="13" t="n">
        <f aca="false">Data!L315</f>
        <v>0.0101</v>
      </c>
    </row>
    <row r="316" customFormat="false" ht="30" hidden="false" customHeight="true" outlineLevel="0" collapsed="false">
      <c r="A316" s="5" t="str">
        <f aca="false">Data!A316</f>
        <v>1989-03</v>
      </c>
      <c r="B316" s="12" t="n">
        <f aca="false">Data!K316</f>
        <v>0.0454</v>
      </c>
      <c r="C316" s="12" t="n">
        <f aca="false">Data!B316</f>
        <v>-0.0185</v>
      </c>
      <c r="D316" s="12" t="n">
        <f aca="false">(B316-C316)*Inputs!B2</f>
        <v>0.03195</v>
      </c>
      <c r="E316" s="12" t="n">
        <f aca="false">4*Inputs!B2*Inputs!B4*Inputs!B3/10000</f>
        <v>0.001</v>
      </c>
      <c r="F316" s="12" t="n">
        <f aca="false">Inputs!B2*Inputs!B5/Inputs!B6</f>
        <v>0.000833333333333333</v>
      </c>
      <c r="G316" s="12" t="n">
        <f aca="false">D316-E316-F316</f>
        <v>0.0301166666666667</v>
      </c>
      <c r="H316" s="5" t="n">
        <f aca="false">(1+G316)*H315</f>
        <v>5.62685146613534</v>
      </c>
      <c r="I316" s="5" t="n">
        <f aca="false">MAX(1,H$2:H316)</f>
        <v>5.74386405758564</v>
      </c>
      <c r="J316" s="12" t="n">
        <f aca="false">H316/I316-1</f>
        <v>-0.0203717550201721</v>
      </c>
      <c r="K316" s="12" t="n">
        <f aca="false">Data!L316</f>
        <v>0.035</v>
      </c>
    </row>
    <row r="317" customFormat="false" ht="30" hidden="false" customHeight="true" outlineLevel="0" collapsed="false">
      <c r="A317" s="4" t="str">
        <f aca="false">Data!A317</f>
        <v>1989-04</v>
      </c>
      <c r="B317" s="13" t="n">
        <f aca="false">Data!K317</f>
        <v>0.0564</v>
      </c>
      <c r="C317" s="13" t="n">
        <f aca="false">Data!B317</f>
        <v>0.0216</v>
      </c>
      <c r="D317" s="13" t="n">
        <f aca="false">(B317-C317)*Inputs!B2</f>
        <v>0.0174</v>
      </c>
      <c r="E317" s="13" t="n">
        <f aca="false">4*Inputs!B2*Inputs!B4*Inputs!B3/10000</f>
        <v>0.001</v>
      </c>
      <c r="F317" s="13" t="n">
        <f aca="false">Inputs!B2*Inputs!B5/Inputs!B6</f>
        <v>0.000833333333333333</v>
      </c>
      <c r="G317" s="13" t="n">
        <f aca="false">D317-E317-F317</f>
        <v>0.0155666666666667</v>
      </c>
      <c r="H317" s="4" t="n">
        <f aca="false">(1+G317)*H316</f>
        <v>5.71444278729151</v>
      </c>
      <c r="I317" s="4" t="n">
        <f aca="false">MAX(1,H$2:H317)</f>
        <v>5.74386405758564</v>
      </c>
      <c r="J317" s="13" t="n">
        <f aca="false">H317/I317-1</f>
        <v>-0.00512220867331947</v>
      </c>
      <c r="K317" s="13" t="n">
        <f aca="false">Data!L317</f>
        <v>0.018</v>
      </c>
    </row>
    <row r="318" customFormat="false" ht="30" hidden="false" customHeight="true" outlineLevel="0" collapsed="false">
      <c r="A318" s="5" t="str">
        <f aca="false">Data!A318</f>
        <v>1989-05</v>
      </c>
      <c r="B318" s="12" t="n">
        <f aca="false">Data!K318</f>
        <v>0.0514</v>
      </c>
      <c r="C318" s="12" t="n">
        <f aca="false">Data!B318</f>
        <v>0.0338</v>
      </c>
      <c r="D318" s="12" t="n">
        <f aca="false">(B318-C318)*Inputs!B2</f>
        <v>0.0088</v>
      </c>
      <c r="E318" s="12" t="n">
        <f aca="false">4*Inputs!B2*Inputs!B4*Inputs!B3/10000</f>
        <v>0.001</v>
      </c>
      <c r="F318" s="12" t="n">
        <f aca="false">Inputs!B2*Inputs!B5/Inputs!B6</f>
        <v>0.000833333333333333</v>
      </c>
      <c r="G318" s="12" t="n">
        <f aca="false">D318-E318-F318</f>
        <v>0.00696666666666666</v>
      </c>
      <c r="H318" s="5" t="n">
        <f aca="false">(1+G318)*H317</f>
        <v>5.75425340537631</v>
      </c>
      <c r="I318" s="5" t="n">
        <f aca="false">MAX(1,H$2:H318)</f>
        <v>5.75425340537631</v>
      </c>
      <c r="J318" s="12" t="n">
        <f aca="false">H318/I318-1</f>
        <v>0</v>
      </c>
      <c r="K318" s="12" t="n">
        <f aca="false">Data!L318</f>
        <v>0.0146</v>
      </c>
    </row>
    <row r="319" customFormat="false" ht="30" hidden="false" customHeight="true" outlineLevel="0" collapsed="false">
      <c r="A319" s="4" t="str">
        <f aca="false">Data!A319</f>
        <v>1989-06</v>
      </c>
      <c r="B319" s="13" t="n">
        <f aca="false">Data!K319</f>
        <v>-0.0022</v>
      </c>
      <c r="C319" s="13" t="n">
        <f aca="false">Data!B319</f>
        <v>-0.0345</v>
      </c>
      <c r="D319" s="13" t="n">
        <f aca="false">(B319-C319)*Inputs!B2</f>
        <v>0.01615</v>
      </c>
      <c r="E319" s="13" t="n">
        <f aca="false">4*Inputs!B2*Inputs!B4*Inputs!B3/10000</f>
        <v>0.001</v>
      </c>
      <c r="F319" s="13" t="n">
        <f aca="false">Inputs!B2*Inputs!B5/Inputs!B6</f>
        <v>0.000833333333333333</v>
      </c>
      <c r="G319" s="13" t="n">
        <f aca="false">D319-E319-F319</f>
        <v>0.0143166666666667</v>
      </c>
      <c r="H319" s="4" t="n">
        <f aca="false">(1+G319)*H318</f>
        <v>5.83663513329661</v>
      </c>
      <c r="I319" s="4" t="n">
        <f aca="false">MAX(1,H$2:H319)</f>
        <v>5.83663513329661</v>
      </c>
      <c r="J319" s="13" t="n">
        <f aca="false">H319/I319-1</f>
        <v>0</v>
      </c>
      <c r="K319" s="13" t="n">
        <f aca="false">Data!L319</f>
        <v>0.0044</v>
      </c>
    </row>
    <row r="320" customFormat="false" ht="30" hidden="false" customHeight="true" outlineLevel="0" collapsed="false">
      <c r="A320" s="5" t="str">
        <f aca="false">Data!A320</f>
        <v>1989-07</v>
      </c>
      <c r="B320" s="12" t="n">
        <f aca="false">Data!K320</f>
        <v>0.0907</v>
      </c>
      <c r="C320" s="12" t="n">
        <f aca="false">Data!B320</f>
        <v>-0.0079</v>
      </c>
      <c r="D320" s="12" t="n">
        <f aca="false">(B320-C320)*Inputs!B2</f>
        <v>0.0493</v>
      </c>
      <c r="E320" s="12" t="n">
        <f aca="false">4*Inputs!B2*Inputs!B4*Inputs!B3/10000</f>
        <v>0.001</v>
      </c>
      <c r="F320" s="12" t="n">
        <f aca="false">Inputs!B2*Inputs!B5/Inputs!B6</f>
        <v>0.000833333333333333</v>
      </c>
      <c r="G320" s="12" t="n">
        <f aca="false">D320-E320-F320</f>
        <v>0.0474666666666667</v>
      </c>
      <c r="H320" s="5" t="n">
        <f aca="false">(1+G320)*H319</f>
        <v>6.11368074762376</v>
      </c>
      <c r="I320" s="5" t="n">
        <f aca="false">MAX(1,H$2:H320)</f>
        <v>6.11368074762376</v>
      </c>
      <c r="J320" s="12" t="n">
        <f aca="false">H320/I320-1</f>
        <v>0</v>
      </c>
      <c r="K320" s="12" t="n">
        <f aca="false">Data!L320</f>
        <v>0.0532</v>
      </c>
    </row>
    <row r="321" customFormat="false" ht="30" hidden="false" customHeight="true" outlineLevel="0" collapsed="false">
      <c r="A321" s="4" t="str">
        <f aca="false">Data!A321</f>
        <v>1989-08</v>
      </c>
      <c r="B321" s="13" t="n">
        <f aca="false">Data!K321</f>
        <v>0.0202</v>
      </c>
      <c r="C321" s="13" t="n">
        <f aca="false">Data!B321</f>
        <v>0.01</v>
      </c>
      <c r="D321" s="13" t="n">
        <f aca="false">(B321-C321)*Inputs!B2</f>
        <v>0.0051</v>
      </c>
      <c r="E321" s="13" t="n">
        <f aca="false">4*Inputs!B2*Inputs!B4*Inputs!B3/10000</f>
        <v>0.001</v>
      </c>
      <c r="F321" s="13" t="n">
        <f aca="false">Inputs!B2*Inputs!B5/Inputs!B6</f>
        <v>0.000833333333333333</v>
      </c>
      <c r="G321" s="13" t="n">
        <f aca="false">D321-E321-F321</f>
        <v>0.00326666666666667</v>
      </c>
      <c r="H321" s="4" t="n">
        <f aca="false">(1+G321)*H320</f>
        <v>6.13365210473266</v>
      </c>
      <c r="I321" s="4" t="n">
        <f aca="false">MAX(1,H$2:H321)</f>
        <v>6.13365210473266</v>
      </c>
      <c r="J321" s="13" t="n">
        <f aca="false">H321/I321-1</f>
        <v>0</v>
      </c>
      <c r="K321" s="13" t="n">
        <f aca="false">Data!L321</f>
        <v>-0.0047</v>
      </c>
    </row>
    <row r="322" customFormat="false" ht="30" hidden="false" customHeight="true" outlineLevel="0" collapsed="false">
      <c r="A322" s="5" t="str">
        <f aca="false">Data!A322</f>
        <v>1989-09</v>
      </c>
      <c r="B322" s="12" t="n">
        <f aca="false">Data!K322</f>
        <v>0.0337</v>
      </c>
      <c r="C322" s="12" t="n">
        <f aca="false">Data!B322</f>
        <v>-0.0315</v>
      </c>
      <c r="D322" s="12" t="n">
        <f aca="false">(B322-C322)*Inputs!B2</f>
        <v>0.0326</v>
      </c>
      <c r="E322" s="12" t="n">
        <f aca="false">4*Inputs!B2*Inputs!B4*Inputs!B3/10000</f>
        <v>0.001</v>
      </c>
      <c r="F322" s="12" t="n">
        <f aca="false">Inputs!B2*Inputs!B5/Inputs!B6</f>
        <v>0.000833333333333333</v>
      </c>
      <c r="G322" s="12" t="n">
        <f aca="false">D322-E322-F322</f>
        <v>0.0307666666666667</v>
      </c>
      <c r="H322" s="5" t="n">
        <f aca="false">(1+G322)*H321</f>
        <v>6.32236413448827</v>
      </c>
      <c r="I322" s="5" t="n">
        <f aca="false">MAX(1,H$2:H322)</f>
        <v>6.32236413448827</v>
      </c>
      <c r="J322" s="12" t="n">
        <f aca="false">H322/I322-1</f>
        <v>0</v>
      </c>
      <c r="K322" s="12" t="n">
        <f aca="false">Data!L322</f>
        <v>0.0349</v>
      </c>
    </row>
    <row r="323" customFormat="false" ht="30" hidden="false" customHeight="true" outlineLevel="0" collapsed="false">
      <c r="A323" s="4" t="str">
        <f aca="false">Data!A323</f>
        <v>1989-10</v>
      </c>
      <c r="B323" s="13" t="n">
        <f aca="false">Data!K323</f>
        <v>-0.0414</v>
      </c>
      <c r="C323" s="13" t="n">
        <f aca="false">Data!B323</f>
        <v>-0.0999</v>
      </c>
      <c r="D323" s="13" t="n">
        <f aca="false">(B323-C323)*Inputs!B2</f>
        <v>0.02925</v>
      </c>
      <c r="E323" s="13" t="n">
        <f aca="false">4*Inputs!B2*Inputs!B4*Inputs!B3/10000</f>
        <v>0.001</v>
      </c>
      <c r="F323" s="13" t="n">
        <f aca="false">Inputs!B2*Inputs!B5/Inputs!B6</f>
        <v>0.000833333333333333</v>
      </c>
      <c r="G323" s="13" t="n">
        <f aca="false">D323-E323-F323</f>
        <v>0.0274166666666667</v>
      </c>
      <c r="H323" s="4" t="n">
        <f aca="false">(1+G323)*H322</f>
        <v>6.49570228450882</v>
      </c>
      <c r="I323" s="4" t="n">
        <f aca="false">MAX(1,H$2:H323)</f>
        <v>6.49570228450882</v>
      </c>
      <c r="J323" s="13" t="n">
        <f aca="false">H323/I323-1</f>
        <v>0</v>
      </c>
      <c r="K323" s="13" t="n">
        <f aca="false">Data!L323</f>
        <v>0.0136</v>
      </c>
    </row>
    <row r="324" customFormat="false" ht="30" hidden="false" customHeight="true" outlineLevel="0" collapsed="false">
      <c r="A324" s="5" t="str">
        <f aca="false">Data!A324</f>
        <v>1989-11</v>
      </c>
      <c r="B324" s="12" t="n">
        <f aca="false">Data!K324</f>
        <v>0.0127</v>
      </c>
      <c r="C324" s="12" t="n">
        <f aca="false">Data!B324</f>
        <v>-0.0266</v>
      </c>
      <c r="D324" s="12" t="n">
        <f aca="false">(B324-C324)*Inputs!B2</f>
        <v>0.01965</v>
      </c>
      <c r="E324" s="12" t="n">
        <f aca="false">4*Inputs!B2*Inputs!B4*Inputs!B3/10000</f>
        <v>0.001</v>
      </c>
      <c r="F324" s="12" t="n">
        <f aca="false">Inputs!B2*Inputs!B5/Inputs!B6</f>
        <v>0.000833333333333333</v>
      </c>
      <c r="G324" s="12" t="n">
        <f aca="false">D324-E324-F324</f>
        <v>0.0178166666666667</v>
      </c>
      <c r="H324" s="5" t="n">
        <f aca="false">(1+G324)*H323</f>
        <v>6.61143404687782</v>
      </c>
      <c r="I324" s="5" t="n">
        <f aca="false">MAX(1,H$2:H324)</f>
        <v>6.61143404687782</v>
      </c>
      <c r="J324" s="12" t="n">
        <f aca="false">H324/I324-1</f>
        <v>0</v>
      </c>
      <c r="K324" s="12" t="n">
        <f aca="false">Data!L324</f>
        <v>0.0268</v>
      </c>
    </row>
    <row r="325" customFormat="false" ht="30" hidden="false" customHeight="true" outlineLevel="0" collapsed="false">
      <c r="A325" s="4" t="str">
        <f aca="false">Data!A325</f>
        <v>1989-12</v>
      </c>
      <c r="B325" s="13" t="n">
        <f aca="false">Data!K325</f>
        <v>-0.0043</v>
      </c>
      <c r="C325" s="13" t="n">
        <f aca="false">Data!B325</f>
        <v>-0.0112</v>
      </c>
      <c r="D325" s="13" t="n">
        <f aca="false">(B325-C325)*Inputs!B2</f>
        <v>0.00345</v>
      </c>
      <c r="E325" s="13" t="n">
        <f aca="false">4*Inputs!B2*Inputs!B4*Inputs!B3/10000</f>
        <v>0.001</v>
      </c>
      <c r="F325" s="13" t="n">
        <f aca="false">Inputs!B2*Inputs!B5/Inputs!B6</f>
        <v>0.000833333333333333</v>
      </c>
      <c r="G325" s="13" t="n">
        <f aca="false">D325-E325-F325</f>
        <v>0.00161666666666667</v>
      </c>
      <c r="H325" s="4" t="n">
        <f aca="false">(1+G325)*H324</f>
        <v>6.62212253192027</v>
      </c>
      <c r="I325" s="4" t="n">
        <f aca="false">MAX(1,H$2:H325)</f>
        <v>6.62212253192027</v>
      </c>
      <c r="J325" s="13" t="n">
        <f aca="false">H325/I325-1</f>
        <v>0</v>
      </c>
      <c r="K325" s="13" t="n">
        <f aca="false">Data!L325</f>
        <v>0.0277</v>
      </c>
    </row>
    <row r="326" customFormat="false" ht="30" hidden="false" customHeight="true" outlineLevel="0" collapsed="false">
      <c r="A326" s="5" t="str">
        <f aca="false">Data!A326</f>
        <v>1990-01</v>
      </c>
      <c r="B326" s="12" t="n">
        <f aca="false">Data!K326</f>
        <v>-0.1065</v>
      </c>
      <c r="C326" s="12" t="n">
        <f aca="false">Data!B326</f>
        <v>-0.0877</v>
      </c>
      <c r="D326" s="12" t="n">
        <f aca="false">(B326-C326)*Inputs!B2</f>
        <v>-0.0094</v>
      </c>
      <c r="E326" s="12" t="n">
        <f aca="false">4*Inputs!B2*Inputs!B4*Inputs!B3/10000</f>
        <v>0.001</v>
      </c>
      <c r="F326" s="12" t="n">
        <f aca="false">Inputs!B2*Inputs!B5/Inputs!B6</f>
        <v>0.000833333333333333</v>
      </c>
      <c r="G326" s="12" t="n">
        <f aca="false">D326-E326-F326</f>
        <v>-0.0112333333333333</v>
      </c>
      <c r="H326" s="5" t="n">
        <f aca="false">(1+G326)*H325</f>
        <v>6.54773402214504</v>
      </c>
      <c r="I326" s="5" t="n">
        <f aca="false">MAX(1,H$2:H326)</f>
        <v>6.62212253192027</v>
      </c>
      <c r="J326" s="12" t="n">
        <f aca="false">H326/I326-1</f>
        <v>-0.0112333333333333</v>
      </c>
      <c r="K326" s="12" t="n">
        <f aca="false">Data!L326</f>
        <v>-0.03</v>
      </c>
    </row>
    <row r="327" customFormat="false" ht="30" hidden="false" customHeight="true" outlineLevel="0" collapsed="false">
      <c r="A327" s="4" t="str">
        <f aca="false">Data!A327</f>
        <v>1990-02</v>
      </c>
      <c r="B327" s="13" t="n">
        <f aca="false">Data!K327</f>
        <v>0.0153</v>
      </c>
      <c r="C327" s="13" t="n">
        <f aca="false">Data!B327</f>
        <v>0.0279</v>
      </c>
      <c r="D327" s="13" t="n">
        <f aca="false">(B327-C327)*Inputs!B2</f>
        <v>-0.0063</v>
      </c>
      <c r="E327" s="13" t="n">
        <f aca="false">4*Inputs!B2*Inputs!B4*Inputs!B3/10000</f>
        <v>0.001</v>
      </c>
      <c r="F327" s="13" t="n">
        <f aca="false">Inputs!B2*Inputs!B5/Inputs!B6</f>
        <v>0.000833333333333333</v>
      </c>
      <c r="G327" s="13" t="n">
        <f aca="false">D327-E327-F327</f>
        <v>-0.00813333333333333</v>
      </c>
      <c r="H327" s="4" t="n">
        <f aca="false">(1+G327)*H326</f>
        <v>6.49447911876492</v>
      </c>
      <c r="I327" s="4" t="n">
        <f aca="false">MAX(1,H$2:H327)</f>
        <v>6.62212253192027</v>
      </c>
      <c r="J327" s="13" t="n">
        <f aca="false">H327/I327-1</f>
        <v>-0.0192753022222222</v>
      </c>
      <c r="K327" s="13" t="n">
        <f aca="false">Data!L327</f>
        <v>-0.0051</v>
      </c>
    </row>
    <row r="328" customFormat="false" ht="30" hidden="false" customHeight="true" outlineLevel="0" collapsed="false">
      <c r="A328" s="5" t="str">
        <f aca="false">Data!A328</f>
        <v>1990-03</v>
      </c>
      <c r="B328" s="12" t="n">
        <f aca="false">Data!K328</f>
        <v>0.039</v>
      </c>
      <c r="C328" s="12" t="n">
        <f aca="false">Data!B328</f>
        <v>0.0201</v>
      </c>
      <c r="D328" s="12" t="n">
        <f aca="false">(B328-C328)*Inputs!B2</f>
        <v>0.00945</v>
      </c>
      <c r="E328" s="12" t="n">
        <f aca="false">4*Inputs!B2*Inputs!B4*Inputs!B3/10000</f>
        <v>0.001</v>
      </c>
      <c r="F328" s="12" t="n">
        <f aca="false">Inputs!B2*Inputs!B5/Inputs!B6</f>
        <v>0.000833333333333333</v>
      </c>
      <c r="G328" s="12" t="n">
        <f aca="false">D328-E328-F328</f>
        <v>0.00761666666666667</v>
      </c>
      <c r="H328" s="5" t="n">
        <f aca="false">(1+G328)*H327</f>
        <v>6.54394540138618</v>
      </c>
      <c r="I328" s="5" t="n">
        <f aca="false">MAX(1,H$2:H328)</f>
        <v>6.62212253192027</v>
      </c>
      <c r="J328" s="12" t="n">
        <f aca="false">H328/I328-1</f>
        <v>-0.0118054491074815</v>
      </c>
      <c r="K328" s="12" t="n">
        <f aca="false">Data!L328</f>
        <v>0.0173</v>
      </c>
    </row>
    <row r="329" customFormat="false" ht="30" hidden="false" customHeight="true" outlineLevel="0" collapsed="false">
      <c r="A329" s="4" t="str">
        <f aca="false">Data!A329</f>
        <v>1990-04</v>
      </c>
      <c r="B329" s="13" t="n">
        <f aca="false">Data!K329</f>
        <v>-0.0159</v>
      </c>
      <c r="C329" s="13" t="n">
        <f aca="false">Data!B329</f>
        <v>-0.0755</v>
      </c>
      <c r="D329" s="13" t="n">
        <f aca="false">(B329-C329)*Inputs!B2</f>
        <v>0.0298</v>
      </c>
      <c r="E329" s="13" t="n">
        <f aca="false">4*Inputs!B2*Inputs!B4*Inputs!B3/10000</f>
        <v>0.001</v>
      </c>
      <c r="F329" s="13" t="n">
        <f aca="false">Inputs!B2*Inputs!B5/Inputs!B6</f>
        <v>0.000833333333333333</v>
      </c>
      <c r="G329" s="13" t="n">
        <f aca="false">D329-E329-F329</f>
        <v>0.0279666666666667</v>
      </c>
      <c r="H329" s="4" t="n">
        <f aca="false">(1+G329)*H328</f>
        <v>6.72695774111162</v>
      </c>
      <c r="I329" s="4" t="n">
        <f aca="false">MAX(1,H$2:H329)</f>
        <v>6.72695774111162</v>
      </c>
      <c r="J329" s="13" t="n">
        <f aca="false">H329/I329-1</f>
        <v>0</v>
      </c>
      <c r="K329" s="13" t="n">
        <f aca="false">Data!L329</f>
        <v>0.0231</v>
      </c>
    </row>
    <row r="330" customFormat="false" ht="30" hidden="false" customHeight="true" outlineLevel="0" collapsed="false">
      <c r="A330" s="5" t="str">
        <f aca="false">Data!A330</f>
        <v>1990-05</v>
      </c>
      <c r="B330" s="12" t="n">
        <f aca="false">Data!K330</f>
        <v>0.1302</v>
      </c>
      <c r="C330" s="12" t="n">
        <f aca="false">Data!B330</f>
        <v>0.0414</v>
      </c>
      <c r="D330" s="12" t="n">
        <f aca="false">(B330-C330)*Inputs!B2</f>
        <v>0.0444</v>
      </c>
      <c r="E330" s="12" t="n">
        <f aca="false">4*Inputs!B2*Inputs!B4*Inputs!B3/10000</f>
        <v>0.001</v>
      </c>
      <c r="F330" s="12" t="n">
        <f aca="false">Inputs!B2*Inputs!B5/Inputs!B6</f>
        <v>0.000833333333333333</v>
      </c>
      <c r="G330" s="12" t="n">
        <f aca="false">D330-E330-F330</f>
        <v>0.0425666666666667</v>
      </c>
      <c r="H330" s="5" t="n">
        <f aca="false">(1+G330)*H329</f>
        <v>7.01330190895827</v>
      </c>
      <c r="I330" s="5" t="n">
        <f aca="false">MAX(1,H$2:H330)</f>
        <v>7.01330190895827</v>
      </c>
      <c r="J330" s="12" t="n">
        <f aca="false">H330/I330-1</f>
        <v>0</v>
      </c>
      <c r="K330" s="12" t="n">
        <f aca="false">Data!L330</f>
        <v>0.0312</v>
      </c>
    </row>
    <row r="331" customFormat="false" ht="30" hidden="false" customHeight="true" outlineLevel="0" collapsed="false">
      <c r="A331" s="4" t="str">
        <f aca="false">Data!A331</f>
        <v>1990-06</v>
      </c>
      <c r="B331" s="13" t="n">
        <f aca="false">Data!K331</f>
        <v>0.016</v>
      </c>
      <c r="C331" s="13" t="n">
        <f aca="false">Data!B331</f>
        <v>-0.0241</v>
      </c>
      <c r="D331" s="13" t="n">
        <f aca="false">(B331-C331)*Inputs!B2</f>
        <v>0.02005</v>
      </c>
      <c r="E331" s="13" t="n">
        <f aca="false">4*Inputs!B2*Inputs!B4*Inputs!B3/10000</f>
        <v>0.001</v>
      </c>
      <c r="F331" s="13" t="n">
        <f aca="false">Inputs!B2*Inputs!B5/Inputs!B6</f>
        <v>0.000833333333333333</v>
      </c>
      <c r="G331" s="13" t="n">
        <f aca="false">D331-E331-F331</f>
        <v>0.0182166666666667</v>
      </c>
      <c r="H331" s="4" t="n">
        <f aca="false">(1+G331)*H330</f>
        <v>7.14106089206646</v>
      </c>
      <c r="I331" s="4" t="n">
        <f aca="false">MAX(1,H$2:H331)</f>
        <v>7.14106089206646</v>
      </c>
      <c r="J331" s="13" t="n">
        <f aca="false">H331/I331-1</f>
        <v>0</v>
      </c>
      <c r="K331" s="13" t="n">
        <f aca="false">Data!L331</f>
        <v>0.0251</v>
      </c>
    </row>
    <row r="332" customFormat="false" ht="30" hidden="false" customHeight="true" outlineLevel="0" collapsed="false">
      <c r="A332" s="5" t="str">
        <f aca="false">Data!A332</f>
        <v>1990-07</v>
      </c>
      <c r="B332" s="12" t="n">
        <f aca="false">Data!K332</f>
        <v>-0.0175</v>
      </c>
      <c r="C332" s="12" t="n">
        <f aca="false">Data!B332</f>
        <v>-0.0924</v>
      </c>
      <c r="D332" s="12" t="n">
        <f aca="false">(B332-C332)*Inputs!B2</f>
        <v>0.03745</v>
      </c>
      <c r="E332" s="12" t="n">
        <f aca="false">4*Inputs!B2*Inputs!B4*Inputs!B3/10000</f>
        <v>0.001</v>
      </c>
      <c r="F332" s="12" t="n">
        <f aca="false">Inputs!B2*Inputs!B5/Inputs!B6</f>
        <v>0.000833333333333333</v>
      </c>
      <c r="G332" s="12" t="n">
        <f aca="false">D332-E332-F332</f>
        <v>0.0356166666666667</v>
      </c>
      <c r="H332" s="5" t="n">
        <f aca="false">(1+G332)*H331</f>
        <v>7.39540167750556</v>
      </c>
      <c r="I332" s="5" t="n">
        <f aca="false">MAX(1,H$2:H332)</f>
        <v>7.39540167750556</v>
      </c>
      <c r="J332" s="12" t="n">
        <f aca="false">H332/I332-1</f>
        <v>0</v>
      </c>
      <c r="K332" s="12" t="n">
        <f aca="false">Data!L332</f>
        <v>0.0604</v>
      </c>
    </row>
    <row r="333" customFormat="false" ht="30" hidden="false" customHeight="true" outlineLevel="0" collapsed="false">
      <c r="A333" s="4" t="str">
        <f aca="false">Data!A333</f>
        <v>1990-08</v>
      </c>
      <c r="B333" s="13" t="n">
        <f aca="false">Data!K333</f>
        <v>-0.1024</v>
      </c>
      <c r="C333" s="13" t="n">
        <f aca="false">Data!B333</f>
        <v>-0.1669</v>
      </c>
      <c r="D333" s="13" t="n">
        <f aca="false">(B333-C333)*Inputs!B2</f>
        <v>0.03225</v>
      </c>
      <c r="E333" s="13" t="n">
        <f aca="false">4*Inputs!B2*Inputs!B4*Inputs!B3/10000</f>
        <v>0.001</v>
      </c>
      <c r="F333" s="13" t="n">
        <f aca="false">Inputs!B2*Inputs!B5/Inputs!B6</f>
        <v>0.000833333333333333</v>
      </c>
      <c r="G333" s="13" t="n">
        <f aca="false">D333-E333-F333</f>
        <v>0.0304166666666667</v>
      </c>
      <c r="H333" s="4" t="n">
        <f aca="false">(1+G333)*H332</f>
        <v>7.62034514519635</v>
      </c>
      <c r="I333" s="4" t="n">
        <f aca="false">MAX(1,H$2:H333)</f>
        <v>7.62034514519635</v>
      </c>
      <c r="J333" s="13" t="n">
        <f aca="false">H333/I333-1</f>
        <v>0</v>
      </c>
      <c r="K333" s="13" t="n">
        <f aca="false">Data!L333</f>
        <v>0.0196</v>
      </c>
    </row>
    <row r="334" customFormat="false" ht="30" hidden="false" customHeight="true" outlineLevel="0" collapsed="false">
      <c r="A334" s="5" t="str">
        <f aca="false">Data!A334</f>
        <v>1990-09</v>
      </c>
      <c r="B334" s="12" t="n">
        <f aca="false">Data!K334</f>
        <v>-0.0652</v>
      </c>
      <c r="C334" s="12" t="n">
        <f aca="false">Data!B334</f>
        <v>-0.1479</v>
      </c>
      <c r="D334" s="12" t="n">
        <f aca="false">(B334-C334)*Inputs!B2</f>
        <v>0.04135</v>
      </c>
      <c r="E334" s="12" t="n">
        <f aca="false">4*Inputs!B2*Inputs!B4*Inputs!B3/10000</f>
        <v>0.001</v>
      </c>
      <c r="F334" s="12" t="n">
        <f aca="false">Inputs!B2*Inputs!B5/Inputs!B6</f>
        <v>0.000833333333333333</v>
      </c>
      <c r="G334" s="12" t="n">
        <f aca="false">D334-E334-F334</f>
        <v>0.0395166666666667</v>
      </c>
      <c r="H334" s="5" t="n">
        <f aca="false">(1+G334)*H333</f>
        <v>7.92147578418403</v>
      </c>
      <c r="I334" s="5" t="n">
        <f aca="false">MAX(1,H$2:H334)</f>
        <v>7.92147578418403</v>
      </c>
      <c r="J334" s="12" t="n">
        <f aca="false">H334/I334-1</f>
        <v>0</v>
      </c>
      <c r="K334" s="12" t="n">
        <f aca="false">Data!L334</f>
        <v>0.0576</v>
      </c>
    </row>
    <row r="335" customFormat="false" ht="30" hidden="false" customHeight="true" outlineLevel="0" collapsed="false">
      <c r="A335" s="4" t="str">
        <f aca="false">Data!A335</f>
        <v>1990-10</v>
      </c>
      <c r="B335" s="13" t="n">
        <f aca="false">Data!K335</f>
        <v>-0.009</v>
      </c>
      <c r="C335" s="13" t="n">
        <f aca="false">Data!B335</f>
        <v>-0.112</v>
      </c>
      <c r="D335" s="13" t="n">
        <f aca="false">(B335-C335)*Inputs!B2</f>
        <v>0.0515</v>
      </c>
      <c r="E335" s="13" t="n">
        <f aca="false">4*Inputs!B2*Inputs!B4*Inputs!B3/10000</f>
        <v>0.001</v>
      </c>
      <c r="F335" s="13" t="n">
        <f aca="false">Inputs!B2*Inputs!B5/Inputs!B6</f>
        <v>0.000833333333333333</v>
      </c>
      <c r="G335" s="13" t="n">
        <f aca="false">D335-E335-F335</f>
        <v>0.0496666666666667</v>
      </c>
      <c r="H335" s="4" t="n">
        <f aca="false">(1+G335)*H334</f>
        <v>8.31490908146517</v>
      </c>
      <c r="I335" s="4" t="n">
        <f aca="false">MAX(1,H$2:H335)</f>
        <v>8.31490908146517</v>
      </c>
      <c r="J335" s="13" t="n">
        <f aca="false">H335/I335-1</f>
        <v>0</v>
      </c>
      <c r="K335" s="13" t="n">
        <f aca="false">Data!L335</f>
        <v>0.0671</v>
      </c>
    </row>
    <row r="336" customFormat="false" ht="30" hidden="false" customHeight="true" outlineLevel="0" collapsed="false">
      <c r="A336" s="5" t="str">
        <f aca="false">Data!A336</f>
        <v>1990-11</v>
      </c>
      <c r="B336" s="12" t="n">
        <f aca="false">Data!K336</f>
        <v>0.0553</v>
      </c>
      <c r="C336" s="12" t="n">
        <f aca="false">Data!B336</f>
        <v>0.1355</v>
      </c>
      <c r="D336" s="12" t="n">
        <f aca="false">(B336-C336)*Inputs!B2</f>
        <v>-0.0401</v>
      </c>
      <c r="E336" s="12" t="n">
        <f aca="false">4*Inputs!B2*Inputs!B4*Inputs!B3/10000</f>
        <v>0.001</v>
      </c>
      <c r="F336" s="12" t="n">
        <f aca="false">Inputs!B2*Inputs!B5/Inputs!B6</f>
        <v>0.000833333333333333</v>
      </c>
      <c r="G336" s="12" t="n">
        <f aca="false">D336-E336-F336</f>
        <v>-0.0419333333333333</v>
      </c>
      <c r="H336" s="5" t="n">
        <f aca="false">(1+G336)*H335</f>
        <v>7.96623722731573</v>
      </c>
      <c r="I336" s="5" t="n">
        <f aca="false">MAX(1,H$2:H336)</f>
        <v>8.31490908146517</v>
      </c>
      <c r="J336" s="12" t="n">
        <f aca="false">H336/I336-1</f>
        <v>-0.0419333333333334</v>
      </c>
      <c r="K336" s="12" t="n">
        <f aca="false">Data!L336</f>
        <v>-0.0546</v>
      </c>
    </row>
    <row r="337" customFormat="false" ht="30" hidden="false" customHeight="true" outlineLevel="0" collapsed="false">
      <c r="A337" s="4" t="str">
        <f aca="false">Data!A337</f>
        <v>1990-12</v>
      </c>
      <c r="B337" s="13" t="n">
        <f aca="false">Data!K337</f>
        <v>0.0175</v>
      </c>
      <c r="C337" s="13" t="n">
        <f aca="false">Data!B337</f>
        <v>-0.0112</v>
      </c>
      <c r="D337" s="13" t="n">
        <f aca="false">(B337-C337)*Inputs!B2</f>
        <v>0.01435</v>
      </c>
      <c r="E337" s="13" t="n">
        <f aca="false">4*Inputs!B2*Inputs!B4*Inputs!B3/10000</f>
        <v>0.001</v>
      </c>
      <c r="F337" s="13" t="n">
        <f aca="false">Inputs!B2*Inputs!B5/Inputs!B6</f>
        <v>0.000833333333333333</v>
      </c>
      <c r="G337" s="13" t="n">
        <f aca="false">D337-E337-F337</f>
        <v>0.0125166666666667</v>
      </c>
      <c r="H337" s="4" t="n">
        <f aca="false">(1+G337)*H336</f>
        <v>8.06594796327763</v>
      </c>
      <c r="I337" s="4" t="n">
        <f aca="false">MAX(1,H$2:H337)</f>
        <v>8.31490908146517</v>
      </c>
      <c r="J337" s="13" t="n">
        <f aca="false">H337/I337-1</f>
        <v>-0.0299415322222222</v>
      </c>
      <c r="K337" s="13" t="n">
        <f aca="false">Data!L337</f>
        <v>0.0024</v>
      </c>
    </row>
    <row r="338" customFormat="false" ht="30" hidden="false" customHeight="true" outlineLevel="0" collapsed="false">
      <c r="A338" s="5" t="str">
        <f aca="false">Data!A338</f>
        <v>1991-01</v>
      </c>
      <c r="B338" s="12" t="n">
        <f aca="false">Data!K338</f>
        <v>0.0624</v>
      </c>
      <c r="C338" s="12" t="n">
        <f aca="false">Data!B338</f>
        <v>0.0797</v>
      </c>
      <c r="D338" s="12" t="n">
        <f aca="false">(B338-C338)*Inputs!B2</f>
        <v>-0.00865</v>
      </c>
      <c r="E338" s="12" t="n">
        <f aca="false">4*Inputs!B2*Inputs!B4*Inputs!B3/10000</f>
        <v>0.001</v>
      </c>
      <c r="F338" s="12" t="n">
        <f aca="false">Inputs!B2*Inputs!B5/Inputs!B6</f>
        <v>0.000833333333333333</v>
      </c>
      <c r="G338" s="12" t="n">
        <f aca="false">D338-E338-F338</f>
        <v>-0.0104833333333333</v>
      </c>
      <c r="H338" s="5" t="n">
        <f aca="false">(1+G338)*H337</f>
        <v>7.98138994212927</v>
      </c>
      <c r="I338" s="5" t="n">
        <f aca="false">MAX(1,H$2:H338)</f>
        <v>8.31490908146517</v>
      </c>
      <c r="J338" s="12" t="n">
        <f aca="false">H338/I338-1</f>
        <v>-0.0401109784927591</v>
      </c>
      <c r="K338" s="12" t="n">
        <f aca="false">Data!L338</f>
        <v>-0.0645</v>
      </c>
    </row>
    <row r="339" customFormat="false" ht="30" hidden="false" customHeight="true" outlineLevel="0" collapsed="false">
      <c r="A339" s="4" t="str">
        <f aca="false">Data!A339</f>
        <v>1991-02</v>
      </c>
      <c r="B339" s="13" t="n">
        <f aca="false">Data!K339</f>
        <v>0.091</v>
      </c>
      <c r="C339" s="13" t="n">
        <f aca="false">Data!B339</f>
        <v>0.217</v>
      </c>
      <c r="D339" s="13" t="n">
        <f aca="false">(B339-C339)*Inputs!B2</f>
        <v>-0.063</v>
      </c>
      <c r="E339" s="13" t="n">
        <f aca="false">4*Inputs!B2*Inputs!B4*Inputs!B3/10000</f>
        <v>0.001</v>
      </c>
      <c r="F339" s="13" t="n">
        <f aca="false">Inputs!B2*Inputs!B5/Inputs!B6</f>
        <v>0.000833333333333333</v>
      </c>
      <c r="G339" s="13" t="n">
        <f aca="false">D339-E339-F339</f>
        <v>-0.0648333333333333</v>
      </c>
      <c r="H339" s="4" t="n">
        <f aca="false">(1+G339)*H338</f>
        <v>7.46392982754789</v>
      </c>
      <c r="I339" s="4" t="n">
        <f aca="false">MAX(1,H$2:H339)</f>
        <v>8.31490908146517</v>
      </c>
      <c r="J339" s="13" t="n">
        <f aca="false">H339/I339-1</f>
        <v>-0.102343783387145</v>
      </c>
      <c r="K339" s="13" t="n">
        <f aca="false">Data!L339</f>
        <v>-0.049</v>
      </c>
    </row>
    <row r="340" customFormat="false" ht="30" hidden="false" customHeight="true" outlineLevel="0" collapsed="false">
      <c r="A340" s="5" t="str">
        <f aca="false">Data!A340</f>
        <v>1991-03</v>
      </c>
      <c r="B340" s="12" t="n">
        <f aca="false">Data!K340</f>
        <v>0.0646</v>
      </c>
      <c r="C340" s="12" t="n">
        <f aca="false">Data!B340</f>
        <v>0.0611</v>
      </c>
      <c r="D340" s="12" t="n">
        <f aca="false">(B340-C340)*Inputs!B2</f>
        <v>0.00175</v>
      </c>
      <c r="E340" s="12" t="n">
        <f aca="false">4*Inputs!B2*Inputs!B4*Inputs!B3/10000</f>
        <v>0.001</v>
      </c>
      <c r="F340" s="12" t="n">
        <f aca="false">Inputs!B2*Inputs!B5/Inputs!B6</f>
        <v>0.000833333333333333</v>
      </c>
      <c r="G340" s="12" t="n">
        <f aca="false">D340-E340-F340</f>
        <v>-8.33333333333319E-005</v>
      </c>
      <c r="H340" s="5" t="n">
        <f aca="false">(1+G340)*H339</f>
        <v>7.4633078333956</v>
      </c>
      <c r="I340" s="5" t="n">
        <f aca="false">MAX(1,H$2:H340)</f>
        <v>8.31490908146517</v>
      </c>
      <c r="J340" s="12" t="n">
        <f aca="false">H340/I340-1</f>
        <v>-0.102418588071863</v>
      </c>
      <c r="K340" s="12" t="n">
        <f aca="false">Data!L340</f>
        <v>0.0274</v>
      </c>
    </row>
    <row r="341" customFormat="false" ht="30" hidden="false" customHeight="true" outlineLevel="0" collapsed="false">
      <c r="A341" s="4" t="str">
        <f aca="false">Data!A341</f>
        <v>1991-04</v>
      </c>
      <c r="B341" s="13" t="n">
        <f aca="false">Data!K341</f>
        <v>-0.0144</v>
      </c>
      <c r="C341" s="13" t="n">
        <f aca="false">Data!B341</f>
        <v>-0.0036</v>
      </c>
      <c r="D341" s="13" t="n">
        <f aca="false">(B341-C341)*Inputs!B2</f>
        <v>-0.0054</v>
      </c>
      <c r="E341" s="13" t="n">
        <f aca="false">4*Inputs!B2*Inputs!B4*Inputs!B3/10000</f>
        <v>0.001</v>
      </c>
      <c r="F341" s="13" t="n">
        <f aca="false">Inputs!B2*Inputs!B5/Inputs!B6</f>
        <v>0.000833333333333333</v>
      </c>
      <c r="G341" s="13" t="n">
        <f aca="false">D341-E341-F341</f>
        <v>-0.00723333333333333</v>
      </c>
      <c r="H341" s="4" t="n">
        <f aca="false">(1+G341)*H340</f>
        <v>7.40932324006737</v>
      </c>
      <c r="I341" s="4" t="n">
        <f aca="false">MAX(1,H$2:H341)</f>
        <v>8.31490908146517</v>
      </c>
      <c r="J341" s="13" t="n">
        <f aca="false">H341/I341-1</f>
        <v>-0.108911093618143</v>
      </c>
      <c r="K341" s="13" t="n">
        <f aca="false">Data!L341</f>
        <v>-0.0233</v>
      </c>
    </row>
    <row r="342" customFormat="false" ht="30" hidden="false" customHeight="true" outlineLevel="0" collapsed="false">
      <c r="A342" s="5" t="str">
        <f aca="false">Data!A342</f>
        <v>1991-05</v>
      </c>
      <c r="B342" s="12" t="n">
        <f aca="false">Data!K342</f>
        <v>0.0406</v>
      </c>
      <c r="C342" s="12" t="n">
        <f aca="false">Data!B342</f>
        <v>0.0197</v>
      </c>
      <c r="D342" s="12" t="n">
        <f aca="false">(B342-C342)*Inputs!B2</f>
        <v>0.01045</v>
      </c>
      <c r="E342" s="12" t="n">
        <f aca="false">4*Inputs!B2*Inputs!B4*Inputs!B3/10000</f>
        <v>0.001</v>
      </c>
      <c r="F342" s="12" t="n">
        <f aca="false">Inputs!B2*Inputs!B5/Inputs!B6</f>
        <v>0.000833333333333333</v>
      </c>
      <c r="G342" s="12" t="n">
        <f aca="false">D342-E342-F342</f>
        <v>0.00861666666666667</v>
      </c>
      <c r="H342" s="5" t="n">
        <f aca="false">(1+G342)*H341</f>
        <v>7.47316690865262</v>
      </c>
      <c r="I342" s="5" t="n">
        <f aca="false">MAX(1,H$2:H342)</f>
        <v>8.31490908146517</v>
      </c>
      <c r="J342" s="12" t="n">
        <f aca="false">H342/I342-1</f>
        <v>-0.101232877541486</v>
      </c>
      <c r="K342" s="12" t="n">
        <f aca="false">Data!L342</f>
        <v>-0.001</v>
      </c>
    </row>
    <row r="343" customFormat="false" ht="30" hidden="false" customHeight="true" outlineLevel="0" collapsed="false">
      <c r="A343" s="4" t="str">
        <f aca="false">Data!A343</f>
        <v>1991-06</v>
      </c>
      <c r="B343" s="13" t="n">
        <f aca="false">Data!K343</f>
        <v>-0.0469</v>
      </c>
      <c r="C343" s="13" t="n">
        <f aca="false">Data!B343</f>
        <v>-0.04</v>
      </c>
      <c r="D343" s="13" t="n">
        <f aca="false">(B343-C343)*Inputs!B2</f>
        <v>-0.00345</v>
      </c>
      <c r="E343" s="13" t="n">
        <f aca="false">4*Inputs!B2*Inputs!B4*Inputs!B3/10000</f>
        <v>0.001</v>
      </c>
      <c r="F343" s="13" t="n">
        <f aca="false">Inputs!B2*Inputs!B5/Inputs!B6</f>
        <v>0.000833333333333333</v>
      </c>
      <c r="G343" s="13" t="n">
        <f aca="false">D343-E343-F343</f>
        <v>-0.00528333333333333</v>
      </c>
      <c r="H343" s="4" t="n">
        <f aca="false">(1+G343)*H342</f>
        <v>7.43368367681857</v>
      </c>
      <c r="I343" s="4" t="n">
        <f aca="false">MAX(1,H$2:H343)</f>
        <v>8.31490908146517</v>
      </c>
      <c r="J343" s="13" t="n">
        <f aca="false">H343/I343-1</f>
        <v>-0.105981363838475</v>
      </c>
      <c r="K343" s="13" t="n">
        <f aca="false">Data!L343</f>
        <v>0.0042</v>
      </c>
    </row>
    <row r="344" customFormat="false" ht="30" hidden="false" customHeight="true" outlineLevel="0" collapsed="false">
      <c r="A344" s="5" t="str">
        <f aca="false">Data!A344</f>
        <v>1991-07</v>
      </c>
      <c r="B344" s="12" t="n">
        <f aca="false">Data!K344</f>
        <v>0.0774</v>
      </c>
      <c r="C344" s="12" t="n">
        <f aca="false">Data!B344</f>
        <v>0.0182</v>
      </c>
      <c r="D344" s="12" t="n">
        <f aca="false">(B344-C344)*Inputs!B2</f>
        <v>0.0296</v>
      </c>
      <c r="E344" s="12" t="n">
        <f aca="false">4*Inputs!B2*Inputs!B4*Inputs!B3/10000</f>
        <v>0.001</v>
      </c>
      <c r="F344" s="12" t="n">
        <f aca="false">Inputs!B2*Inputs!B5/Inputs!B6</f>
        <v>0.000833333333333333</v>
      </c>
      <c r="G344" s="12" t="n">
        <f aca="false">D344-E344-F344</f>
        <v>0.0277666666666667</v>
      </c>
      <c r="H344" s="5" t="n">
        <f aca="false">(1+G344)*H343</f>
        <v>7.64009229357823</v>
      </c>
      <c r="I344" s="5" t="n">
        <f aca="false">MAX(1,H$2:H344)</f>
        <v>8.31490908146517</v>
      </c>
      <c r="J344" s="12" t="n">
        <f aca="false">H344/I344-1</f>
        <v>-0.0811574463743902</v>
      </c>
      <c r="K344" s="12" t="n">
        <f aca="false">Data!L344</f>
        <v>0.0426</v>
      </c>
    </row>
    <row r="345" customFormat="false" ht="30" hidden="false" customHeight="true" outlineLevel="0" collapsed="false">
      <c r="A345" s="4" t="str">
        <f aca="false">Data!A345</f>
        <v>1991-08</v>
      </c>
      <c r="B345" s="13" t="n">
        <f aca="false">Data!K345</f>
        <v>0.0578</v>
      </c>
      <c r="C345" s="13" t="n">
        <f aca="false">Data!B345</f>
        <v>0.0593</v>
      </c>
      <c r="D345" s="13" t="n">
        <f aca="false">(B345-C345)*Inputs!B2</f>
        <v>-0.000750000000000001</v>
      </c>
      <c r="E345" s="13" t="n">
        <f aca="false">4*Inputs!B2*Inputs!B4*Inputs!B3/10000</f>
        <v>0.001</v>
      </c>
      <c r="F345" s="13" t="n">
        <f aca="false">Inputs!B2*Inputs!B5/Inputs!B6</f>
        <v>0.000833333333333333</v>
      </c>
      <c r="G345" s="13" t="n">
        <f aca="false">D345-E345-F345</f>
        <v>-0.00258333333333333</v>
      </c>
      <c r="H345" s="4" t="n">
        <f aca="false">(1+G345)*H344</f>
        <v>7.62035538848649</v>
      </c>
      <c r="I345" s="4" t="n">
        <f aca="false">MAX(1,H$2:H345)</f>
        <v>8.31490908146517</v>
      </c>
      <c r="J345" s="13" t="n">
        <f aca="false">H345/I345-1</f>
        <v>-0.0835311229712562</v>
      </c>
      <c r="K345" s="13" t="n">
        <f aca="false">Data!L345</f>
        <v>0.0158</v>
      </c>
    </row>
    <row r="346" customFormat="false" ht="30" hidden="false" customHeight="true" outlineLevel="0" collapsed="false">
      <c r="A346" s="5" t="str">
        <f aca="false">Data!A346</f>
        <v>1991-09</v>
      </c>
      <c r="B346" s="12" t="n">
        <f aca="false">Data!K346</f>
        <v>0.0061</v>
      </c>
      <c r="C346" s="12" t="n">
        <f aca="false">Data!B346</f>
        <v>-0.0666</v>
      </c>
      <c r="D346" s="12" t="n">
        <f aca="false">(B346-C346)*Inputs!B2</f>
        <v>0.03635</v>
      </c>
      <c r="E346" s="12" t="n">
        <f aca="false">4*Inputs!B2*Inputs!B4*Inputs!B3/10000</f>
        <v>0.001</v>
      </c>
      <c r="F346" s="12" t="n">
        <f aca="false">Inputs!B2*Inputs!B5/Inputs!B6</f>
        <v>0.000833333333333333</v>
      </c>
      <c r="G346" s="12" t="n">
        <f aca="false">D346-E346-F346</f>
        <v>0.0345166666666667</v>
      </c>
      <c r="H346" s="5" t="n">
        <f aca="false">(1+G346)*H345</f>
        <v>7.88338465531241</v>
      </c>
      <c r="I346" s="5" t="n">
        <f aca="false">MAX(1,H$2:H346)</f>
        <v>8.31490908146517</v>
      </c>
      <c r="J346" s="12" t="n">
        <f aca="false">H346/I346-1</f>
        <v>-0.0518976722324807</v>
      </c>
      <c r="K346" s="12" t="n">
        <f aca="false">Data!L346</f>
        <v>0.0174</v>
      </c>
    </row>
    <row r="347" customFormat="false" ht="30" hidden="false" customHeight="true" outlineLevel="0" collapsed="false">
      <c r="A347" s="4" t="str">
        <f aca="false">Data!A347</f>
        <v>1991-10</v>
      </c>
      <c r="B347" s="13" t="n">
        <f aca="false">Data!K347</f>
        <v>0.0372</v>
      </c>
      <c r="C347" s="13" t="n">
        <f aca="false">Data!B347</f>
        <v>0.0065</v>
      </c>
      <c r="D347" s="13" t="n">
        <f aca="false">(B347-C347)*Inputs!B2</f>
        <v>0.01535</v>
      </c>
      <c r="E347" s="13" t="n">
        <f aca="false">4*Inputs!B2*Inputs!B4*Inputs!B3/10000</f>
        <v>0.001</v>
      </c>
      <c r="F347" s="13" t="n">
        <f aca="false">Inputs!B2*Inputs!B5/Inputs!B6</f>
        <v>0.000833333333333333</v>
      </c>
      <c r="G347" s="13" t="n">
        <f aca="false">D347-E347-F347</f>
        <v>0.0135166666666667</v>
      </c>
      <c r="H347" s="4" t="n">
        <f aca="false">(1+G347)*H346</f>
        <v>7.98994173790339</v>
      </c>
      <c r="I347" s="4" t="n">
        <f aca="false">MAX(1,H$2:H347)</f>
        <v>8.31490908146517</v>
      </c>
      <c r="J347" s="13" t="n">
        <f aca="false">H347/I347-1</f>
        <v>-0.0390824891021564</v>
      </c>
      <c r="K347" s="13" t="n">
        <f aca="false">Data!L347</f>
        <v>0.0318</v>
      </c>
    </row>
    <row r="348" customFormat="false" ht="30" hidden="false" customHeight="true" outlineLevel="0" collapsed="false">
      <c r="A348" s="5" t="str">
        <f aca="false">Data!A348</f>
        <v>1991-11</v>
      </c>
      <c r="B348" s="12" t="n">
        <f aca="false">Data!K348</f>
        <v>-0.0541</v>
      </c>
      <c r="C348" s="12" t="n">
        <f aca="false">Data!B348</f>
        <v>-0.0831</v>
      </c>
      <c r="D348" s="12" t="n">
        <f aca="false">(B348-C348)*Inputs!B2</f>
        <v>0.0145</v>
      </c>
      <c r="E348" s="12" t="n">
        <f aca="false">4*Inputs!B2*Inputs!B4*Inputs!B3/10000</f>
        <v>0.001</v>
      </c>
      <c r="F348" s="12" t="n">
        <f aca="false">Inputs!B2*Inputs!B5/Inputs!B6</f>
        <v>0.000833333333333333</v>
      </c>
      <c r="G348" s="12" t="n">
        <f aca="false">D348-E348-F348</f>
        <v>0.0126666666666667</v>
      </c>
      <c r="H348" s="5" t="n">
        <f aca="false">(1+G348)*H347</f>
        <v>8.0911476665835</v>
      </c>
      <c r="I348" s="5" t="n">
        <f aca="false">MAX(1,H$2:H348)</f>
        <v>8.31490908146517</v>
      </c>
      <c r="J348" s="12" t="n">
        <f aca="false">H348/I348-1</f>
        <v>-0.0269108672974503</v>
      </c>
      <c r="K348" s="12" t="n">
        <f aca="false">Data!L348</f>
        <v>0.0118</v>
      </c>
    </row>
    <row r="349" customFormat="false" ht="30" hidden="false" customHeight="true" outlineLevel="0" collapsed="false">
      <c r="A349" s="4" t="str">
        <f aca="false">Data!A349</f>
        <v>1991-12</v>
      </c>
      <c r="B349" s="13" t="n">
        <f aca="false">Data!K349</f>
        <v>0.177</v>
      </c>
      <c r="C349" s="13" t="n">
        <f aca="false">Data!B349</f>
        <v>0.0254</v>
      </c>
      <c r="D349" s="13" t="n">
        <f aca="false">(B349-C349)*Inputs!B2</f>
        <v>0.0758</v>
      </c>
      <c r="E349" s="13" t="n">
        <f aca="false">4*Inputs!B2*Inputs!B4*Inputs!B3/10000</f>
        <v>0.001</v>
      </c>
      <c r="F349" s="13" t="n">
        <f aca="false">Inputs!B2*Inputs!B5/Inputs!B6</f>
        <v>0.000833333333333333</v>
      </c>
      <c r="G349" s="13" t="n">
        <f aca="false">D349-E349-F349</f>
        <v>0.0739666666666667</v>
      </c>
      <c r="H349" s="4" t="n">
        <f aca="false">(1+G349)*H348</f>
        <v>8.68962288898845</v>
      </c>
      <c r="I349" s="4" t="n">
        <f aca="false">MAX(1,H$2:H349)</f>
        <v>8.68962288898845</v>
      </c>
      <c r="J349" s="13" t="n">
        <f aca="false">H349/I349-1</f>
        <v>0</v>
      </c>
      <c r="K349" s="13" t="n">
        <f aca="false">Data!L349</f>
        <v>0.0827</v>
      </c>
    </row>
    <row r="350" customFormat="false" ht="30" hidden="false" customHeight="true" outlineLevel="0" collapsed="false">
      <c r="A350" s="5" t="str">
        <f aca="false">Data!A350</f>
        <v>1992-01</v>
      </c>
      <c r="B350" s="12" t="n">
        <f aca="false">Data!K350</f>
        <v>0.0262</v>
      </c>
      <c r="C350" s="12" t="n">
        <f aca="false">Data!B350</f>
        <v>0.0576</v>
      </c>
      <c r="D350" s="12" t="n">
        <f aca="false">(B350-C350)*Inputs!B2</f>
        <v>-0.0157</v>
      </c>
      <c r="E350" s="12" t="n">
        <f aca="false">4*Inputs!B2*Inputs!B4*Inputs!B3/10000</f>
        <v>0.001</v>
      </c>
      <c r="F350" s="12" t="n">
        <f aca="false">Inputs!B2*Inputs!B5/Inputs!B6</f>
        <v>0.000833333333333333</v>
      </c>
      <c r="G350" s="12" t="n">
        <f aca="false">D350-E350-F350</f>
        <v>-0.0175333333333333</v>
      </c>
      <c r="H350" s="5" t="n">
        <f aca="false">(1+G350)*H349</f>
        <v>8.53726483433486</v>
      </c>
      <c r="I350" s="5" t="n">
        <f aca="false">MAX(1,H$2:H350)</f>
        <v>8.68962288898845</v>
      </c>
      <c r="J350" s="12" t="n">
        <f aca="false">H350/I350-1</f>
        <v>-0.0175333333333333</v>
      </c>
      <c r="K350" s="12" t="n">
        <f aca="false">Data!L350</f>
        <v>-0.0249</v>
      </c>
    </row>
    <row r="351" customFormat="false" ht="30" hidden="false" customHeight="true" outlineLevel="0" collapsed="false">
      <c r="A351" s="4" t="str">
        <f aca="false">Data!A351</f>
        <v>1992-02</v>
      </c>
      <c r="B351" s="13" t="n">
        <f aca="false">Data!K351</f>
        <v>0.0083</v>
      </c>
      <c r="C351" s="13" t="n">
        <f aca="false">Data!B351</f>
        <v>0.0182</v>
      </c>
      <c r="D351" s="13" t="n">
        <f aca="false">(B351-C351)*Inputs!B2</f>
        <v>-0.00495</v>
      </c>
      <c r="E351" s="13" t="n">
        <f aca="false">4*Inputs!B2*Inputs!B4*Inputs!B3/10000</f>
        <v>0.001</v>
      </c>
      <c r="F351" s="13" t="n">
        <f aca="false">Inputs!B2*Inputs!B5/Inputs!B6</f>
        <v>0.000833333333333333</v>
      </c>
      <c r="G351" s="13" t="n">
        <f aca="false">D351-E351-F351</f>
        <v>-0.00678333333333333</v>
      </c>
      <c r="H351" s="4" t="n">
        <f aca="false">(1+G351)*H350</f>
        <v>8.47935372120862</v>
      </c>
      <c r="I351" s="4" t="n">
        <f aca="false">MAX(1,H$2:H351)</f>
        <v>8.68962288898845</v>
      </c>
      <c r="J351" s="13" t="n">
        <f aca="false">H351/I351-1</f>
        <v>-0.0241977322222221</v>
      </c>
      <c r="K351" s="13" t="n">
        <f aca="false">Data!L351</f>
        <v>-0.0069</v>
      </c>
    </row>
    <row r="352" customFormat="false" ht="30" hidden="false" customHeight="true" outlineLevel="0" collapsed="false">
      <c r="A352" s="5" t="str">
        <f aca="false">Data!A352</f>
        <v>1992-03</v>
      </c>
      <c r="B352" s="12" t="n">
        <f aca="false">Data!K352</f>
        <v>-0.0405</v>
      </c>
      <c r="C352" s="12" t="n">
        <f aca="false">Data!B352</f>
        <v>-0.0533</v>
      </c>
      <c r="D352" s="12" t="n">
        <f aca="false">(B352-C352)*Inputs!B2</f>
        <v>0.0064</v>
      </c>
      <c r="E352" s="12" t="n">
        <f aca="false">4*Inputs!B2*Inputs!B4*Inputs!B3/10000</f>
        <v>0.001</v>
      </c>
      <c r="F352" s="12" t="n">
        <f aca="false">Inputs!B2*Inputs!B5/Inputs!B6</f>
        <v>0.000833333333333333</v>
      </c>
      <c r="G352" s="12" t="n">
        <f aca="false">D352-E352-F352</f>
        <v>0.00456666666666667</v>
      </c>
      <c r="H352" s="5" t="n">
        <f aca="false">(1+G352)*H351</f>
        <v>8.51807610320214</v>
      </c>
      <c r="I352" s="5" t="n">
        <f aca="false">MAX(1,H$2:H352)</f>
        <v>8.68962288898845</v>
      </c>
      <c r="J352" s="12" t="n">
        <f aca="false">H352/I352-1</f>
        <v>-0.0197415685327036</v>
      </c>
      <c r="K352" s="12" t="n">
        <f aca="false">Data!L352</f>
        <v>-0.0024</v>
      </c>
    </row>
    <row r="353" customFormat="false" ht="30" hidden="false" customHeight="true" outlineLevel="0" collapsed="false">
      <c r="A353" s="4" t="str">
        <f aca="false">Data!A353</f>
        <v>1992-04</v>
      </c>
      <c r="B353" s="13" t="n">
        <f aca="false">Data!K353</f>
        <v>-0.0247</v>
      </c>
      <c r="C353" s="13" t="n">
        <f aca="false">Data!B353</f>
        <v>0.0026</v>
      </c>
      <c r="D353" s="13" t="n">
        <f aca="false">(B353-C353)*Inputs!B2</f>
        <v>-0.01365</v>
      </c>
      <c r="E353" s="13" t="n">
        <f aca="false">4*Inputs!B2*Inputs!B4*Inputs!B3/10000</f>
        <v>0.001</v>
      </c>
      <c r="F353" s="13" t="n">
        <f aca="false">Inputs!B2*Inputs!B5/Inputs!B6</f>
        <v>0.000833333333333333</v>
      </c>
      <c r="G353" s="13" t="n">
        <f aca="false">D353-E353-F353</f>
        <v>-0.0154833333333333</v>
      </c>
      <c r="H353" s="4" t="n">
        <f aca="false">(1+G353)*H352</f>
        <v>8.38618789153756</v>
      </c>
      <c r="I353" s="4" t="n">
        <f aca="false">MAX(1,H$2:H353)</f>
        <v>8.68962288898845</v>
      </c>
      <c r="J353" s="13" t="n">
        <f aca="false">H353/I353-1</f>
        <v>-0.0349192365799221</v>
      </c>
      <c r="K353" s="13" t="n">
        <f aca="false">Data!L353</f>
        <v>-0.0251</v>
      </c>
    </row>
    <row r="354" customFormat="false" ht="30" hidden="false" customHeight="true" outlineLevel="0" collapsed="false">
      <c r="A354" s="5" t="str">
        <f aca="false">Data!A354</f>
        <v>1992-05</v>
      </c>
      <c r="B354" s="12" t="n">
        <f aca="false">Data!K354</f>
        <v>0.0226</v>
      </c>
      <c r="C354" s="12" t="n">
        <f aca="false">Data!B354</f>
        <v>0.0352</v>
      </c>
      <c r="D354" s="12" t="n">
        <f aca="false">(B354-C354)*Inputs!B2</f>
        <v>-0.0063</v>
      </c>
      <c r="E354" s="12" t="n">
        <f aca="false">4*Inputs!B2*Inputs!B4*Inputs!B3/10000</f>
        <v>0.001</v>
      </c>
      <c r="F354" s="12" t="n">
        <f aca="false">Inputs!B2*Inputs!B5/Inputs!B6</f>
        <v>0.000833333333333333</v>
      </c>
      <c r="G354" s="12" t="n">
        <f aca="false">D354-E354-F354</f>
        <v>-0.00813333333333333</v>
      </c>
      <c r="H354" s="5" t="n">
        <f aca="false">(1+G354)*H353</f>
        <v>8.31798023001972</v>
      </c>
      <c r="I354" s="5" t="n">
        <f aca="false">MAX(1,H$2:H354)</f>
        <v>8.68962288898845</v>
      </c>
      <c r="J354" s="12" t="n">
        <f aca="false">H354/I354-1</f>
        <v>-0.0427685601224055</v>
      </c>
      <c r="K354" s="12" t="n">
        <f aca="false">Data!L354</f>
        <v>0.0007</v>
      </c>
    </row>
    <row r="355" customFormat="false" ht="30" hidden="false" customHeight="true" outlineLevel="0" collapsed="false">
      <c r="A355" s="4" t="str">
        <f aca="false">Data!A355</f>
        <v>1992-06</v>
      </c>
      <c r="B355" s="13" t="n">
        <f aca="false">Data!K355</f>
        <v>-0.0403</v>
      </c>
      <c r="C355" s="13" t="n">
        <f aca="false">Data!B355</f>
        <v>-0.0575</v>
      </c>
      <c r="D355" s="13" t="n">
        <f aca="false">(B355-C355)*Inputs!B2</f>
        <v>0.0086</v>
      </c>
      <c r="E355" s="13" t="n">
        <f aca="false">4*Inputs!B2*Inputs!B4*Inputs!B3/10000</f>
        <v>0.001</v>
      </c>
      <c r="F355" s="13" t="n">
        <f aca="false">Inputs!B2*Inputs!B5/Inputs!B6</f>
        <v>0.000833333333333333</v>
      </c>
      <c r="G355" s="13" t="n">
        <f aca="false">D355-E355-F355</f>
        <v>0.00676666666666667</v>
      </c>
      <c r="H355" s="4" t="n">
        <f aca="false">(1+G355)*H354</f>
        <v>8.37426522957619</v>
      </c>
      <c r="I355" s="4" t="n">
        <f aca="false">MAX(1,H$2:H355)</f>
        <v>8.68962288898845</v>
      </c>
      <c r="J355" s="13" t="n">
        <f aca="false">H355/I355-1</f>
        <v>-0.0362912940459005</v>
      </c>
      <c r="K355" s="13" t="n">
        <f aca="false">Data!L355</f>
        <v>-0.0057</v>
      </c>
    </row>
    <row r="356" customFormat="false" ht="30" hidden="false" customHeight="true" outlineLevel="0" collapsed="false">
      <c r="A356" s="5" t="str">
        <f aca="false">Data!A356</f>
        <v>1992-07</v>
      </c>
      <c r="B356" s="12" t="n">
        <f aca="false">Data!K356</f>
        <v>0.0406</v>
      </c>
      <c r="C356" s="12" t="n">
        <f aca="false">Data!B356</f>
        <v>0.0267</v>
      </c>
      <c r="D356" s="12" t="n">
        <f aca="false">(B356-C356)*Inputs!B2</f>
        <v>0.00695</v>
      </c>
      <c r="E356" s="12" t="n">
        <f aca="false">4*Inputs!B2*Inputs!B4*Inputs!B3/10000</f>
        <v>0.001</v>
      </c>
      <c r="F356" s="12" t="n">
        <f aca="false">Inputs!B2*Inputs!B5/Inputs!B6</f>
        <v>0.000833333333333333</v>
      </c>
      <c r="G356" s="12" t="n">
        <f aca="false">D356-E356-F356</f>
        <v>0.00511666666666666</v>
      </c>
      <c r="H356" s="5" t="n">
        <f aca="false">(1+G356)*H355</f>
        <v>8.41711355333418</v>
      </c>
      <c r="I356" s="5" t="n">
        <f aca="false">MAX(1,H$2:H356)</f>
        <v>8.68962288898845</v>
      </c>
      <c r="J356" s="12" t="n">
        <f aca="false">H356/I356-1</f>
        <v>-0.0313603178337688</v>
      </c>
      <c r="K356" s="12" t="n">
        <f aca="false">Data!L356</f>
        <v>0.0153</v>
      </c>
    </row>
    <row r="357" customFormat="false" ht="30" hidden="false" customHeight="true" outlineLevel="0" collapsed="false">
      <c r="A357" s="4" t="str">
        <f aca="false">Data!A357</f>
        <v>1992-08</v>
      </c>
      <c r="B357" s="13" t="n">
        <f aca="false">Data!K357</f>
        <v>-0.0454</v>
      </c>
      <c r="C357" s="13" t="n">
        <f aca="false">Data!B357</f>
        <v>-0.0345</v>
      </c>
      <c r="D357" s="13" t="n">
        <f aca="false">(B357-C357)*Inputs!B2</f>
        <v>-0.00545</v>
      </c>
      <c r="E357" s="13" t="n">
        <f aca="false">4*Inputs!B2*Inputs!B4*Inputs!B3/10000</f>
        <v>0.001</v>
      </c>
      <c r="F357" s="13" t="n">
        <f aca="false">Inputs!B2*Inputs!B5/Inputs!B6</f>
        <v>0.000833333333333333</v>
      </c>
      <c r="G357" s="13" t="n">
        <f aca="false">D357-E357-F357</f>
        <v>-0.00728333333333333</v>
      </c>
      <c r="H357" s="4" t="n">
        <f aca="false">(1+G357)*H356</f>
        <v>8.35580890962073</v>
      </c>
      <c r="I357" s="4" t="n">
        <f aca="false">MAX(1,H$2:H357)</f>
        <v>8.68962288898845</v>
      </c>
      <c r="J357" s="13" t="n">
        <f aca="false">H357/I357-1</f>
        <v>-0.0384152435188795</v>
      </c>
      <c r="K357" s="13" t="n">
        <f aca="false">Data!L357</f>
        <v>-0.0049</v>
      </c>
    </row>
    <row r="358" customFormat="false" ht="30" hidden="false" customHeight="true" outlineLevel="0" collapsed="false">
      <c r="A358" s="5" t="str">
        <f aca="false">Data!A358</f>
        <v>1992-09</v>
      </c>
      <c r="B358" s="12" t="n">
        <f aca="false">Data!K358</f>
        <v>0.0425</v>
      </c>
      <c r="C358" s="12" t="n">
        <f aca="false">Data!B358</f>
        <v>-0.0007</v>
      </c>
      <c r="D358" s="12" t="n">
        <f aca="false">(B358-C358)*Inputs!B2</f>
        <v>0.0216</v>
      </c>
      <c r="E358" s="12" t="n">
        <f aca="false">4*Inputs!B2*Inputs!B4*Inputs!B3/10000</f>
        <v>0.001</v>
      </c>
      <c r="F358" s="12" t="n">
        <f aca="false">Inputs!B2*Inputs!B5/Inputs!B6</f>
        <v>0.000833333333333333</v>
      </c>
      <c r="G358" s="12" t="n">
        <f aca="false">D358-E358-F358</f>
        <v>0.0197666666666667</v>
      </c>
      <c r="H358" s="5" t="n">
        <f aca="false">(1+G358)*H357</f>
        <v>8.52097539906757</v>
      </c>
      <c r="I358" s="5" t="n">
        <f aca="false">MAX(1,H$2:H358)</f>
        <v>8.68962288898845</v>
      </c>
      <c r="J358" s="12" t="n">
        <f aca="false">H358/I358-1</f>
        <v>-0.0194079181657694</v>
      </c>
      <c r="K358" s="12" t="n">
        <f aca="false">Data!L358</f>
        <v>0.0141</v>
      </c>
    </row>
    <row r="359" customFormat="false" ht="30" hidden="false" customHeight="true" outlineLevel="0" collapsed="false">
      <c r="A359" s="4" t="str">
        <f aca="false">Data!A359</f>
        <v>1992-10</v>
      </c>
      <c r="B359" s="13" t="n">
        <f aca="false">Data!K359</f>
        <v>0.0528</v>
      </c>
      <c r="C359" s="13" t="n">
        <f aca="false">Data!B359</f>
        <v>0.0235</v>
      </c>
      <c r="D359" s="13" t="n">
        <f aca="false">(B359-C359)*Inputs!B2</f>
        <v>0.01465</v>
      </c>
      <c r="E359" s="13" t="n">
        <f aca="false">4*Inputs!B2*Inputs!B4*Inputs!B3/10000</f>
        <v>0.001</v>
      </c>
      <c r="F359" s="13" t="n">
        <f aca="false">Inputs!B2*Inputs!B5/Inputs!B6</f>
        <v>0.000833333333333333</v>
      </c>
      <c r="G359" s="13" t="n">
        <f aca="false">D359-E359-F359</f>
        <v>0.0128166666666667</v>
      </c>
      <c r="H359" s="4" t="n">
        <f aca="false">(1+G359)*H358</f>
        <v>8.63018590043229</v>
      </c>
      <c r="I359" s="4" t="n">
        <f aca="false">MAX(1,H$2:H359)</f>
        <v>8.68962288898845</v>
      </c>
      <c r="J359" s="13" t="n">
        <f aca="false">H359/I359-1</f>
        <v>-0.00683999631692733</v>
      </c>
      <c r="K359" s="13" t="n">
        <f aca="false">Data!L359</f>
        <v>0.0259</v>
      </c>
    </row>
    <row r="360" customFormat="false" ht="30" hidden="false" customHeight="true" outlineLevel="0" collapsed="false">
      <c r="A360" s="5" t="str">
        <f aca="false">Data!A360</f>
        <v>1992-11</v>
      </c>
      <c r="B360" s="12" t="n">
        <f aca="false">Data!K360</f>
        <v>0.0837</v>
      </c>
      <c r="C360" s="12" t="n">
        <f aca="false">Data!B360</f>
        <v>0.0763</v>
      </c>
      <c r="D360" s="12" t="n">
        <f aca="false">(B360-C360)*Inputs!B2</f>
        <v>0.0037</v>
      </c>
      <c r="E360" s="12" t="n">
        <f aca="false">4*Inputs!B2*Inputs!B4*Inputs!B3/10000</f>
        <v>0.001</v>
      </c>
      <c r="F360" s="12" t="n">
        <f aca="false">Inputs!B2*Inputs!B5/Inputs!B6</f>
        <v>0.000833333333333333</v>
      </c>
      <c r="G360" s="12" t="n">
        <f aca="false">D360-E360-F360</f>
        <v>0.00186666666666667</v>
      </c>
      <c r="H360" s="5" t="n">
        <f aca="false">(1+G360)*H359</f>
        <v>8.64629558077976</v>
      </c>
      <c r="I360" s="5" t="n">
        <f aca="false">MAX(1,H$2:H360)</f>
        <v>8.68962288898845</v>
      </c>
      <c r="J360" s="12" t="n">
        <f aca="false">H360/I360-1</f>
        <v>-0.00498609764338542</v>
      </c>
      <c r="K360" s="12" t="n">
        <f aca="false">Data!L360</f>
        <v>-0.0023</v>
      </c>
    </row>
    <row r="361" customFormat="false" ht="30" hidden="false" customHeight="true" outlineLevel="0" collapsed="false">
      <c r="A361" s="4" t="str">
        <f aca="false">Data!A361</f>
        <v>1992-12</v>
      </c>
      <c r="B361" s="13" t="n">
        <f aca="false">Data!K361</f>
        <v>0.0572</v>
      </c>
      <c r="C361" s="13" t="n">
        <f aca="false">Data!B361</f>
        <v>-0.016</v>
      </c>
      <c r="D361" s="13" t="n">
        <f aca="false">(B361-C361)*Inputs!B2</f>
        <v>0.0366</v>
      </c>
      <c r="E361" s="13" t="n">
        <f aca="false">4*Inputs!B2*Inputs!B4*Inputs!B3/10000</f>
        <v>0.001</v>
      </c>
      <c r="F361" s="13" t="n">
        <f aca="false">Inputs!B2*Inputs!B5/Inputs!B6</f>
        <v>0.000833333333333333</v>
      </c>
      <c r="G361" s="13" t="n">
        <f aca="false">D361-E361-F361</f>
        <v>0.0347666666666667</v>
      </c>
      <c r="H361" s="4" t="n">
        <f aca="false">(1+G361)*H360</f>
        <v>8.9468984571382</v>
      </c>
      <c r="I361" s="4" t="n">
        <f aca="false">MAX(1,H$2:H361)</f>
        <v>8.9468984571382</v>
      </c>
      <c r="J361" s="13" t="n">
        <f aca="false">H361/I361-1</f>
        <v>0</v>
      </c>
      <c r="K361" s="13" t="n">
        <f aca="false">Data!L361</f>
        <v>0.0446</v>
      </c>
    </row>
    <row r="362" customFormat="false" ht="30" hidden="false" customHeight="true" outlineLevel="0" collapsed="false">
      <c r="A362" s="5" t="str">
        <f aca="false">Data!A362</f>
        <v>1993-01</v>
      </c>
      <c r="B362" s="12" t="n">
        <f aca="false">Data!K362</f>
        <v>0.0626</v>
      </c>
      <c r="C362" s="12" t="n">
        <f aca="false">Data!B362</f>
        <v>0.0147</v>
      </c>
      <c r="D362" s="12" t="n">
        <f aca="false">(B362-C362)*Inputs!B2</f>
        <v>0.02395</v>
      </c>
      <c r="E362" s="12" t="n">
        <f aca="false">4*Inputs!B2*Inputs!B4*Inputs!B3/10000</f>
        <v>0.001</v>
      </c>
      <c r="F362" s="12" t="n">
        <f aca="false">Inputs!B2*Inputs!B5/Inputs!B6</f>
        <v>0.000833333333333333</v>
      </c>
      <c r="G362" s="12" t="n">
        <f aca="false">D362-E362-F362</f>
        <v>0.0221166666666667</v>
      </c>
      <c r="H362" s="5" t="n">
        <f aca="false">(1+G362)*H361</f>
        <v>9.14477402801524</v>
      </c>
      <c r="I362" s="5" t="n">
        <f aca="false">MAX(1,H$2:H362)</f>
        <v>9.14477402801524</v>
      </c>
      <c r="J362" s="12" t="n">
        <f aca="false">H362/I362-1</f>
        <v>0</v>
      </c>
      <c r="K362" s="12" t="n">
        <f aca="false">Data!L362</f>
        <v>0.0484</v>
      </c>
    </row>
    <row r="363" customFormat="false" ht="30" hidden="false" customHeight="true" outlineLevel="0" collapsed="false">
      <c r="A363" s="4" t="str">
        <f aca="false">Data!A363</f>
        <v>1993-02</v>
      </c>
      <c r="B363" s="13" t="n">
        <f aca="false">Data!K363</f>
        <v>-0.0079</v>
      </c>
      <c r="C363" s="13" t="n">
        <f aca="false">Data!B363</f>
        <v>-0.0214</v>
      </c>
      <c r="D363" s="13" t="n">
        <f aca="false">(B363-C363)*Inputs!B2</f>
        <v>0.00675</v>
      </c>
      <c r="E363" s="13" t="n">
        <f aca="false">4*Inputs!B2*Inputs!B4*Inputs!B3/10000</f>
        <v>0.001</v>
      </c>
      <c r="F363" s="13" t="n">
        <f aca="false">Inputs!B2*Inputs!B5/Inputs!B6</f>
        <v>0.000833333333333333</v>
      </c>
      <c r="G363" s="13" t="n">
        <f aca="false">D363-E363-F363</f>
        <v>0.00491666666666667</v>
      </c>
      <c r="H363" s="4" t="n">
        <f aca="false">(1+G363)*H362</f>
        <v>9.18973583365299</v>
      </c>
      <c r="I363" s="4" t="n">
        <f aca="false">MAX(1,H$2:H363)</f>
        <v>9.18973583365299</v>
      </c>
      <c r="J363" s="13" t="n">
        <f aca="false">H363/I363-1</f>
        <v>0</v>
      </c>
      <c r="K363" s="13" t="n">
        <f aca="false">Data!L363</f>
        <v>0.0312</v>
      </c>
    </row>
    <row r="364" customFormat="false" ht="30" hidden="false" customHeight="true" outlineLevel="0" collapsed="false">
      <c r="A364" s="5" t="str">
        <f aca="false">Data!A364</f>
        <v>1993-03</v>
      </c>
      <c r="B364" s="12" t="n">
        <f aca="false">Data!K364</f>
        <v>0.0474</v>
      </c>
      <c r="C364" s="12" t="n">
        <f aca="false">Data!B364</f>
        <v>-0.0293</v>
      </c>
      <c r="D364" s="12" t="n">
        <f aca="false">(B364-C364)*Inputs!B2</f>
        <v>0.03835</v>
      </c>
      <c r="E364" s="12" t="n">
        <f aca="false">4*Inputs!B2*Inputs!B4*Inputs!B3/10000</f>
        <v>0.001</v>
      </c>
      <c r="F364" s="12" t="n">
        <f aca="false">Inputs!B2*Inputs!B5/Inputs!B6</f>
        <v>0.000833333333333333</v>
      </c>
      <c r="G364" s="12" t="n">
        <f aca="false">D364-E364-F364</f>
        <v>0.0365166666666667</v>
      </c>
      <c r="H364" s="5" t="n">
        <f aca="false">(1+G364)*H363</f>
        <v>9.52531435384521</v>
      </c>
      <c r="I364" s="5" t="n">
        <f aca="false">MAX(1,H$2:H364)</f>
        <v>9.52531435384521</v>
      </c>
      <c r="J364" s="12" t="n">
        <f aca="false">H364/I364-1</f>
        <v>0</v>
      </c>
      <c r="K364" s="12" t="n">
        <f aca="false">Data!L364</f>
        <v>0.0372</v>
      </c>
    </row>
    <row r="365" customFormat="false" ht="30" hidden="false" customHeight="true" outlineLevel="0" collapsed="false">
      <c r="A365" s="4" t="str">
        <f aca="false">Data!A365</f>
        <v>1993-04</v>
      </c>
      <c r="B365" s="13" t="n">
        <f aca="false">Data!K365</f>
        <v>-0.0322</v>
      </c>
      <c r="C365" s="13" t="n">
        <f aca="false">Data!B365</f>
        <v>-0.0594</v>
      </c>
      <c r="D365" s="13" t="n">
        <f aca="false">(B365-C365)*Inputs!B2</f>
        <v>0.0136</v>
      </c>
      <c r="E365" s="13" t="n">
        <f aca="false">4*Inputs!B2*Inputs!B4*Inputs!B3/10000</f>
        <v>0.001</v>
      </c>
      <c r="F365" s="13" t="n">
        <f aca="false">Inputs!B2*Inputs!B5/Inputs!B6</f>
        <v>0.000833333333333333</v>
      </c>
      <c r="G365" s="13" t="n">
        <f aca="false">D365-E365-F365</f>
        <v>0.0117666666666667</v>
      </c>
      <c r="H365" s="4" t="n">
        <f aca="false">(1+G365)*H364</f>
        <v>9.63739555274213</v>
      </c>
      <c r="I365" s="4" t="n">
        <f aca="false">MAX(1,H$2:H365)</f>
        <v>9.63739555274213</v>
      </c>
      <c r="J365" s="13" t="n">
        <f aca="false">H365/I365-1</f>
        <v>0</v>
      </c>
      <c r="K365" s="13" t="n">
        <f aca="false">Data!L365</f>
        <v>0.0036</v>
      </c>
    </row>
    <row r="366" customFormat="false" ht="30" hidden="false" customHeight="true" outlineLevel="0" collapsed="false">
      <c r="A366" s="5" t="str">
        <f aca="false">Data!A366</f>
        <v>1993-05</v>
      </c>
      <c r="B366" s="12" t="n">
        <f aca="false">Data!K366</f>
        <v>0.0805</v>
      </c>
      <c r="C366" s="12" t="n">
        <f aca="false">Data!B366</f>
        <v>0.0564</v>
      </c>
      <c r="D366" s="12" t="n">
        <f aca="false">(B366-C366)*Inputs!B2</f>
        <v>0.01205</v>
      </c>
      <c r="E366" s="12" t="n">
        <f aca="false">4*Inputs!B2*Inputs!B4*Inputs!B3/10000</f>
        <v>0.001</v>
      </c>
      <c r="F366" s="12" t="n">
        <f aca="false">Inputs!B2*Inputs!B5/Inputs!B6</f>
        <v>0.000833333333333333</v>
      </c>
      <c r="G366" s="12" t="n">
        <f aca="false">D366-E366-F366</f>
        <v>0.0102166666666667</v>
      </c>
      <c r="H366" s="5" t="n">
        <f aca="false">(1+G366)*H365</f>
        <v>9.73585761063931</v>
      </c>
      <c r="I366" s="5" t="n">
        <f aca="false">MAX(1,H$2:H366)</f>
        <v>9.73585761063931</v>
      </c>
      <c r="J366" s="12" t="n">
        <f aca="false">H366/I366-1</f>
        <v>0</v>
      </c>
      <c r="K366" s="12" t="n">
        <f aca="false">Data!L366</f>
        <v>0.002</v>
      </c>
    </row>
    <row r="367" customFormat="false" ht="30" hidden="false" customHeight="true" outlineLevel="0" collapsed="false">
      <c r="A367" s="4" t="str">
        <f aca="false">Data!A367</f>
        <v>1993-06</v>
      </c>
      <c r="B367" s="13" t="n">
        <f aca="false">Data!K367</f>
        <v>0.0296</v>
      </c>
      <c r="C367" s="13" t="n">
        <f aca="false">Data!B367</f>
        <v>-0.0291</v>
      </c>
      <c r="D367" s="13" t="n">
        <f aca="false">(B367-C367)*Inputs!B2</f>
        <v>0.02935</v>
      </c>
      <c r="E367" s="13" t="n">
        <f aca="false">4*Inputs!B2*Inputs!B4*Inputs!B3/10000</f>
        <v>0.001</v>
      </c>
      <c r="F367" s="13" t="n">
        <f aca="false">Inputs!B2*Inputs!B5/Inputs!B6</f>
        <v>0.000833333333333333</v>
      </c>
      <c r="G367" s="13" t="n">
        <f aca="false">D367-E367-F367</f>
        <v>0.0275166666666667</v>
      </c>
      <c r="H367" s="4" t="n">
        <f aca="false">(1+G367)*H366</f>
        <v>10.0037559592254</v>
      </c>
      <c r="I367" s="4" t="n">
        <f aca="false">MAX(1,H$2:H367)</f>
        <v>10.0037559592254</v>
      </c>
      <c r="J367" s="13" t="n">
        <f aca="false">H367/I367-1</f>
        <v>0</v>
      </c>
      <c r="K367" s="13" t="n">
        <f aca="false">Data!L367</f>
        <v>0.0455</v>
      </c>
    </row>
    <row r="368" customFormat="false" ht="30" hidden="false" customHeight="true" outlineLevel="0" collapsed="false">
      <c r="A368" s="5" t="str">
        <f aca="false">Data!A368</f>
        <v>1993-07</v>
      </c>
      <c r="B368" s="12" t="n">
        <f aca="false">Data!K368</f>
        <v>0.0077</v>
      </c>
      <c r="C368" s="12" t="n">
        <f aca="false">Data!B368</f>
        <v>-0.0568</v>
      </c>
      <c r="D368" s="12" t="n">
        <f aca="false">(B368-C368)*Inputs!B2</f>
        <v>0.03225</v>
      </c>
      <c r="E368" s="12" t="n">
        <f aca="false">4*Inputs!B2*Inputs!B4*Inputs!B3/10000</f>
        <v>0.001</v>
      </c>
      <c r="F368" s="12" t="n">
        <f aca="false">Inputs!B2*Inputs!B5/Inputs!B6</f>
        <v>0.000833333333333333</v>
      </c>
      <c r="G368" s="12" t="n">
        <f aca="false">D368-E368-F368</f>
        <v>0.0304166666666667</v>
      </c>
      <c r="H368" s="5" t="n">
        <f aca="false">(1+G368)*H367</f>
        <v>10.3080368696518</v>
      </c>
      <c r="I368" s="5" t="n">
        <f aca="false">MAX(1,H$2:H368)</f>
        <v>10.3080368696518</v>
      </c>
      <c r="J368" s="12" t="n">
        <f aca="false">H368/I368-1</f>
        <v>0</v>
      </c>
      <c r="K368" s="12" t="n">
        <f aca="false">Data!L368</f>
        <v>0.0323</v>
      </c>
    </row>
    <row r="369" customFormat="false" ht="30" hidden="false" customHeight="true" outlineLevel="0" collapsed="false">
      <c r="A369" s="4" t="str">
        <f aca="false">Data!A369</f>
        <v>1993-08</v>
      </c>
      <c r="B369" s="13" t="n">
        <f aca="false">Data!K369</f>
        <v>0.0852</v>
      </c>
      <c r="C369" s="13" t="n">
        <f aca="false">Data!B369</f>
        <v>0.0302</v>
      </c>
      <c r="D369" s="13" t="n">
        <f aca="false">(B369-C369)*Inputs!B2</f>
        <v>0.0275</v>
      </c>
      <c r="E369" s="13" t="n">
        <f aca="false">4*Inputs!B2*Inputs!B4*Inputs!B3/10000</f>
        <v>0.001</v>
      </c>
      <c r="F369" s="13" t="n">
        <f aca="false">Inputs!B2*Inputs!B5/Inputs!B6</f>
        <v>0.000833333333333333</v>
      </c>
      <c r="G369" s="13" t="n">
        <f aca="false">D369-E369-F369</f>
        <v>0.0256666666666667</v>
      </c>
      <c r="H369" s="4" t="n">
        <f aca="false">(1+G369)*H368</f>
        <v>10.5726098159729</v>
      </c>
      <c r="I369" s="4" t="n">
        <f aca="false">MAX(1,H$2:H369)</f>
        <v>10.5726098159729</v>
      </c>
      <c r="J369" s="13" t="n">
        <f aca="false">H369/I369-1</f>
        <v>0</v>
      </c>
      <c r="K369" s="13" t="n">
        <f aca="false">Data!L369</f>
        <v>0.0259</v>
      </c>
    </row>
    <row r="370" customFormat="false" ht="30" hidden="false" customHeight="true" outlineLevel="0" collapsed="false">
      <c r="A370" s="5" t="str">
        <f aca="false">Data!A370</f>
        <v>1993-09</v>
      </c>
      <c r="B370" s="12" t="n">
        <f aca="false">Data!K370</f>
        <v>0.0487</v>
      </c>
      <c r="C370" s="12" t="n">
        <f aca="false">Data!B370</f>
        <v>-0.0307</v>
      </c>
      <c r="D370" s="12" t="n">
        <f aca="false">(B370-C370)*Inputs!B2</f>
        <v>0.0397</v>
      </c>
      <c r="E370" s="12" t="n">
        <f aca="false">4*Inputs!B2*Inputs!B4*Inputs!B3/10000</f>
        <v>0.001</v>
      </c>
      <c r="F370" s="12" t="n">
        <f aca="false">Inputs!B2*Inputs!B5/Inputs!B6</f>
        <v>0.000833333333333333</v>
      </c>
      <c r="G370" s="12" t="n">
        <f aca="false">D370-E370-F370</f>
        <v>0.0378666666666667</v>
      </c>
      <c r="H370" s="5" t="n">
        <f aca="false">(1+G370)*H369</f>
        <v>10.9729593076711</v>
      </c>
      <c r="I370" s="5" t="n">
        <f aca="false">MAX(1,H$2:H370)</f>
        <v>10.9729593076711</v>
      </c>
      <c r="J370" s="12" t="n">
        <f aca="false">H370/I370-1</f>
        <v>0</v>
      </c>
      <c r="K370" s="12" t="n">
        <f aca="false">Data!L370</f>
        <v>0.0344</v>
      </c>
    </row>
    <row r="371" customFormat="false" ht="30" hidden="false" customHeight="true" outlineLevel="0" collapsed="false">
      <c r="A371" s="4" t="str">
        <f aca="false">Data!A371</f>
        <v>1993-10</v>
      </c>
      <c r="B371" s="13" t="n">
        <f aca="false">Data!K371</f>
        <v>0.0085</v>
      </c>
      <c r="C371" s="13" t="n">
        <f aca="false">Data!B371</f>
        <v>0.0948</v>
      </c>
      <c r="D371" s="13" t="n">
        <f aca="false">(B371-C371)*Inputs!B2</f>
        <v>-0.04315</v>
      </c>
      <c r="E371" s="13" t="n">
        <f aca="false">4*Inputs!B2*Inputs!B4*Inputs!B3/10000</f>
        <v>0.001</v>
      </c>
      <c r="F371" s="13" t="n">
        <f aca="false">Inputs!B2*Inputs!B5/Inputs!B6</f>
        <v>0.000833333333333333</v>
      </c>
      <c r="G371" s="13" t="n">
        <f aca="false">D371-E371-F371</f>
        <v>-0.0449833333333333</v>
      </c>
      <c r="H371" s="4" t="n">
        <f aca="false">(1+G371)*H370</f>
        <v>10.479359021481</v>
      </c>
      <c r="I371" s="4" t="n">
        <f aca="false">MAX(1,H$2:H371)</f>
        <v>10.9729593076711</v>
      </c>
      <c r="J371" s="13" t="n">
        <f aca="false">H371/I371-1</f>
        <v>-0.0449833333333334</v>
      </c>
      <c r="K371" s="13" t="n">
        <f aca="false">Data!L371</f>
        <v>-0.0269</v>
      </c>
    </row>
    <row r="372" customFormat="false" ht="30" hidden="false" customHeight="true" outlineLevel="0" collapsed="false">
      <c r="A372" s="5" t="str">
        <f aca="false">Data!A372</f>
        <v>1993-11</v>
      </c>
      <c r="B372" s="12" t="n">
        <f aca="false">Data!K372</f>
        <v>-0.0483</v>
      </c>
      <c r="C372" s="12" t="n">
        <f aca="false">Data!B372</f>
        <v>0.0445</v>
      </c>
      <c r="D372" s="12" t="n">
        <f aca="false">(B372-C372)*Inputs!B2</f>
        <v>-0.0464</v>
      </c>
      <c r="E372" s="12" t="n">
        <f aca="false">4*Inputs!B2*Inputs!B4*Inputs!B3/10000</f>
        <v>0.001</v>
      </c>
      <c r="F372" s="12" t="n">
        <f aca="false">Inputs!B2*Inputs!B5/Inputs!B6</f>
        <v>0.000833333333333333</v>
      </c>
      <c r="G372" s="12" t="n">
        <f aca="false">D372-E372-F372</f>
        <v>-0.0482333333333333</v>
      </c>
      <c r="H372" s="5" t="n">
        <f aca="false">(1+G372)*H371</f>
        <v>9.97390460467824</v>
      </c>
      <c r="I372" s="5" t="n">
        <f aca="false">MAX(1,H$2:H372)</f>
        <v>10.9729593076711</v>
      </c>
      <c r="J372" s="12" t="n">
        <f aca="false">H372/I372-1</f>
        <v>-0.0910469705555556</v>
      </c>
      <c r="K372" s="12" t="n">
        <f aca="false">Data!L372</f>
        <v>-0.048</v>
      </c>
    </row>
    <row r="373" customFormat="false" ht="30" hidden="false" customHeight="true" outlineLevel="0" collapsed="false">
      <c r="A373" s="4" t="str">
        <f aca="false">Data!A373</f>
        <v>1993-12</v>
      </c>
      <c r="B373" s="13" t="n">
        <f aca="false">Data!K373</f>
        <v>0.0312</v>
      </c>
      <c r="C373" s="13" t="n">
        <f aca="false">Data!B373</f>
        <v>0.0078</v>
      </c>
      <c r="D373" s="13" t="n">
        <f aca="false">(B373-C373)*Inputs!B2</f>
        <v>0.0117</v>
      </c>
      <c r="E373" s="13" t="n">
        <f aca="false">4*Inputs!B2*Inputs!B4*Inputs!B3/10000</f>
        <v>0.001</v>
      </c>
      <c r="F373" s="13" t="n">
        <f aca="false">Inputs!B2*Inputs!B5/Inputs!B6</f>
        <v>0.000833333333333333</v>
      </c>
      <c r="G373" s="13" t="n">
        <f aca="false">D373-E373-F373</f>
        <v>0.00986666666666666</v>
      </c>
      <c r="H373" s="4" t="n">
        <f aca="false">(1+G373)*H372</f>
        <v>10.0723137967777</v>
      </c>
      <c r="I373" s="4" t="n">
        <f aca="false">MAX(1,H$2:H373)</f>
        <v>10.9729593076711</v>
      </c>
      <c r="J373" s="13" t="n">
        <f aca="false">H373/I373-1</f>
        <v>-0.0820786339983703</v>
      </c>
      <c r="K373" s="13" t="n">
        <f aca="false">Data!L373</f>
        <v>0.0236</v>
      </c>
    </row>
    <row r="374" customFormat="false" ht="30" hidden="false" customHeight="true" outlineLevel="0" collapsed="false">
      <c r="A374" s="5" t="str">
        <f aca="false">Data!A374</f>
        <v>1994-01</v>
      </c>
      <c r="B374" s="12" t="n">
        <f aca="false">Data!K374</f>
        <v>0.049</v>
      </c>
      <c r="C374" s="12" t="n">
        <f aca="false">Data!B374</f>
        <v>0.0668</v>
      </c>
      <c r="D374" s="12" t="n">
        <f aca="false">(B374-C374)*Inputs!B2</f>
        <v>-0.0089</v>
      </c>
      <c r="E374" s="12" t="n">
        <f aca="false">4*Inputs!B2*Inputs!B4*Inputs!B3/10000</f>
        <v>0.001</v>
      </c>
      <c r="F374" s="12" t="n">
        <f aca="false">Inputs!B2*Inputs!B5/Inputs!B6</f>
        <v>0.000833333333333333</v>
      </c>
      <c r="G374" s="12" t="n">
        <f aca="false">D374-E374-F374</f>
        <v>-0.0107333333333333</v>
      </c>
      <c r="H374" s="5" t="n">
        <f aca="false">(1+G374)*H373</f>
        <v>9.96420429535899</v>
      </c>
      <c r="I374" s="5" t="n">
        <f aca="false">MAX(1,H$2:H374)</f>
        <v>10.9729593076711</v>
      </c>
      <c r="J374" s="12" t="n">
        <f aca="false">H374/I374-1</f>
        <v>-0.0919309899934546</v>
      </c>
      <c r="K374" s="12" t="n">
        <f aca="false">Data!L374</f>
        <v>0.001</v>
      </c>
    </row>
    <row r="375" customFormat="false" ht="30" hidden="false" customHeight="true" outlineLevel="0" collapsed="false">
      <c r="A375" s="4" t="str">
        <f aca="false">Data!A375</f>
        <v>1994-02</v>
      </c>
      <c r="B375" s="13" t="n">
        <f aca="false">Data!K375</f>
        <v>-0.0116</v>
      </c>
      <c r="C375" s="13" t="n">
        <f aca="false">Data!B375</f>
        <v>-0.0149</v>
      </c>
      <c r="D375" s="13" t="n">
        <f aca="false">(B375-C375)*Inputs!B2</f>
        <v>0.00165</v>
      </c>
      <c r="E375" s="13" t="n">
        <f aca="false">4*Inputs!B2*Inputs!B4*Inputs!B3/10000</f>
        <v>0.001</v>
      </c>
      <c r="F375" s="13" t="n">
        <f aca="false">Inputs!B2*Inputs!B5/Inputs!B6</f>
        <v>0.000833333333333333</v>
      </c>
      <c r="G375" s="13" t="n">
        <f aca="false">D375-E375-F375</f>
        <v>-0.000183333333333333</v>
      </c>
      <c r="H375" s="4" t="n">
        <f aca="false">(1+G375)*H374</f>
        <v>9.9623775245715</v>
      </c>
      <c r="I375" s="4" t="n">
        <f aca="false">MAX(1,H$2:H375)</f>
        <v>10.9729593076711</v>
      </c>
      <c r="J375" s="13" t="n">
        <f aca="false">H375/I375-1</f>
        <v>-0.0920974693119558</v>
      </c>
      <c r="K375" s="13" t="n">
        <f aca="false">Data!L375</f>
        <v>-0.0038</v>
      </c>
    </row>
    <row r="376" customFormat="false" ht="30" hidden="false" customHeight="true" outlineLevel="0" collapsed="false">
      <c r="A376" s="5" t="str">
        <f aca="false">Data!A376</f>
        <v>1994-03</v>
      </c>
      <c r="B376" s="12" t="n">
        <f aca="false">Data!K376</f>
        <v>-0.0572</v>
      </c>
      <c r="C376" s="12" t="n">
        <f aca="false">Data!B376</f>
        <v>-0.0489</v>
      </c>
      <c r="D376" s="12" t="n">
        <f aca="false">(B376-C376)*Inputs!B2</f>
        <v>-0.00415</v>
      </c>
      <c r="E376" s="12" t="n">
        <f aca="false">4*Inputs!B2*Inputs!B4*Inputs!B3/10000</f>
        <v>0.001</v>
      </c>
      <c r="F376" s="12" t="n">
        <f aca="false">Inputs!B2*Inputs!B5/Inputs!B6</f>
        <v>0.000833333333333333</v>
      </c>
      <c r="G376" s="12" t="n">
        <f aca="false">D376-E376-F376</f>
        <v>-0.00598333333333333</v>
      </c>
      <c r="H376" s="5" t="n">
        <f aca="false">(1+G376)*H375</f>
        <v>9.90276929904949</v>
      </c>
      <c r="I376" s="5" t="n">
        <f aca="false">MAX(1,H$2:H376)</f>
        <v>10.9729593076711</v>
      </c>
      <c r="J376" s="12" t="n">
        <f aca="false">H376/I376-1</f>
        <v>-0.0975297527872394</v>
      </c>
      <c r="K376" s="12" t="n">
        <f aca="false">Data!L376</f>
        <v>-0.0131</v>
      </c>
    </row>
    <row r="377" customFormat="false" ht="30" hidden="false" customHeight="true" outlineLevel="0" collapsed="false">
      <c r="A377" s="4" t="str">
        <f aca="false">Data!A377</f>
        <v>1994-04</v>
      </c>
      <c r="B377" s="13" t="n">
        <f aca="false">Data!K377</f>
        <v>0.0031</v>
      </c>
      <c r="C377" s="13" t="n">
        <f aca="false">Data!B377</f>
        <v>-0.0152</v>
      </c>
      <c r="D377" s="13" t="n">
        <f aca="false">(B377-C377)*Inputs!B2</f>
        <v>0.00915</v>
      </c>
      <c r="E377" s="13" t="n">
        <f aca="false">4*Inputs!B2*Inputs!B4*Inputs!B3/10000</f>
        <v>0.001</v>
      </c>
      <c r="F377" s="13" t="n">
        <f aca="false">Inputs!B2*Inputs!B5/Inputs!B6</f>
        <v>0.000833333333333333</v>
      </c>
      <c r="G377" s="13" t="n">
        <f aca="false">D377-E377-F377</f>
        <v>0.00731666666666667</v>
      </c>
      <c r="H377" s="4" t="n">
        <f aca="false">(1+G377)*H376</f>
        <v>9.97522456108753</v>
      </c>
      <c r="I377" s="4" t="n">
        <f aca="false">MAX(1,H$2:H377)</f>
        <v>10.9729593076711</v>
      </c>
      <c r="J377" s="13" t="n">
        <f aca="false">H377/I377-1</f>
        <v>-0.0909266788117994</v>
      </c>
      <c r="K377" s="13" t="n">
        <f aca="false">Data!L377</f>
        <v>0.0034</v>
      </c>
    </row>
    <row r="378" customFormat="false" ht="30" hidden="false" customHeight="true" outlineLevel="0" collapsed="false">
      <c r="A378" s="5" t="str">
        <f aca="false">Data!A378</f>
        <v>1994-05</v>
      </c>
      <c r="B378" s="12" t="n">
        <f aca="false">Data!K378</f>
        <v>-0.0218</v>
      </c>
      <c r="C378" s="12" t="n">
        <f aca="false">Data!B378</f>
        <v>0.0154</v>
      </c>
      <c r="D378" s="12" t="n">
        <f aca="false">(B378-C378)*Inputs!B2</f>
        <v>-0.0186</v>
      </c>
      <c r="E378" s="12" t="n">
        <f aca="false">4*Inputs!B2*Inputs!B4*Inputs!B3/10000</f>
        <v>0.001</v>
      </c>
      <c r="F378" s="12" t="n">
        <f aca="false">Inputs!B2*Inputs!B5/Inputs!B6</f>
        <v>0.000833333333333333</v>
      </c>
      <c r="G378" s="12" t="n">
        <f aca="false">D378-E378-F378</f>
        <v>-0.0204333333333333</v>
      </c>
      <c r="H378" s="5" t="n">
        <f aca="false">(1+G378)*H377</f>
        <v>9.77139747255598</v>
      </c>
      <c r="I378" s="5" t="n">
        <f aca="false">MAX(1,H$2:H378)</f>
        <v>10.9729593076711</v>
      </c>
      <c r="J378" s="12" t="n">
        <f aca="false">H378/I378-1</f>
        <v>-0.109502077008078</v>
      </c>
      <c r="K378" s="12" t="n">
        <f aca="false">Data!L378</f>
        <v>-0.0207</v>
      </c>
    </row>
    <row r="379" customFormat="false" ht="30" hidden="false" customHeight="true" outlineLevel="0" collapsed="false">
      <c r="A379" s="4" t="str">
        <f aca="false">Data!A379</f>
        <v>1994-06</v>
      </c>
      <c r="B379" s="13" t="n">
        <f aca="false">Data!K379</f>
        <v>-0.0616</v>
      </c>
      <c r="C379" s="13" t="n">
        <f aca="false">Data!B379</f>
        <v>-0.0423</v>
      </c>
      <c r="D379" s="13" t="n">
        <f aca="false">(B379-C379)*Inputs!B2</f>
        <v>-0.00965</v>
      </c>
      <c r="E379" s="13" t="n">
        <f aca="false">4*Inputs!B2*Inputs!B4*Inputs!B3/10000</f>
        <v>0.001</v>
      </c>
      <c r="F379" s="13" t="n">
        <f aca="false">Inputs!B2*Inputs!B5/Inputs!B6</f>
        <v>0.000833333333333333</v>
      </c>
      <c r="G379" s="13" t="n">
        <f aca="false">D379-E379-F379</f>
        <v>-0.0114833333333333</v>
      </c>
      <c r="H379" s="4" t="n">
        <f aca="false">(1+G379)*H378</f>
        <v>9.65918925824613</v>
      </c>
      <c r="I379" s="4" t="n">
        <f aca="false">MAX(1,H$2:H379)</f>
        <v>10.9729593076711</v>
      </c>
      <c r="J379" s="13" t="n">
        <f aca="false">H379/I379-1</f>
        <v>-0.119727961490435</v>
      </c>
      <c r="K379" s="13" t="n">
        <f aca="false">Data!L379</f>
        <v>-0.0088</v>
      </c>
    </row>
    <row r="380" customFormat="false" ht="30" hidden="false" customHeight="true" outlineLevel="0" collapsed="false">
      <c r="A380" s="5" t="str">
        <f aca="false">Data!A380</f>
        <v>1994-07</v>
      </c>
      <c r="B380" s="12" t="n">
        <f aca="false">Data!K380</f>
        <v>0.0249</v>
      </c>
      <c r="C380" s="12" t="n">
        <f aca="false">Data!B380</f>
        <v>0.0348</v>
      </c>
      <c r="D380" s="12" t="n">
        <f aca="false">(B380-C380)*Inputs!B2</f>
        <v>-0.00495</v>
      </c>
      <c r="E380" s="12" t="n">
        <f aca="false">4*Inputs!B2*Inputs!B4*Inputs!B3/10000</f>
        <v>0.001</v>
      </c>
      <c r="F380" s="12" t="n">
        <f aca="false">Inputs!B2*Inputs!B5/Inputs!B6</f>
        <v>0.000833333333333333</v>
      </c>
      <c r="G380" s="12" t="n">
        <f aca="false">D380-E380-F380</f>
        <v>-0.00678333333333333</v>
      </c>
      <c r="H380" s="5" t="n">
        <f aca="false">(1+G380)*H379</f>
        <v>9.59366775777769</v>
      </c>
      <c r="I380" s="5" t="n">
        <f aca="false">MAX(1,H$2:H380)</f>
        <v>10.9729593076711</v>
      </c>
      <c r="J380" s="12" t="n">
        <f aca="false">H380/I380-1</f>
        <v>-0.125699140151659</v>
      </c>
      <c r="K380" s="12" t="n">
        <f aca="false">Data!L380</f>
        <v>0.0012</v>
      </c>
    </row>
    <row r="381" customFormat="false" ht="30" hidden="false" customHeight="true" outlineLevel="0" collapsed="false">
      <c r="A381" s="4" t="str">
        <f aca="false">Data!A381</f>
        <v>1994-08</v>
      </c>
      <c r="B381" s="13" t="n">
        <f aca="false">Data!K381</f>
        <v>0.0834</v>
      </c>
      <c r="C381" s="13" t="n">
        <f aca="false">Data!B381</f>
        <v>0.0543</v>
      </c>
      <c r="D381" s="13" t="n">
        <f aca="false">(B381-C381)*Inputs!B2</f>
        <v>0.01455</v>
      </c>
      <c r="E381" s="13" t="n">
        <f aca="false">4*Inputs!B2*Inputs!B4*Inputs!B3/10000</f>
        <v>0.001</v>
      </c>
      <c r="F381" s="13" t="n">
        <f aca="false">Inputs!B2*Inputs!B5/Inputs!B6</f>
        <v>0.000833333333333333</v>
      </c>
      <c r="G381" s="13" t="n">
        <f aca="false">D381-E381-F381</f>
        <v>0.0127166666666667</v>
      </c>
      <c r="H381" s="4" t="n">
        <f aca="false">(1+G381)*H380</f>
        <v>9.71566723276409</v>
      </c>
      <c r="I381" s="4" t="n">
        <f aca="false">MAX(1,H$2:H381)</f>
        <v>10.9729593076711</v>
      </c>
      <c r="J381" s="13" t="n">
        <f aca="false">H381/I381-1</f>
        <v>-0.114580947550587</v>
      </c>
      <c r="K381" s="13" t="n">
        <f aca="false">Data!L381</f>
        <v>0.0154</v>
      </c>
    </row>
    <row r="382" customFormat="false" ht="30" hidden="false" customHeight="true" outlineLevel="0" collapsed="false">
      <c r="A382" s="5" t="str">
        <f aca="false">Data!A382</f>
        <v>1994-09</v>
      </c>
      <c r="B382" s="12" t="n">
        <f aca="false">Data!K382</f>
        <v>0.0076</v>
      </c>
      <c r="C382" s="12" t="n">
        <f aca="false">Data!B382</f>
        <v>-0.0129</v>
      </c>
      <c r="D382" s="12" t="n">
        <f aca="false">(B382-C382)*Inputs!B2</f>
        <v>0.01025</v>
      </c>
      <c r="E382" s="12" t="n">
        <f aca="false">4*Inputs!B2*Inputs!B4*Inputs!B3/10000</f>
        <v>0.001</v>
      </c>
      <c r="F382" s="12" t="n">
        <f aca="false">Inputs!B2*Inputs!B5/Inputs!B6</f>
        <v>0.000833333333333333</v>
      </c>
      <c r="G382" s="12" t="n">
        <f aca="false">D382-E382-F382</f>
        <v>0.00841666666666667</v>
      </c>
      <c r="H382" s="5" t="n">
        <f aca="false">(1+G382)*H381</f>
        <v>9.79744076530653</v>
      </c>
      <c r="I382" s="5" t="n">
        <f aca="false">MAX(1,H$2:H382)</f>
        <v>10.9729593076711</v>
      </c>
      <c r="J382" s="12" t="n">
        <f aca="false">H382/I382-1</f>
        <v>-0.107128670525805</v>
      </c>
      <c r="K382" s="12" t="n">
        <f aca="false">Data!L382</f>
        <v>0.0131</v>
      </c>
    </row>
    <row r="383" customFormat="false" ht="30" hidden="false" customHeight="true" outlineLevel="0" collapsed="false">
      <c r="A383" s="4" t="str">
        <f aca="false">Data!A383</f>
        <v>1994-10</v>
      </c>
      <c r="B383" s="13" t="n">
        <f aca="false">Data!K383</f>
        <v>0.0294</v>
      </c>
      <c r="C383" s="13" t="n">
        <f aca="false">Data!B383</f>
        <v>-0.0057</v>
      </c>
      <c r="D383" s="13" t="n">
        <f aca="false">(B383-C383)*Inputs!B2</f>
        <v>0.01755</v>
      </c>
      <c r="E383" s="13" t="n">
        <f aca="false">4*Inputs!B2*Inputs!B4*Inputs!B3/10000</f>
        <v>0.001</v>
      </c>
      <c r="F383" s="13" t="n">
        <f aca="false">Inputs!B2*Inputs!B5/Inputs!B6</f>
        <v>0.000833333333333333</v>
      </c>
      <c r="G383" s="13" t="n">
        <f aca="false">D383-E383-F383</f>
        <v>0.0157166666666667</v>
      </c>
      <c r="H383" s="4" t="n">
        <f aca="false">(1+G383)*H382</f>
        <v>9.95142387600126</v>
      </c>
      <c r="I383" s="4" t="n">
        <f aca="false">MAX(1,H$2:H383)</f>
        <v>10.9729593076711</v>
      </c>
      <c r="J383" s="13" t="n">
        <f aca="false">H383/I383-1</f>
        <v>-0.0930957094642353</v>
      </c>
      <c r="K383" s="13" t="n">
        <f aca="false">Data!L383</f>
        <v>0.0143</v>
      </c>
    </row>
    <row r="384" customFormat="false" ht="30" hidden="false" customHeight="true" outlineLevel="0" collapsed="false">
      <c r="A384" s="5" t="str">
        <f aca="false">Data!A384</f>
        <v>1994-11</v>
      </c>
      <c r="B384" s="12" t="n">
        <f aca="false">Data!K384</f>
        <v>-0.0514</v>
      </c>
      <c r="C384" s="12" t="n">
        <f aca="false">Data!B384</f>
        <v>-0.0315</v>
      </c>
      <c r="D384" s="12" t="n">
        <f aca="false">(B384-C384)*Inputs!B2</f>
        <v>-0.00994999999999999</v>
      </c>
      <c r="E384" s="12" t="n">
        <f aca="false">4*Inputs!B2*Inputs!B4*Inputs!B3/10000</f>
        <v>0.001</v>
      </c>
      <c r="F384" s="12" t="n">
        <f aca="false">Inputs!B2*Inputs!B5/Inputs!B6</f>
        <v>0.000833333333333333</v>
      </c>
      <c r="G384" s="12" t="n">
        <f aca="false">D384-E384-F384</f>
        <v>-0.0117833333333333</v>
      </c>
      <c r="H384" s="5" t="n">
        <f aca="false">(1+G384)*H383</f>
        <v>9.83416293132904</v>
      </c>
      <c r="I384" s="5" t="n">
        <f aca="false">MAX(1,H$2:H384)</f>
        <v>10.9729593076711</v>
      </c>
      <c r="J384" s="12" t="n">
        <f aca="false">H384/I384-1</f>
        <v>-0.103782065021048</v>
      </c>
      <c r="K384" s="12" t="n">
        <f aca="false">Data!L384</f>
        <v>-0.0015</v>
      </c>
    </row>
    <row r="385" customFormat="false" ht="30" hidden="false" customHeight="true" outlineLevel="0" collapsed="false">
      <c r="A385" s="4" t="str">
        <f aca="false">Data!A385</f>
        <v>1994-12</v>
      </c>
      <c r="B385" s="13" t="n">
        <f aca="false">Data!K385</f>
        <v>0.0148</v>
      </c>
      <c r="C385" s="13" t="n">
        <f aca="false">Data!B385</f>
        <v>-0.0202</v>
      </c>
      <c r="D385" s="13" t="n">
        <f aca="false">(B385-C385)*Inputs!B2</f>
        <v>0.0175</v>
      </c>
      <c r="E385" s="13" t="n">
        <f aca="false">4*Inputs!B2*Inputs!B4*Inputs!B3/10000</f>
        <v>0.001</v>
      </c>
      <c r="F385" s="13" t="n">
        <f aca="false">Inputs!B2*Inputs!B5/Inputs!B6</f>
        <v>0.000833333333333333</v>
      </c>
      <c r="G385" s="13" t="n">
        <f aca="false">D385-E385-F385</f>
        <v>0.0156666666666667</v>
      </c>
      <c r="H385" s="4" t="n">
        <f aca="false">(1+G385)*H384</f>
        <v>9.98823148391987</v>
      </c>
      <c r="I385" s="4" t="n">
        <f aca="false">MAX(1,H$2:H385)</f>
        <v>10.9729593076711</v>
      </c>
      <c r="J385" s="13" t="n">
        <f aca="false">H385/I385-1</f>
        <v>-0.0897413173730449</v>
      </c>
      <c r="K385" s="13" t="n">
        <f aca="false">Data!L385</f>
        <v>0.0346</v>
      </c>
    </row>
    <row r="386" customFormat="false" ht="30" hidden="false" customHeight="true" outlineLevel="0" collapsed="false">
      <c r="A386" s="5" t="str">
        <f aca="false">Data!A386</f>
        <v>1995-01</v>
      </c>
      <c r="B386" s="12" t="n">
        <f aca="false">Data!K386</f>
        <v>-0.0179</v>
      </c>
      <c r="C386" s="12" t="n">
        <f aca="false">Data!B386</f>
        <v>0.0167</v>
      </c>
      <c r="D386" s="12" t="n">
        <f aca="false">(B386-C386)*Inputs!B2</f>
        <v>-0.0173</v>
      </c>
      <c r="E386" s="12" t="n">
        <f aca="false">4*Inputs!B2*Inputs!B4*Inputs!B3/10000</f>
        <v>0.001</v>
      </c>
      <c r="F386" s="12" t="n">
        <f aca="false">Inputs!B2*Inputs!B5/Inputs!B6</f>
        <v>0.000833333333333333</v>
      </c>
      <c r="G386" s="12" t="n">
        <f aca="false">D386-E386-F386</f>
        <v>-0.0191333333333333</v>
      </c>
      <c r="H386" s="5" t="n">
        <f aca="false">(1+G386)*H385</f>
        <v>9.79712332152753</v>
      </c>
      <c r="I386" s="5" t="n">
        <f aca="false">MAX(1,H$2:H386)</f>
        <v>10.9729593076711</v>
      </c>
      <c r="J386" s="12" t="n">
        <f aca="false">H386/I386-1</f>
        <v>-0.107157600167307</v>
      </c>
      <c r="K386" s="12" t="n">
        <f aca="false">Data!L386</f>
        <v>-0.0181</v>
      </c>
    </row>
    <row r="387" customFormat="false" ht="30" hidden="false" customHeight="true" outlineLevel="0" collapsed="false">
      <c r="A387" s="4" t="str">
        <f aca="false">Data!A387</f>
        <v>1995-02</v>
      </c>
      <c r="B387" s="13" t="n">
        <f aca="false">Data!K387</f>
        <v>0.0422</v>
      </c>
      <c r="C387" s="13" t="n">
        <f aca="false">Data!B387</f>
        <v>0.0317</v>
      </c>
      <c r="D387" s="13" t="n">
        <f aca="false">(B387-C387)*Inputs!B2</f>
        <v>0.00524999999999999</v>
      </c>
      <c r="E387" s="13" t="n">
        <f aca="false">4*Inputs!B2*Inputs!B4*Inputs!B3/10000</f>
        <v>0.001</v>
      </c>
      <c r="F387" s="13" t="n">
        <f aca="false">Inputs!B2*Inputs!B5/Inputs!B6</f>
        <v>0.000833333333333333</v>
      </c>
      <c r="G387" s="13" t="n">
        <f aca="false">D387-E387-F387</f>
        <v>0.00341666666666666</v>
      </c>
      <c r="H387" s="4" t="n">
        <f aca="false">(1+G387)*H386</f>
        <v>9.83059682620942</v>
      </c>
      <c r="I387" s="4" t="n">
        <f aca="false">MAX(1,H$2:H387)</f>
        <v>10.9729593076711</v>
      </c>
      <c r="J387" s="13" t="n">
        <f aca="false">H387/I387-1</f>
        <v>-0.104107055301212</v>
      </c>
      <c r="K387" s="13" t="n">
        <f aca="false">Data!L387</f>
        <v>-0.0043</v>
      </c>
    </row>
    <row r="388" customFormat="false" ht="30" hidden="false" customHeight="true" outlineLevel="0" collapsed="false">
      <c r="A388" s="5" t="str">
        <f aca="false">Data!A388</f>
        <v>1995-03</v>
      </c>
      <c r="B388" s="12" t="n">
        <f aca="false">Data!K388</f>
        <v>0.0406</v>
      </c>
      <c r="C388" s="12" t="n">
        <f aca="false">Data!B388</f>
        <v>0.0043</v>
      </c>
      <c r="D388" s="12" t="n">
        <f aca="false">(B388-C388)*Inputs!B2</f>
        <v>0.01815</v>
      </c>
      <c r="E388" s="12" t="n">
        <f aca="false">4*Inputs!B2*Inputs!B4*Inputs!B3/10000</f>
        <v>0.001</v>
      </c>
      <c r="F388" s="12" t="n">
        <f aca="false">Inputs!B2*Inputs!B5/Inputs!B6</f>
        <v>0.000833333333333333</v>
      </c>
      <c r="G388" s="12" t="n">
        <f aca="false">D388-E388-F388</f>
        <v>0.0163166666666667</v>
      </c>
      <c r="H388" s="5" t="n">
        <f aca="false">(1+G388)*H387</f>
        <v>9.99099939775707</v>
      </c>
      <c r="I388" s="5" t="n">
        <f aca="false">MAX(1,H$2:H388)</f>
        <v>10.9729593076711</v>
      </c>
      <c r="J388" s="12" t="n">
        <f aca="false">H388/I388-1</f>
        <v>-0.0894890687535438</v>
      </c>
      <c r="K388" s="12" t="n">
        <f aca="false">Data!L388</f>
        <v>0.0043</v>
      </c>
    </row>
    <row r="389" customFormat="false" ht="30" hidden="false" customHeight="true" outlineLevel="0" collapsed="false">
      <c r="A389" s="4" t="str">
        <f aca="false">Data!A389</f>
        <v>1995-04</v>
      </c>
      <c r="B389" s="13" t="n">
        <f aca="false">Data!K389</f>
        <v>0.0469</v>
      </c>
      <c r="C389" s="13" t="n">
        <f aca="false">Data!B389</f>
        <v>0.0275</v>
      </c>
      <c r="D389" s="13" t="n">
        <f aca="false">(B389-C389)*Inputs!B2</f>
        <v>0.0097</v>
      </c>
      <c r="E389" s="13" t="n">
        <f aca="false">4*Inputs!B2*Inputs!B4*Inputs!B3/10000</f>
        <v>0.001</v>
      </c>
      <c r="F389" s="13" t="n">
        <f aca="false">Inputs!B2*Inputs!B5/Inputs!B6</f>
        <v>0.000833333333333333</v>
      </c>
      <c r="G389" s="13" t="n">
        <f aca="false">D389-E389-F389</f>
        <v>0.00786666666666667</v>
      </c>
      <c r="H389" s="4" t="n">
        <f aca="false">(1+G389)*H388</f>
        <v>10.0695952596861</v>
      </c>
      <c r="I389" s="4" t="n">
        <f aca="false">MAX(1,H$2:H389)</f>
        <v>10.9729593076711</v>
      </c>
      <c r="J389" s="13" t="n">
        <f aca="false">H389/I389-1</f>
        <v>-0.0823263827610716</v>
      </c>
      <c r="K389" s="13" t="n">
        <f aca="false">Data!L389</f>
        <v>0.0179</v>
      </c>
    </row>
    <row r="390" customFormat="false" ht="30" hidden="false" customHeight="true" outlineLevel="0" collapsed="false">
      <c r="A390" s="5" t="str">
        <f aca="false">Data!A390</f>
        <v>1995-05</v>
      </c>
      <c r="B390" s="12" t="n">
        <f aca="false">Data!K390</f>
        <v>0.0264</v>
      </c>
      <c r="C390" s="12" t="n">
        <f aca="false">Data!B390</f>
        <v>0.0284</v>
      </c>
      <c r="D390" s="12" t="n">
        <f aca="false">(B390-C390)*Inputs!B2</f>
        <v>-0.001</v>
      </c>
      <c r="E390" s="12" t="n">
        <f aca="false">4*Inputs!B2*Inputs!B4*Inputs!B3/10000</f>
        <v>0.001</v>
      </c>
      <c r="F390" s="12" t="n">
        <f aca="false">Inputs!B2*Inputs!B5/Inputs!B6</f>
        <v>0.000833333333333333</v>
      </c>
      <c r="G390" s="12" t="n">
        <f aca="false">D390-E390-F390</f>
        <v>-0.00283333333333333</v>
      </c>
      <c r="H390" s="5" t="n">
        <f aca="false">(1+G390)*H389</f>
        <v>10.0410647397836</v>
      </c>
      <c r="I390" s="5" t="n">
        <f aca="false">MAX(1,H$2:H390)</f>
        <v>10.9729593076711</v>
      </c>
      <c r="J390" s="12" t="n">
        <f aca="false">H390/I390-1</f>
        <v>-0.0849264580099154</v>
      </c>
      <c r="K390" s="12" t="n">
        <f aca="false">Data!L390</f>
        <v>-0.0054</v>
      </c>
    </row>
    <row r="391" customFormat="false" ht="30" hidden="false" customHeight="true" outlineLevel="0" collapsed="false">
      <c r="A391" s="4" t="str">
        <f aca="false">Data!A391</f>
        <v>1995-06</v>
      </c>
      <c r="B391" s="13" t="n">
        <f aca="false">Data!K391</f>
        <v>0.0721</v>
      </c>
      <c r="C391" s="13" t="n">
        <f aca="false">Data!B391</f>
        <v>0.0698</v>
      </c>
      <c r="D391" s="13" t="n">
        <f aca="false">(B391-C391)*Inputs!B2</f>
        <v>0.00115</v>
      </c>
      <c r="E391" s="13" t="n">
        <f aca="false">4*Inputs!B2*Inputs!B4*Inputs!B3/10000</f>
        <v>0.001</v>
      </c>
      <c r="F391" s="13" t="n">
        <f aca="false">Inputs!B2*Inputs!B5/Inputs!B6</f>
        <v>0.000833333333333333</v>
      </c>
      <c r="G391" s="13" t="n">
        <f aca="false">D391-E391-F391</f>
        <v>-0.000683333333333335</v>
      </c>
      <c r="H391" s="4" t="n">
        <f aca="false">(1+G391)*H390</f>
        <v>10.0342033455448</v>
      </c>
      <c r="I391" s="4" t="n">
        <f aca="false">MAX(1,H$2:H391)</f>
        <v>10.9729593076711</v>
      </c>
      <c r="J391" s="13" t="n">
        <f aca="false">H391/I391-1</f>
        <v>-0.0855517582636086</v>
      </c>
      <c r="K391" s="13" t="n">
        <f aca="false">Data!L391</f>
        <v>0.0302</v>
      </c>
    </row>
    <row r="392" customFormat="false" ht="30" hidden="false" customHeight="true" outlineLevel="0" collapsed="false">
      <c r="A392" s="5" t="str">
        <f aca="false">Data!A392</f>
        <v>1995-07</v>
      </c>
      <c r="B392" s="12" t="n">
        <f aca="false">Data!K392</f>
        <v>0.0653</v>
      </c>
      <c r="C392" s="12" t="n">
        <f aca="false">Data!B392</f>
        <v>0.0586</v>
      </c>
      <c r="D392" s="12" t="n">
        <f aca="false">(B392-C392)*Inputs!B2</f>
        <v>0.00334999999999999</v>
      </c>
      <c r="E392" s="12" t="n">
        <f aca="false">4*Inputs!B2*Inputs!B4*Inputs!B3/10000</f>
        <v>0.001</v>
      </c>
      <c r="F392" s="12" t="n">
        <f aca="false">Inputs!B2*Inputs!B5/Inputs!B6</f>
        <v>0.000833333333333333</v>
      </c>
      <c r="G392" s="12" t="n">
        <f aca="false">D392-E392-F392</f>
        <v>0.00151666666666666</v>
      </c>
      <c r="H392" s="5" t="n">
        <f aca="false">(1+G392)*H391</f>
        <v>10.0494218872855</v>
      </c>
      <c r="I392" s="5" t="n">
        <f aca="false">MAX(1,H$2:H392)</f>
        <v>10.9729593076711</v>
      </c>
      <c r="J392" s="12" t="n">
        <f aca="false">H392/I392-1</f>
        <v>-0.0841648450969751</v>
      </c>
      <c r="K392" s="12" t="n">
        <f aca="false">Data!L392</f>
        <v>0.0254</v>
      </c>
    </row>
    <row r="393" customFormat="false" ht="30" hidden="false" customHeight="true" outlineLevel="0" collapsed="false">
      <c r="A393" s="4" t="str">
        <f aca="false">Data!A393</f>
        <v>1995-08</v>
      </c>
      <c r="B393" s="13" t="n">
        <f aca="false">Data!K393</f>
        <v>0.0067</v>
      </c>
      <c r="C393" s="13" t="n">
        <f aca="false">Data!B393</f>
        <v>0.0122</v>
      </c>
      <c r="D393" s="13" t="n">
        <f aca="false">(B393-C393)*Inputs!B2</f>
        <v>-0.00275</v>
      </c>
      <c r="E393" s="13" t="n">
        <f aca="false">4*Inputs!B2*Inputs!B4*Inputs!B3/10000</f>
        <v>0.001</v>
      </c>
      <c r="F393" s="13" t="n">
        <f aca="false">Inputs!B2*Inputs!B5/Inputs!B6</f>
        <v>0.000833333333333333</v>
      </c>
      <c r="G393" s="13" t="n">
        <f aca="false">D393-E393-F393</f>
        <v>-0.00458333333333333</v>
      </c>
      <c r="H393" s="4" t="n">
        <f aca="false">(1+G393)*H392</f>
        <v>10.0033620369688</v>
      </c>
      <c r="I393" s="4" t="n">
        <f aca="false">MAX(1,H$2:H393)</f>
        <v>10.9729593076711</v>
      </c>
      <c r="J393" s="13" t="n">
        <f aca="false">H393/I393-1</f>
        <v>-0.0883624228902806</v>
      </c>
      <c r="K393" s="13" t="n">
        <f aca="false">Data!L393</f>
        <v>0.0014</v>
      </c>
    </row>
    <row r="394" customFormat="false" ht="30" hidden="false" customHeight="true" outlineLevel="0" collapsed="false">
      <c r="A394" s="5" t="str">
        <f aca="false">Data!A394</f>
        <v>1995-09</v>
      </c>
      <c r="B394" s="12" t="n">
        <f aca="false">Data!K394</f>
        <v>0.033</v>
      </c>
      <c r="C394" s="12" t="n">
        <f aca="false">Data!B394</f>
        <v>-0.0162</v>
      </c>
      <c r="D394" s="12" t="n">
        <f aca="false">(B394-C394)*Inputs!B2</f>
        <v>0.0246</v>
      </c>
      <c r="E394" s="12" t="n">
        <f aca="false">4*Inputs!B2*Inputs!B4*Inputs!B3/10000</f>
        <v>0.001</v>
      </c>
      <c r="F394" s="12" t="n">
        <f aca="false">Inputs!B2*Inputs!B5/Inputs!B6</f>
        <v>0.000833333333333333</v>
      </c>
      <c r="G394" s="12" t="n">
        <f aca="false">D394-E394-F394</f>
        <v>0.0227666666666667</v>
      </c>
      <c r="H394" s="5" t="n">
        <f aca="false">(1+G394)*H393</f>
        <v>10.2311052460105</v>
      </c>
      <c r="I394" s="5" t="n">
        <f aca="false">MAX(1,H$2:H394)</f>
        <v>10.9729593076711</v>
      </c>
      <c r="J394" s="12" t="n">
        <f aca="false">H394/I394-1</f>
        <v>-0.0676074740514161</v>
      </c>
      <c r="K394" s="12" t="n">
        <f aca="false">Data!L394</f>
        <v>0.0287</v>
      </c>
    </row>
    <row r="395" customFormat="false" ht="30" hidden="false" customHeight="true" outlineLevel="0" collapsed="false">
      <c r="A395" s="4" t="str">
        <f aca="false">Data!A395</f>
        <v>1995-10</v>
      </c>
      <c r="B395" s="13" t="n">
        <f aca="false">Data!K395</f>
        <v>-0.0028</v>
      </c>
      <c r="C395" s="13" t="n">
        <f aca="false">Data!B395</f>
        <v>-0.0903</v>
      </c>
      <c r="D395" s="13" t="n">
        <f aca="false">(B395-C395)*Inputs!B2</f>
        <v>0.04375</v>
      </c>
      <c r="E395" s="13" t="n">
        <f aca="false">4*Inputs!B2*Inputs!B4*Inputs!B3/10000</f>
        <v>0.001</v>
      </c>
      <c r="F395" s="13" t="n">
        <f aca="false">Inputs!B2*Inputs!B5/Inputs!B6</f>
        <v>0.000833333333333333</v>
      </c>
      <c r="G395" s="13" t="n">
        <f aca="false">D395-E395-F395</f>
        <v>0.0419166666666667</v>
      </c>
      <c r="H395" s="4" t="n">
        <f aca="false">(1+G395)*H394</f>
        <v>10.6599590742391</v>
      </c>
      <c r="I395" s="4" t="n">
        <f aca="false">MAX(1,H$2:H395)</f>
        <v>10.9729593076711</v>
      </c>
      <c r="J395" s="13" t="n">
        <f aca="false">H395/I395-1</f>
        <v>-0.0285246873387381</v>
      </c>
      <c r="K395" s="13" t="n">
        <f aca="false">Data!L395</f>
        <v>0.0418</v>
      </c>
    </row>
    <row r="396" customFormat="false" ht="30" hidden="false" customHeight="true" outlineLevel="0" collapsed="false">
      <c r="A396" s="5" t="str">
        <f aca="false">Data!A396</f>
        <v>1995-11</v>
      </c>
      <c r="B396" s="12" t="n">
        <f aca="false">Data!K396</f>
        <v>0.0127</v>
      </c>
      <c r="C396" s="12" t="n">
        <f aca="false">Data!B396</f>
        <v>0.0497</v>
      </c>
      <c r="D396" s="12" t="n">
        <f aca="false">(B396-C396)*Inputs!B2</f>
        <v>-0.0185</v>
      </c>
      <c r="E396" s="12" t="n">
        <f aca="false">4*Inputs!B2*Inputs!B4*Inputs!B3/10000</f>
        <v>0.001</v>
      </c>
      <c r="F396" s="12" t="n">
        <f aca="false">Inputs!B2*Inputs!B5/Inputs!B6</f>
        <v>0.000833333333333333</v>
      </c>
      <c r="G396" s="12" t="n">
        <f aca="false">D396-E396-F396</f>
        <v>-0.0203333333333333</v>
      </c>
      <c r="H396" s="5" t="n">
        <f aca="false">(1+G396)*H395</f>
        <v>10.4432065730629</v>
      </c>
      <c r="I396" s="5" t="n">
        <f aca="false">MAX(1,H$2:H396)</f>
        <v>10.9729593076711</v>
      </c>
      <c r="J396" s="12" t="n">
        <f aca="false">H396/I396-1</f>
        <v>-0.0482780186961836</v>
      </c>
      <c r="K396" s="12" t="n">
        <f aca="false">Data!L396</f>
        <v>-0.0072</v>
      </c>
    </row>
    <row r="397" customFormat="false" ht="30" hidden="false" customHeight="true" outlineLevel="0" collapsed="false">
      <c r="A397" s="4" t="str">
        <f aca="false">Data!A397</f>
        <v>1995-12</v>
      </c>
      <c r="B397" s="13" t="n">
        <f aca="false">Data!K397</f>
        <v>-0.0129</v>
      </c>
      <c r="C397" s="13" t="n">
        <f aca="false">Data!B397</f>
        <v>-0.0249</v>
      </c>
      <c r="D397" s="13" t="n">
        <f aca="false">(B397-C397)*Inputs!B2</f>
        <v>0.006</v>
      </c>
      <c r="E397" s="13" t="n">
        <f aca="false">4*Inputs!B2*Inputs!B4*Inputs!B3/10000</f>
        <v>0.001</v>
      </c>
      <c r="F397" s="13" t="n">
        <f aca="false">Inputs!B2*Inputs!B5/Inputs!B6</f>
        <v>0.000833333333333333</v>
      </c>
      <c r="G397" s="13" t="n">
        <f aca="false">D397-E397-F397</f>
        <v>0.00416666666666667</v>
      </c>
      <c r="H397" s="4" t="n">
        <f aca="false">(1+G397)*H396</f>
        <v>10.486719933784</v>
      </c>
      <c r="I397" s="4" t="n">
        <f aca="false">MAX(1,H$2:H397)</f>
        <v>10.9729593076711</v>
      </c>
      <c r="J397" s="13" t="n">
        <f aca="false">H397/I397-1</f>
        <v>-0.0443125104407511</v>
      </c>
      <c r="K397" s="13" t="n">
        <f aca="false">Data!L397</f>
        <v>0.025</v>
      </c>
    </row>
    <row r="398" customFormat="false" ht="30" hidden="false" customHeight="true" outlineLevel="0" collapsed="false">
      <c r="A398" s="5" t="str">
        <f aca="false">Data!A398</f>
        <v>1996-01</v>
      </c>
      <c r="B398" s="12" t="n">
        <f aca="false">Data!K398</f>
        <v>0.0267</v>
      </c>
      <c r="C398" s="12" t="n">
        <f aca="false">Data!B398</f>
        <v>0.0019</v>
      </c>
      <c r="D398" s="12" t="n">
        <f aca="false">(B398-C398)*Inputs!B2</f>
        <v>0.0124</v>
      </c>
      <c r="E398" s="12" t="n">
        <f aca="false">4*Inputs!B2*Inputs!B4*Inputs!B3/10000</f>
        <v>0.001</v>
      </c>
      <c r="F398" s="12" t="n">
        <f aca="false">Inputs!B2*Inputs!B5/Inputs!B6</f>
        <v>0.000833333333333333</v>
      </c>
      <c r="G398" s="12" t="n">
        <f aca="false">D398-E398-F398</f>
        <v>0.0105666666666667</v>
      </c>
      <c r="H398" s="5" t="n">
        <f aca="false">(1+G398)*H397</f>
        <v>10.597529607751</v>
      </c>
      <c r="I398" s="5" t="n">
        <f aca="false">MAX(1,H$2:H398)</f>
        <v>10.9729593076711</v>
      </c>
      <c r="J398" s="12" t="n">
        <f aca="false">H398/I398-1</f>
        <v>-0.0342140793010752</v>
      </c>
      <c r="K398" s="12" t="n">
        <f aca="false">Data!L398</f>
        <v>0.0055</v>
      </c>
    </row>
    <row r="399" customFormat="false" ht="30" hidden="false" customHeight="true" outlineLevel="0" collapsed="false">
      <c r="A399" s="4" t="str">
        <f aca="false">Data!A399</f>
        <v>1996-02</v>
      </c>
      <c r="B399" s="13" t="n">
        <f aca="false">Data!K399</f>
        <v>0.0352</v>
      </c>
      <c r="C399" s="13" t="n">
        <f aca="false">Data!B399</f>
        <v>0.0432</v>
      </c>
      <c r="D399" s="13" t="n">
        <f aca="false">(B399-C399)*Inputs!B2</f>
        <v>-0.004</v>
      </c>
      <c r="E399" s="13" t="n">
        <f aca="false">4*Inputs!B2*Inputs!B4*Inputs!B3/10000</f>
        <v>0.001</v>
      </c>
      <c r="F399" s="13" t="n">
        <f aca="false">Inputs!B2*Inputs!B5/Inputs!B6</f>
        <v>0.000833333333333333</v>
      </c>
      <c r="G399" s="13" t="n">
        <f aca="false">D399-E399-F399</f>
        <v>-0.00583333333333333</v>
      </c>
      <c r="H399" s="4" t="n">
        <f aca="false">(1+G399)*H398</f>
        <v>10.5357106850391</v>
      </c>
      <c r="I399" s="4" t="n">
        <f aca="false">MAX(1,H$2:H399)</f>
        <v>10.9729593076711</v>
      </c>
      <c r="J399" s="13" t="n">
        <f aca="false">H399/I399-1</f>
        <v>-0.0398478305051523</v>
      </c>
      <c r="K399" s="13" t="n">
        <f aca="false">Data!L399</f>
        <v>0.0057</v>
      </c>
    </row>
    <row r="400" customFormat="false" ht="30" hidden="false" customHeight="true" outlineLevel="0" collapsed="false">
      <c r="A400" s="5" t="str">
        <f aca="false">Data!A400</f>
        <v>1996-03</v>
      </c>
      <c r="B400" s="12" t="n">
        <f aca="false">Data!K400</f>
        <v>0.0044</v>
      </c>
      <c r="C400" s="12" t="n">
        <f aca="false">Data!B400</f>
        <v>0.0439</v>
      </c>
      <c r="D400" s="12" t="n">
        <f aca="false">(B400-C400)*Inputs!B2</f>
        <v>-0.01975</v>
      </c>
      <c r="E400" s="12" t="n">
        <f aca="false">4*Inputs!B2*Inputs!B4*Inputs!B3/10000</f>
        <v>0.001</v>
      </c>
      <c r="F400" s="12" t="n">
        <f aca="false">Inputs!B2*Inputs!B5/Inputs!B6</f>
        <v>0.000833333333333333</v>
      </c>
      <c r="G400" s="12" t="n">
        <f aca="false">D400-E400-F400</f>
        <v>-0.0215833333333333</v>
      </c>
      <c r="H400" s="5" t="n">
        <f aca="false">(1+G400)*H399</f>
        <v>10.3083149294203</v>
      </c>
      <c r="I400" s="5" t="n">
        <f aca="false">MAX(1,H$2:H400)</f>
        <v>10.9729593076711</v>
      </c>
      <c r="J400" s="12" t="n">
        <f aca="false">H400/I400-1</f>
        <v>-0.0605711148300827</v>
      </c>
      <c r="K400" s="12" t="n">
        <f aca="false">Data!L400</f>
        <v>-0.0185</v>
      </c>
    </row>
    <row r="401" customFormat="false" ht="30" hidden="false" customHeight="true" outlineLevel="0" collapsed="false">
      <c r="A401" s="4" t="str">
        <f aca="false">Data!A401</f>
        <v>1996-04</v>
      </c>
      <c r="B401" s="13" t="n">
        <f aca="false">Data!K401</f>
        <v>0.0617</v>
      </c>
      <c r="C401" s="13" t="n">
        <f aca="false">Data!B401</f>
        <v>0.1018</v>
      </c>
      <c r="D401" s="13" t="n">
        <f aca="false">(B401-C401)*Inputs!B2</f>
        <v>-0.02005</v>
      </c>
      <c r="E401" s="13" t="n">
        <f aca="false">4*Inputs!B2*Inputs!B4*Inputs!B3/10000</f>
        <v>0.001</v>
      </c>
      <c r="F401" s="13" t="n">
        <f aca="false">Inputs!B2*Inputs!B5/Inputs!B6</f>
        <v>0.000833333333333333</v>
      </c>
      <c r="G401" s="13" t="n">
        <f aca="false">D401-E401-F401</f>
        <v>-0.0218833333333333</v>
      </c>
      <c r="H401" s="4" t="n">
        <f aca="false">(1+G401)*H400</f>
        <v>10.0827346377148</v>
      </c>
      <c r="I401" s="4" t="n">
        <f aca="false">MAX(1,H$2:H401)</f>
        <v>10.9729593076711</v>
      </c>
      <c r="J401" s="13" t="n">
        <f aca="false">H401/I401-1</f>
        <v>-0.0811289502672178</v>
      </c>
      <c r="K401" s="13" t="n">
        <f aca="false">Data!L401</f>
        <v>-0.0096</v>
      </c>
    </row>
    <row r="402" customFormat="false" ht="30" hidden="false" customHeight="true" outlineLevel="0" collapsed="false">
      <c r="A402" s="5" t="str">
        <f aca="false">Data!A402</f>
        <v>1996-05</v>
      </c>
      <c r="B402" s="12" t="n">
        <f aca="false">Data!K402</f>
        <v>0.0504</v>
      </c>
      <c r="C402" s="12" t="n">
        <f aca="false">Data!B402</f>
        <v>0.01</v>
      </c>
      <c r="D402" s="12" t="n">
        <f aca="false">(B402-C402)*Inputs!B2</f>
        <v>0.0202</v>
      </c>
      <c r="E402" s="12" t="n">
        <f aca="false">4*Inputs!B2*Inputs!B4*Inputs!B3/10000</f>
        <v>0.001</v>
      </c>
      <c r="F402" s="12" t="n">
        <f aca="false">Inputs!B2*Inputs!B5/Inputs!B6</f>
        <v>0.000833333333333333</v>
      </c>
      <c r="G402" s="12" t="n">
        <f aca="false">D402-E402-F402</f>
        <v>0.0183666666666667</v>
      </c>
      <c r="H402" s="5" t="n">
        <f aca="false">(1+G402)*H401</f>
        <v>10.2679208638942</v>
      </c>
      <c r="I402" s="5" t="n">
        <f aca="false">MAX(1,H$2:H402)</f>
        <v>10.9729593076711</v>
      </c>
      <c r="J402" s="12" t="n">
        <f aca="false">H402/I402-1</f>
        <v>-0.0642523519871259</v>
      </c>
      <c r="K402" s="12" t="n">
        <f aca="false">Data!L402</f>
        <v>0.016</v>
      </c>
    </row>
    <row r="403" customFormat="false" ht="30" hidden="false" customHeight="true" outlineLevel="0" collapsed="false">
      <c r="A403" s="4" t="str">
        <f aca="false">Data!A403</f>
        <v>1996-06</v>
      </c>
      <c r="B403" s="13" t="n">
        <f aca="false">Data!K403</f>
        <v>-0.0406</v>
      </c>
      <c r="C403" s="13" t="n">
        <f aca="false">Data!B403</f>
        <v>-0.0687</v>
      </c>
      <c r="D403" s="13" t="n">
        <f aca="false">(B403-C403)*Inputs!B2</f>
        <v>0.01405</v>
      </c>
      <c r="E403" s="13" t="n">
        <f aca="false">4*Inputs!B2*Inputs!B4*Inputs!B3/10000</f>
        <v>0.001</v>
      </c>
      <c r="F403" s="13" t="n">
        <f aca="false">Inputs!B2*Inputs!B5/Inputs!B6</f>
        <v>0.000833333333333333</v>
      </c>
      <c r="G403" s="13" t="n">
        <f aca="false">D403-E403-F403</f>
        <v>0.0122166666666667</v>
      </c>
      <c r="H403" s="4" t="n">
        <f aca="false">(1+G403)*H402</f>
        <v>10.3933606304481</v>
      </c>
      <c r="I403" s="4" t="n">
        <f aca="false">MAX(1,H$2:H403)</f>
        <v>10.9729593076711</v>
      </c>
      <c r="J403" s="13" t="n">
        <f aca="false">H403/I403-1</f>
        <v>-0.0528206348872351</v>
      </c>
      <c r="K403" s="13" t="n">
        <f aca="false">Data!L403</f>
        <v>0.01</v>
      </c>
    </row>
    <row r="404" customFormat="false" ht="30" hidden="false" customHeight="true" outlineLevel="0" collapsed="false">
      <c r="A404" s="5" t="str">
        <f aca="false">Data!A404</f>
        <v>1996-07</v>
      </c>
      <c r="B404" s="12" t="n">
        <f aca="false">Data!K404</f>
        <v>-0.1068</v>
      </c>
      <c r="C404" s="12" t="n">
        <f aca="false">Data!B404</f>
        <v>-0.1113</v>
      </c>
      <c r="D404" s="12" t="n">
        <f aca="false">(B404-C404)*Inputs!B2</f>
        <v>0.00225</v>
      </c>
      <c r="E404" s="12" t="n">
        <f aca="false">4*Inputs!B2*Inputs!B4*Inputs!B3/10000</f>
        <v>0.001</v>
      </c>
      <c r="F404" s="12" t="n">
        <f aca="false">Inputs!B2*Inputs!B5/Inputs!B6</f>
        <v>0.000833333333333333</v>
      </c>
      <c r="G404" s="12" t="n">
        <f aca="false">D404-E404-F404</f>
        <v>0.000416666666666662</v>
      </c>
      <c r="H404" s="5" t="n">
        <f aca="false">(1+G404)*H403</f>
        <v>10.3976911973775</v>
      </c>
      <c r="I404" s="5" t="n">
        <f aca="false">MAX(1,H$2:H404)</f>
        <v>10.9729593076711</v>
      </c>
      <c r="J404" s="12" t="n">
        <f aca="false">H404/I404-1</f>
        <v>-0.052425976818438</v>
      </c>
      <c r="K404" s="12" t="n">
        <f aca="false">Data!L404</f>
        <v>-0.0015</v>
      </c>
    </row>
    <row r="405" customFormat="false" ht="30" hidden="false" customHeight="true" outlineLevel="0" collapsed="false">
      <c r="A405" s="4" t="str">
        <f aca="false">Data!A405</f>
        <v>1996-08</v>
      </c>
      <c r="B405" s="13" t="n">
        <f aca="false">Data!K405</f>
        <v>0.0579</v>
      </c>
      <c r="C405" s="13" t="n">
        <f aca="false">Data!B405</f>
        <v>0.0459</v>
      </c>
      <c r="D405" s="13" t="n">
        <f aca="false">(B405-C405)*Inputs!B2</f>
        <v>0.006</v>
      </c>
      <c r="E405" s="13" t="n">
        <f aca="false">4*Inputs!B2*Inputs!B4*Inputs!B3/10000</f>
        <v>0.001</v>
      </c>
      <c r="F405" s="13" t="n">
        <f aca="false">Inputs!B2*Inputs!B5/Inputs!B6</f>
        <v>0.000833333333333333</v>
      </c>
      <c r="G405" s="13" t="n">
        <f aca="false">D405-E405-F405</f>
        <v>0.00416666666666667</v>
      </c>
      <c r="H405" s="4" t="n">
        <f aca="false">(1+G405)*H404</f>
        <v>10.4410149106999</v>
      </c>
      <c r="I405" s="4" t="n">
        <f aca="false">MAX(1,H$2:H405)</f>
        <v>10.9729593076711</v>
      </c>
      <c r="J405" s="13" t="n">
        <f aca="false">H405/I405-1</f>
        <v>-0.0484777517218481</v>
      </c>
      <c r="K405" s="13" t="n">
        <f aca="false">Data!L405</f>
        <v>-0.0001</v>
      </c>
    </row>
    <row r="406" customFormat="false" ht="30" hidden="false" customHeight="true" outlineLevel="0" collapsed="false">
      <c r="A406" s="5" t="str">
        <f aca="false">Data!A406</f>
        <v>1996-09</v>
      </c>
      <c r="B406" s="12" t="n">
        <f aca="false">Data!K406</f>
        <v>0.0801</v>
      </c>
      <c r="C406" s="12" t="n">
        <f aca="false">Data!B406</f>
        <v>0.0515</v>
      </c>
      <c r="D406" s="12" t="n">
        <f aca="false">(B406-C406)*Inputs!B2</f>
        <v>0.0143</v>
      </c>
      <c r="E406" s="12" t="n">
        <f aca="false">4*Inputs!B2*Inputs!B4*Inputs!B3/10000</f>
        <v>0.001</v>
      </c>
      <c r="F406" s="12" t="n">
        <f aca="false">Inputs!B2*Inputs!B5/Inputs!B6</f>
        <v>0.000833333333333333</v>
      </c>
      <c r="G406" s="12" t="n">
        <f aca="false">D406-E406-F406</f>
        <v>0.0124666666666667</v>
      </c>
      <c r="H406" s="5" t="n">
        <f aca="false">(1+G406)*H405</f>
        <v>10.5711795632533</v>
      </c>
      <c r="I406" s="5" t="n">
        <f aca="false">MAX(1,H$2:H406)</f>
        <v>10.9729593076711</v>
      </c>
      <c r="J406" s="12" t="n">
        <f aca="false">H406/I406-1</f>
        <v>-0.0366154410266472</v>
      </c>
      <c r="K406" s="12" t="n">
        <f aca="false">Data!L406</f>
        <v>0.0266</v>
      </c>
    </row>
    <row r="407" customFormat="false" ht="30" hidden="false" customHeight="true" outlineLevel="0" collapsed="false">
      <c r="A407" s="4" t="str">
        <f aca="false">Data!A407</f>
        <v>1996-10</v>
      </c>
      <c r="B407" s="13" t="n">
        <f aca="false">Data!K407</f>
        <v>-0.0104</v>
      </c>
      <c r="C407" s="13" t="n">
        <f aca="false">Data!B407</f>
        <v>-0.0784</v>
      </c>
      <c r="D407" s="13" t="n">
        <f aca="false">(B407-C407)*Inputs!B2</f>
        <v>0.034</v>
      </c>
      <c r="E407" s="13" t="n">
        <f aca="false">4*Inputs!B2*Inputs!B4*Inputs!B3/10000</f>
        <v>0.001</v>
      </c>
      <c r="F407" s="13" t="n">
        <f aca="false">Inputs!B2*Inputs!B5/Inputs!B6</f>
        <v>0.000833333333333333</v>
      </c>
      <c r="G407" s="13" t="n">
        <f aca="false">D407-E407-F407</f>
        <v>0.0321666666666667</v>
      </c>
      <c r="H407" s="4" t="n">
        <f aca="false">(1+G407)*H406</f>
        <v>10.9112191725379</v>
      </c>
      <c r="I407" s="4" t="n">
        <f aca="false">MAX(1,H$2:H407)</f>
        <v>10.9729593076711</v>
      </c>
      <c r="J407" s="13" t="n">
        <f aca="false">H407/I407-1</f>
        <v>-0.00562657104633768</v>
      </c>
      <c r="K407" s="13" t="n">
        <f aca="false">Data!L407</f>
        <v>0.0379</v>
      </c>
    </row>
    <row r="408" customFormat="false" ht="30" hidden="false" customHeight="true" outlineLevel="0" collapsed="false">
      <c r="A408" s="5" t="str">
        <f aca="false">Data!A408</f>
        <v>1996-11</v>
      </c>
      <c r="B408" s="12" t="n">
        <f aca="false">Data!K408</f>
        <v>0.0162</v>
      </c>
      <c r="C408" s="12" t="n">
        <f aca="false">Data!B408</f>
        <v>0.1188</v>
      </c>
      <c r="D408" s="12" t="n">
        <f aca="false">(B408-C408)*Inputs!B2</f>
        <v>-0.0513</v>
      </c>
      <c r="E408" s="12" t="n">
        <f aca="false">4*Inputs!B2*Inputs!B4*Inputs!B3/10000</f>
        <v>0.001</v>
      </c>
      <c r="F408" s="12" t="n">
        <f aca="false">Inputs!B2*Inputs!B5/Inputs!B6</f>
        <v>0.000833333333333333</v>
      </c>
      <c r="G408" s="12" t="n">
        <f aca="false">D408-E408-F408</f>
        <v>-0.0531333333333333</v>
      </c>
      <c r="H408" s="5" t="n">
        <f aca="false">(1+G408)*H407</f>
        <v>10.3314697271704</v>
      </c>
      <c r="I408" s="5" t="n">
        <f aca="false">MAX(1,H$2:H408)</f>
        <v>10.9729593076711</v>
      </c>
      <c r="J408" s="12" t="n">
        <f aca="false">H408/I408-1</f>
        <v>-0.0584609459047424</v>
      </c>
      <c r="K408" s="12" t="n">
        <f aca="false">Data!L408</f>
        <v>-0.0234</v>
      </c>
    </row>
    <row r="409" customFormat="false" ht="30" hidden="false" customHeight="true" outlineLevel="0" collapsed="false">
      <c r="A409" s="4" t="str">
        <f aca="false">Data!A409</f>
        <v>1996-12</v>
      </c>
      <c r="B409" s="13" t="n">
        <f aca="false">Data!K409</f>
        <v>0.0083</v>
      </c>
      <c r="C409" s="13" t="n">
        <f aca="false">Data!B409</f>
        <v>0.0072</v>
      </c>
      <c r="D409" s="13" t="n">
        <f aca="false">(B409-C409)*Inputs!B2</f>
        <v>0.00055</v>
      </c>
      <c r="E409" s="13" t="n">
        <f aca="false">4*Inputs!B2*Inputs!B4*Inputs!B3/10000</f>
        <v>0.001</v>
      </c>
      <c r="F409" s="13" t="n">
        <f aca="false">Inputs!B2*Inputs!B5/Inputs!B6</f>
        <v>0.000833333333333333</v>
      </c>
      <c r="G409" s="13" t="n">
        <f aca="false">D409-E409-F409</f>
        <v>-0.00128333333333333</v>
      </c>
      <c r="H409" s="4" t="n">
        <f aca="false">(1+G409)*H408</f>
        <v>10.3182110076872</v>
      </c>
      <c r="I409" s="4" t="n">
        <f aca="false">MAX(1,H$2:H409)</f>
        <v>10.9729593076711</v>
      </c>
      <c r="J409" s="13" t="n">
        <f aca="false">H409/I409-1</f>
        <v>-0.0596692543574979</v>
      </c>
      <c r="K409" s="13" t="n">
        <f aca="false">Data!L409</f>
        <v>0.0058</v>
      </c>
    </row>
    <row r="410" customFormat="false" ht="30" hidden="false" customHeight="true" outlineLevel="0" collapsed="false">
      <c r="A410" s="5" t="str">
        <f aca="false">Data!A410</f>
        <v>1997-01</v>
      </c>
      <c r="B410" s="12" t="n">
        <f aca="false">Data!K410</f>
        <v>0.0902</v>
      </c>
      <c r="C410" s="12" t="n">
        <f aca="false">Data!B410</f>
        <v>0.0309</v>
      </c>
      <c r="D410" s="12" t="n">
        <f aca="false">(B410-C410)*Inputs!B2</f>
        <v>0.02965</v>
      </c>
      <c r="E410" s="12" t="n">
        <f aca="false">4*Inputs!B2*Inputs!B4*Inputs!B3/10000</f>
        <v>0.001</v>
      </c>
      <c r="F410" s="12" t="n">
        <f aca="false">Inputs!B2*Inputs!B5/Inputs!B6</f>
        <v>0.000833333333333333</v>
      </c>
      <c r="G410" s="12" t="n">
        <f aca="false">D410-E410-F410</f>
        <v>0.0278166666666667</v>
      </c>
      <c r="H410" s="5" t="n">
        <f aca="false">(1+G410)*H409</f>
        <v>10.6052292438843</v>
      </c>
      <c r="I410" s="5" t="n">
        <f aca="false">MAX(1,H$2:H410)</f>
        <v>10.9729593076711</v>
      </c>
      <c r="J410" s="12" t="n">
        <f aca="false">H410/I410-1</f>
        <v>-0.0335123874495424</v>
      </c>
      <c r="K410" s="12" t="n">
        <f aca="false">Data!L410</f>
        <v>0.0192</v>
      </c>
    </row>
    <row r="411" customFormat="false" ht="30" hidden="false" customHeight="true" outlineLevel="0" collapsed="false">
      <c r="A411" s="4" t="str">
        <f aca="false">Data!A411</f>
        <v>1997-02</v>
      </c>
      <c r="B411" s="13" t="n">
        <f aca="false">Data!K411</f>
        <v>-0.0681</v>
      </c>
      <c r="C411" s="13" t="n">
        <f aca="false">Data!B411</f>
        <v>-0.0295</v>
      </c>
      <c r="D411" s="13" t="n">
        <f aca="false">(B411-C411)*Inputs!B2</f>
        <v>-0.0193</v>
      </c>
      <c r="E411" s="13" t="n">
        <f aca="false">4*Inputs!B2*Inputs!B4*Inputs!B3/10000</f>
        <v>0.001</v>
      </c>
      <c r="F411" s="13" t="n">
        <f aca="false">Inputs!B2*Inputs!B5/Inputs!B6</f>
        <v>0.000833333333333333</v>
      </c>
      <c r="G411" s="13" t="n">
        <f aca="false">D411-E411-F411</f>
        <v>-0.0211333333333333</v>
      </c>
      <c r="H411" s="4" t="n">
        <f aca="false">(1+G411)*H410</f>
        <v>10.3811053991969</v>
      </c>
      <c r="I411" s="4" t="n">
        <f aca="false">MAX(1,H$2:H411)</f>
        <v>10.9729593076711</v>
      </c>
      <c r="J411" s="13" t="n">
        <f aca="false">H411/I411-1</f>
        <v>-0.0539374923281087</v>
      </c>
      <c r="K411" s="13" t="n">
        <f aca="false">Data!L411</f>
        <v>-0.0208</v>
      </c>
    </row>
    <row r="412" customFormat="false" ht="30" hidden="false" customHeight="true" outlineLevel="0" collapsed="false">
      <c r="A412" s="5" t="str">
        <f aca="false">Data!A412</f>
        <v>1997-03</v>
      </c>
      <c r="B412" s="12" t="n">
        <f aca="false">Data!K412</f>
        <v>-0.0444</v>
      </c>
      <c r="C412" s="12" t="n">
        <f aca="false">Data!B412</f>
        <v>-0.0763</v>
      </c>
      <c r="D412" s="12" t="n">
        <f aca="false">(B412-C412)*Inputs!B2</f>
        <v>0.01595</v>
      </c>
      <c r="E412" s="12" t="n">
        <f aca="false">4*Inputs!B2*Inputs!B4*Inputs!B3/10000</f>
        <v>0.001</v>
      </c>
      <c r="F412" s="12" t="n">
        <f aca="false">Inputs!B2*Inputs!B5/Inputs!B6</f>
        <v>0.000833333333333333</v>
      </c>
      <c r="G412" s="12" t="n">
        <f aca="false">D412-E412-F412</f>
        <v>0.0141166666666667</v>
      </c>
      <c r="H412" s="5" t="n">
        <f aca="false">(1+G412)*H411</f>
        <v>10.5276520037489</v>
      </c>
      <c r="I412" s="5" t="n">
        <f aca="false">MAX(1,H$2:H412)</f>
        <v>10.9729593076711</v>
      </c>
      <c r="J412" s="12" t="n">
        <f aca="false">H412/I412-1</f>
        <v>-0.0405822432614741</v>
      </c>
      <c r="K412" s="12" t="n">
        <f aca="false">Data!L412</f>
        <v>0.009</v>
      </c>
    </row>
    <row r="413" customFormat="false" ht="30" hidden="false" customHeight="true" outlineLevel="0" collapsed="false">
      <c r="A413" s="4" t="str">
        <f aca="false">Data!A413</f>
        <v>1997-04</v>
      </c>
      <c r="B413" s="13" t="n">
        <f aca="false">Data!K413</f>
        <v>0.0892</v>
      </c>
      <c r="C413" s="13" t="n">
        <f aca="false">Data!B413</f>
        <v>-0.0275</v>
      </c>
      <c r="D413" s="13" t="n">
        <f aca="false">(B413-C413)*Inputs!B2</f>
        <v>0.05835</v>
      </c>
      <c r="E413" s="13" t="n">
        <f aca="false">4*Inputs!B2*Inputs!B4*Inputs!B3/10000</f>
        <v>0.001</v>
      </c>
      <c r="F413" s="13" t="n">
        <f aca="false">Inputs!B2*Inputs!B5/Inputs!B6</f>
        <v>0.000833333333333333</v>
      </c>
      <c r="G413" s="13" t="n">
        <f aca="false">D413-E413-F413</f>
        <v>0.0565166666666667</v>
      </c>
      <c r="H413" s="4" t="n">
        <f aca="false">(1+G413)*H412</f>
        <v>11.1226398028275</v>
      </c>
      <c r="I413" s="4" t="n">
        <f aca="false">MAX(1,H$2:H413)</f>
        <v>11.1226398028275</v>
      </c>
      <c r="J413" s="13" t="n">
        <f aca="false">H413/I413-1</f>
        <v>0</v>
      </c>
      <c r="K413" s="13" t="n">
        <f aca="false">Data!L413</f>
        <v>0.0484</v>
      </c>
    </row>
    <row r="414" customFormat="false" ht="30" hidden="false" customHeight="true" outlineLevel="0" collapsed="false">
      <c r="A414" s="5" t="str">
        <f aca="false">Data!A414</f>
        <v>1997-05</v>
      </c>
      <c r="B414" s="12" t="n">
        <f aca="false">Data!K414</f>
        <v>0.0607</v>
      </c>
      <c r="C414" s="12" t="n">
        <f aca="false">Data!B414</f>
        <v>0.1741</v>
      </c>
      <c r="D414" s="12" t="n">
        <f aca="false">(B414-C414)*Inputs!B2</f>
        <v>-0.0567</v>
      </c>
      <c r="E414" s="12" t="n">
        <f aca="false">4*Inputs!B2*Inputs!B4*Inputs!B3/10000</f>
        <v>0.001</v>
      </c>
      <c r="F414" s="12" t="n">
        <f aca="false">Inputs!B2*Inputs!B5/Inputs!B6</f>
        <v>0.000833333333333333</v>
      </c>
      <c r="G414" s="12" t="n">
        <f aca="false">D414-E414-F414</f>
        <v>-0.0585333333333333</v>
      </c>
      <c r="H414" s="5" t="n">
        <f aca="false">(1+G414)*H413</f>
        <v>10.471594619702</v>
      </c>
      <c r="I414" s="5" t="n">
        <f aca="false">MAX(1,H$2:H414)</f>
        <v>11.1226398028275</v>
      </c>
      <c r="J414" s="12" t="n">
        <f aca="false">H414/I414-1</f>
        <v>-0.0585333333333333</v>
      </c>
      <c r="K414" s="12" t="n">
        <f aca="false">Data!L414</f>
        <v>-0.052</v>
      </c>
    </row>
    <row r="415" customFormat="false" ht="30" hidden="false" customHeight="true" outlineLevel="0" collapsed="false">
      <c r="A415" s="4" t="str">
        <f aca="false">Data!A415</f>
        <v>1997-06</v>
      </c>
      <c r="B415" s="13" t="n">
        <f aca="false">Data!K415</f>
        <v>0.0451</v>
      </c>
      <c r="C415" s="13" t="n">
        <f aca="false">Data!B415</f>
        <v>0.0144</v>
      </c>
      <c r="D415" s="13" t="n">
        <f aca="false">(B415-C415)*Inputs!B2</f>
        <v>0.01535</v>
      </c>
      <c r="E415" s="13" t="n">
        <f aca="false">4*Inputs!B2*Inputs!B4*Inputs!B3/10000</f>
        <v>0.001</v>
      </c>
      <c r="F415" s="13" t="n">
        <f aca="false">Inputs!B2*Inputs!B5/Inputs!B6</f>
        <v>0.000833333333333333</v>
      </c>
      <c r="G415" s="13" t="n">
        <f aca="false">D415-E415-F415</f>
        <v>0.0135166666666667</v>
      </c>
      <c r="H415" s="4" t="n">
        <f aca="false">(1+G415)*H414</f>
        <v>10.6131356736449</v>
      </c>
      <c r="I415" s="4" t="n">
        <f aca="false">MAX(1,H$2:H415)</f>
        <v>11.1226398028275</v>
      </c>
      <c r="J415" s="13" t="n">
        <f aca="false">H415/I415-1</f>
        <v>-0.0458078422222222</v>
      </c>
      <c r="K415" s="13" t="n">
        <f aca="false">Data!L415</f>
        <v>0.026</v>
      </c>
    </row>
    <row r="416" customFormat="false" ht="30" hidden="false" customHeight="true" outlineLevel="0" collapsed="false">
      <c r="A416" s="5" t="str">
        <f aca="false">Data!A416</f>
        <v>1997-07</v>
      </c>
      <c r="B416" s="12" t="n">
        <f aca="false">Data!K416</f>
        <v>0.1508</v>
      </c>
      <c r="C416" s="12" t="n">
        <f aca="false">Data!B416</f>
        <v>0.0411</v>
      </c>
      <c r="D416" s="12" t="n">
        <f aca="false">(B416-C416)*Inputs!B2</f>
        <v>0.05485</v>
      </c>
      <c r="E416" s="12" t="n">
        <f aca="false">4*Inputs!B2*Inputs!B4*Inputs!B3/10000</f>
        <v>0.001</v>
      </c>
      <c r="F416" s="12" t="n">
        <f aca="false">Inputs!B2*Inputs!B5/Inputs!B6</f>
        <v>0.000833333333333333</v>
      </c>
      <c r="G416" s="12" t="n">
        <f aca="false">D416-E416-F416</f>
        <v>0.0530166666666667</v>
      </c>
      <c r="H416" s="5" t="n">
        <f aca="false">(1+G416)*H415</f>
        <v>11.1758087499427</v>
      </c>
      <c r="I416" s="5" t="n">
        <f aca="false">MAX(1,H$2:H416)</f>
        <v>11.1758087499427</v>
      </c>
      <c r="J416" s="12" t="n">
        <f aca="false">H416/I416-1</f>
        <v>0</v>
      </c>
      <c r="K416" s="12" t="n">
        <f aca="false">Data!L416</f>
        <v>0.0369</v>
      </c>
    </row>
    <row r="417" customFormat="false" ht="30" hidden="false" customHeight="true" outlineLevel="0" collapsed="false">
      <c r="A417" s="4" t="str">
        <f aca="false">Data!A417</f>
        <v>1997-08</v>
      </c>
      <c r="B417" s="13" t="n">
        <f aca="false">Data!K417</f>
        <v>-0.0265</v>
      </c>
      <c r="C417" s="13" t="n">
        <f aca="false">Data!B417</f>
        <v>0.0149</v>
      </c>
      <c r="D417" s="13" t="n">
        <f aca="false">(B417-C417)*Inputs!B2</f>
        <v>-0.0207</v>
      </c>
      <c r="E417" s="13" t="n">
        <f aca="false">4*Inputs!B2*Inputs!B4*Inputs!B3/10000</f>
        <v>0.001</v>
      </c>
      <c r="F417" s="13" t="n">
        <f aca="false">Inputs!B2*Inputs!B5/Inputs!B6</f>
        <v>0.000833333333333333</v>
      </c>
      <c r="G417" s="13" t="n">
        <f aca="false">D417-E417-F417</f>
        <v>-0.0225333333333333</v>
      </c>
      <c r="H417" s="4" t="n">
        <f aca="false">(1+G417)*H416</f>
        <v>10.9239805261106</v>
      </c>
      <c r="I417" s="4" t="n">
        <f aca="false">MAX(1,H$2:H417)</f>
        <v>11.1758087499427</v>
      </c>
      <c r="J417" s="13" t="n">
        <f aca="false">H417/I417-1</f>
        <v>-0.0225333333333333</v>
      </c>
      <c r="K417" s="13" t="n">
        <f aca="false">Data!L417</f>
        <v>-0.0264</v>
      </c>
    </row>
    <row r="418" customFormat="false" ht="30" hidden="false" customHeight="true" outlineLevel="0" collapsed="false">
      <c r="A418" s="5" t="str">
        <f aca="false">Data!A418</f>
        <v>1997-09</v>
      </c>
      <c r="B418" s="12" t="n">
        <f aca="false">Data!K418</f>
        <v>0.0704</v>
      </c>
      <c r="C418" s="12" t="n">
        <f aca="false">Data!B418</f>
        <v>0.0407</v>
      </c>
      <c r="D418" s="12" t="n">
        <f aca="false">(B418-C418)*Inputs!B2</f>
        <v>0.01485</v>
      </c>
      <c r="E418" s="12" t="n">
        <f aca="false">4*Inputs!B2*Inputs!B4*Inputs!B3/10000</f>
        <v>0.001</v>
      </c>
      <c r="F418" s="12" t="n">
        <f aca="false">Inputs!B2*Inputs!B5/Inputs!B6</f>
        <v>0.000833333333333333</v>
      </c>
      <c r="G418" s="12" t="n">
        <f aca="false">D418-E418-F418</f>
        <v>0.0130166666666667</v>
      </c>
      <c r="H418" s="5" t="n">
        <f aca="false">(1+G418)*H417</f>
        <v>11.0661743392922</v>
      </c>
      <c r="I418" s="5" t="n">
        <f aca="false">MAX(1,H$2:H418)</f>
        <v>11.1758087499427</v>
      </c>
      <c r="J418" s="12" t="n">
        <f aca="false">H418/I418-1</f>
        <v>-0.00980997555555541</v>
      </c>
      <c r="K418" s="12" t="n">
        <f aca="false">Data!L418</f>
        <v>0.0148</v>
      </c>
    </row>
    <row r="419" customFormat="false" ht="30" hidden="false" customHeight="true" outlineLevel="0" collapsed="false">
      <c r="A419" s="4" t="str">
        <f aca="false">Data!A419</f>
        <v>1997-10</v>
      </c>
      <c r="B419" s="13" t="n">
        <f aca="false">Data!K419</f>
        <v>-0.0789</v>
      </c>
      <c r="C419" s="13" t="n">
        <f aca="false">Data!B419</f>
        <v>-0.0591</v>
      </c>
      <c r="D419" s="13" t="n">
        <f aca="false">(B419-C419)*Inputs!B2</f>
        <v>-0.0099</v>
      </c>
      <c r="E419" s="13" t="n">
        <f aca="false">4*Inputs!B2*Inputs!B4*Inputs!B3/10000</f>
        <v>0.001</v>
      </c>
      <c r="F419" s="13" t="n">
        <f aca="false">Inputs!B2*Inputs!B5/Inputs!B6</f>
        <v>0.000833333333333333</v>
      </c>
      <c r="G419" s="13" t="n">
        <f aca="false">D419-E419-F419</f>
        <v>-0.0117333333333333</v>
      </c>
      <c r="H419" s="4" t="n">
        <f aca="false">(1+G419)*H418</f>
        <v>10.9363312270445</v>
      </c>
      <c r="I419" s="4" t="n">
        <f aca="false">MAX(1,H$2:H419)</f>
        <v>11.1758087499427</v>
      </c>
      <c r="J419" s="13" t="n">
        <f aca="false">H419/I419-1</f>
        <v>-0.0214282051757035</v>
      </c>
      <c r="K419" s="13" t="n">
        <f aca="false">Data!L419</f>
        <v>-0.0054</v>
      </c>
    </row>
    <row r="420" customFormat="false" ht="30" hidden="false" customHeight="true" outlineLevel="0" collapsed="false">
      <c r="A420" s="5" t="str">
        <f aca="false">Data!A420</f>
        <v>1997-11</v>
      </c>
      <c r="B420" s="12" t="n">
        <f aca="false">Data!K420</f>
        <v>0.0138</v>
      </c>
      <c r="C420" s="12" t="n">
        <f aca="false">Data!B420</f>
        <v>-0.0141</v>
      </c>
      <c r="D420" s="12" t="n">
        <f aca="false">(B420-C420)*Inputs!B2</f>
        <v>0.01395</v>
      </c>
      <c r="E420" s="12" t="n">
        <f aca="false">4*Inputs!B2*Inputs!B4*Inputs!B3/10000</f>
        <v>0.001</v>
      </c>
      <c r="F420" s="12" t="n">
        <f aca="false">Inputs!B2*Inputs!B5/Inputs!B6</f>
        <v>0.000833333333333333</v>
      </c>
      <c r="G420" s="12" t="n">
        <f aca="false">D420-E420-F420</f>
        <v>0.0121166666666667</v>
      </c>
      <c r="H420" s="5" t="n">
        <f aca="false">(1+G420)*H419</f>
        <v>11.0688431070788</v>
      </c>
      <c r="I420" s="5" t="n">
        <f aca="false">MAX(1,H$2:H420)</f>
        <v>11.1758087499427</v>
      </c>
      <c r="J420" s="12" t="n">
        <f aca="false">H420/I420-1</f>
        <v>-0.00957117692841569</v>
      </c>
      <c r="K420" s="12" t="n">
        <f aca="false">Data!L420</f>
        <v>0.0042</v>
      </c>
    </row>
    <row r="421" customFormat="false" ht="30" hidden="false" customHeight="true" outlineLevel="0" collapsed="false">
      <c r="A421" s="4" t="str">
        <f aca="false">Data!A421</f>
        <v>1997-12</v>
      </c>
      <c r="B421" s="13" t="n">
        <f aca="false">Data!K421</f>
        <v>0.0147</v>
      </c>
      <c r="C421" s="13" t="n">
        <f aca="false">Data!B421</f>
        <v>-0.0252</v>
      </c>
      <c r="D421" s="13" t="n">
        <f aca="false">(B421-C421)*Inputs!B2</f>
        <v>0.01995</v>
      </c>
      <c r="E421" s="13" t="n">
        <f aca="false">4*Inputs!B2*Inputs!B4*Inputs!B3/10000</f>
        <v>0.001</v>
      </c>
      <c r="F421" s="13" t="n">
        <f aca="false">Inputs!B2*Inputs!B5/Inputs!B6</f>
        <v>0.000833333333333333</v>
      </c>
      <c r="G421" s="13" t="n">
        <f aca="false">D421-E421-F421</f>
        <v>0.0181166666666667</v>
      </c>
      <c r="H421" s="4" t="n">
        <f aca="false">(1+G421)*H420</f>
        <v>11.2693736480354</v>
      </c>
      <c r="I421" s="4" t="n">
        <f aca="false">MAX(1,H$2:H421)</f>
        <v>11.2693736480354</v>
      </c>
      <c r="J421" s="13" t="n">
        <f aca="false">H421/I421-1</f>
        <v>0</v>
      </c>
      <c r="K421" s="13" t="n">
        <f aca="false">Data!L421</f>
        <v>0.0393</v>
      </c>
    </row>
    <row r="422" customFormat="false" ht="30" hidden="false" customHeight="true" outlineLevel="0" collapsed="false">
      <c r="A422" s="5" t="str">
        <f aca="false">Data!A422</f>
        <v>1998-01</v>
      </c>
      <c r="B422" s="12" t="n">
        <f aca="false">Data!K422</f>
        <v>0.0252</v>
      </c>
      <c r="C422" s="12" t="n">
        <f aca="false">Data!B422</f>
        <v>-0.0001</v>
      </c>
      <c r="D422" s="12" t="n">
        <f aca="false">(B422-C422)*Inputs!B2</f>
        <v>0.01265</v>
      </c>
      <c r="E422" s="12" t="n">
        <f aca="false">4*Inputs!B2*Inputs!B4*Inputs!B3/10000</f>
        <v>0.001</v>
      </c>
      <c r="F422" s="12" t="n">
        <f aca="false">Inputs!B2*Inputs!B5/Inputs!B6</f>
        <v>0.000833333333333333</v>
      </c>
      <c r="G422" s="12" t="n">
        <f aca="false">D422-E422-F422</f>
        <v>0.0108166666666667</v>
      </c>
      <c r="H422" s="5" t="n">
        <f aca="false">(1+G422)*H421</f>
        <v>11.3912707063283</v>
      </c>
      <c r="I422" s="5" t="n">
        <f aca="false">MAX(1,H$2:H422)</f>
        <v>11.3912707063283</v>
      </c>
      <c r="J422" s="12" t="n">
        <f aca="false">H422/I422-1</f>
        <v>0</v>
      </c>
      <c r="K422" s="12" t="n">
        <f aca="false">Data!L422</f>
        <v>0.0008</v>
      </c>
    </row>
    <row r="423" customFormat="false" ht="30" hidden="false" customHeight="true" outlineLevel="0" collapsed="false">
      <c r="A423" s="4" t="str">
        <f aca="false">Data!A423</f>
        <v>1998-02</v>
      </c>
      <c r="B423" s="13" t="n">
        <f aca="false">Data!K423</f>
        <v>0.0983</v>
      </c>
      <c r="C423" s="13" t="n">
        <f aca="false">Data!B423</f>
        <v>0.0839</v>
      </c>
      <c r="D423" s="13" t="n">
        <f aca="false">(B423-C423)*Inputs!B2</f>
        <v>0.0072</v>
      </c>
      <c r="E423" s="13" t="n">
        <f aca="false">4*Inputs!B2*Inputs!B4*Inputs!B3/10000</f>
        <v>0.001</v>
      </c>
      <c r="F423" s="13" t="n">
        <f aca="false">Inputs!B2*Inputs!B5/Inputs!B6</f>
        <v>0.000833333333333333</v>
      </c>
      <c r="G423" s="13" t="n">
        <f aca="false">D423-E423-F423</f>
        <v>0.00536666666666666</v>
      </c>
      <c r="H423" s="4" t="n">
        <f aca="false">(1+G423)*H422</f>
        <v>11.452403859119</v>
      </c>
      <c r="I423" s="4" t="n">
        <f aca="false">MAX(1,H$2:H423)</f>
        <v>11.452403859119</v>
      </c>
      <c r="J423" s="13" t="n">
        <f aca="false">H423/I423-1</f>
        <v>0</v>
      </c>
      <c r="K423" s="13" t="n">
        <f aca="false">Data!L423</f>
        <v>-0.0119</v>
      </c>
    </row>
    <row r="424" customFormat="false" ht="30" hidden="false" customHeight="true" outlineLevel="0" collapsed="false">
      <c r="A424" s="5" t="str">
        <f aca="false">Data!A424</f>
        <v>1998-03</v>
      </c>
      <c r="B424" s="12" t="n">
        <f aca="false">Data!K424</f>
        <v>0.0595</v>
      </c>
      <c r="C424" s="12" t="n">
        <f aca="false">Data!B424</f>
        <v>0.045</v>
      </c>
      <c r="D424" s="12" t="n">
        <f aca="false">(B424-C424)*Inputs!B2</f>
        <v>0.00725</v>
      </c>
      <c r="E424" s="12" t="n">
        <f aca="false">4*Inputs!B2*Inputs!B4*Inputs!B3/10000</f>
        <v>0.001</v>
      </c>
      <c r="F424" s="12" t="n">
        <f aca="false">Inputs!B2*Inputs!B5/Inputs!B6</f>
        <v>0.000833333333333333</v>
      </c>
      <c r="G424" s="12" t="n">
        <f aca="false">D424-E424-F424</f>
        <v>0.00541666666666667</v>
      </c>
      <c r="H424" s="5" t="n">
        <f aca="false">(1+G424)*H423</f>
        <v>11.5144377133559</v>
      </c>
      <c r="I424" s="5" t="n">
        <f aca="false">MAX(1,H$2:H424)</f>
        <v>11.5144377133559</v>
      </c>
      <c r="J424" s="12" t="n">
        <f aca="false">H424/I424-1</f>
        <v>0</v>
      </c>
      <c r="K424" s="12" t="n">
        <f aca="false">Data!L424</f>
        <v>0.0214</v>
      </c>
    </row>
    <row r="425" customFormat="false" ht="30" hidden="false" customHeight="true" outlineLevel="0" collapsed="false">
      <c r="A425" s="4" t="str">
        <f aca="false">Data!A425</f>
        <v>1998-04</v>
      </c>
      <c r="B425" s="13" t="n">
        <f aca="false">Data!K425</f>
        <v>0.0539</v>
      </c>
      <c r="C425" s="13" t="n">
        <f aca="false">Data!B425</f>
        <v>0.046</v>
      </c>
      <c r="D425" s="13" t="n">
        <f aca="false">(B425-C425)*Inputs!B2</f>
        <v>0.00395</v>
      </c>
      <c r="E425" s="13" t="n">
        <f aca="false">4*Inputs!B2*Inputs!B4*Inputs!B3/10000</f>
        <v>0.001</v>
      </c>
      <c r="F425" s="13" t="n">
        <f aca="false">Inputs!B2*Inputs!B5/Inputs!B6</f>
        <v>0.000833333333333333</v>
      </c>
      <c r="G425" s="13" t="n">
        <f aca="false">D425-E425-F425</f>
        <v>0.00211666666666667</v>
      </c>
      <c r="H425" s="4" t="n">
        <f aca="false">(1+G425)*H424</f>
        <v>11.5388099398491</v>
      </c>
      <c r="I425" s="4" t="n">
        <f aca="false">MAX(1,H$2:H425)</f>
        <v>11.5388099398491</v>
      </c>
      <c r="J425" s="13" t="n">
        <f aca="false">H425/I425-1</f>
        <v>0</v>
      </c>
      <c r="K425" s="13" t="n">
        <f aca="false">Data!L425</f>
        <v>0.0068</v>
      </c>
    </row>
    <row r="426" customFormat="false" ht="30" hidden="false" customHeight="true" outlineLevel="0" collapsed="false">
      <c r="A426" s="5" t="str">
        <f aca="false">Data!A426</f>
        <v>1998-05</v>
      </c>
      <c r="B426" s="12" t="n">
        <f aca="false">Data!K426</f>
        <v>-0.0349</v>
      </c>
      <c r="C426" s="12" t="n">
        <f aca="false">Data!B426</f>
        <v>-0.0862</v>
      </c>
      <c r="D426" s="12" t="n">
        <f aca="false">(B426-C426)*Inputs!B2</f>
        <v>0.02565</v>
      </c>
      <c r="E426" s="12" t="n">
        <f aca="false">4*Inputs!B2*Inputs!B4*Inputs!B3/10000</f>
        <v>0.001</v>
      </c>
      <c r="F426" s="12" t="n">
        <f aca="false">Inputs!B2*Inputs!B5/Inputs!B6</f>
        <v>0.000833333333333333</v>
      </c>
      <c r="G426" s="12" t="n">
        <f aca="false">D426-E426-F426</f>
        <v>0.0238166666666667</v>
      </c>
      <c r="H426" s="5" t="n">
        <f aca="false">(1+G426)*H425</f>
        <v>11.8136259299165</v>
      </c>
      <c r="I426" s="5" t="n">
        <f aca="false">MAX(1,H$2:H426)</f>
        <v>11.8136259299165</v>
      </c>
      <c r="J426" s="12" t="n">
        <f aca="false">H426/I426-1</f>
        <v>0</v>
      </c>
      <c r="K426" s="12" t="n">
        <f aca="false">Data!L426</f>
        <v>0.0197</v>
      </c>
    </row>
    <row r="427" customFormat="false" ht="30" hidden="false" customHeight="true" outlineLevel="0" collapsed="false">
      <c r="A427" s="4" t="str">
        <f aca="false">Data!A427</f>
        <v>1998-06</v>
      </c>
      <c r="B427" s="13" t="n">
        <f aca="false">Data!K427</f>
        <v>0.0948</v>
      </c>
      <c r="C427" s="13" t="n">
        <f aca="false">Data!B427</f>
        <v>-0.0367</v>
      </c>
      <c r="D427" s="13" t="n">
        <f aca="false">(B427-C427)*Inputs!B2</f>
        <v>0.06575</v>
      </c>
      <c r="E427" s="13" t="n">
        <f aca="false">4*Inputs!B2*Inputs!B4*Inputs!B3/10000</f>
        <v>0.001</v>
      </c>
      <c r="F427" s="13" t="n">
        <f aca="false">Inputs!B2*Inputs!B5/Inputs!B6</f>
        <v>0.000833333333333333</v>
      </c>
      <c r="G427" s="13" t="n">
        <f aca="false">D427-E427-F427</f>
        <v>0.0639166666666667</v>
      </c>
      <c r="H427" s="4" t="n">
        <f aca="false">(1+G427)*H426</f>
        <v>12.5687135206037</v>
      </c>
      <c r="I427" s="4" t="n">
        <f aca="false">MAX(1,H$2:H427)</f>
        <v>12.5687135206037</v>
      </c>
      <c r="J427" s="13" t="n">
        <f aca="false">H427/I427-1</f>
        <v>0</v>
      </c>
      <c r="K427" s="13" t="n">
        <f aca="false">Data!L427</f>
        <v>0.0805</v>
      </c>
    </row>
    <row r="428" customFormat="false" ht="30" hidden="false" customHeight="true" outlineLevel="0" collapsed="false">
      <c r="A428" s="5" t="str">
        <f aca="false">Data!A428</f>
        <v>1998-07</v>
      </c>
      <c r="B428" s="12" t="n">
        <f aca="false">Data!K428</f>
        <v>0.0096</v>
      </c>
      <c r="C428" s="12" t="n">
        <f aca="false">Data!B428</f>
        <v>-0.0725</v>
      </c>
      <c r="D428" s="12" t="n">
        <f aca="false">(B428-C428)*Inputs!B2</f>
        <v>0.04105</v>
      </c>
      <c r="E428" s="12" t="n">
        <f aca="false">4*Inputs!B2*Inputs!B4*Inputs!B3/10000</f>
        <v>0.001</v>
      </c>
      <c r="F428" s="12" t="n">
        <f aca="false">Inputs!B2*Inputs!B5/Inputs!B6</f>
        <v>0.000833333333333333</v>
      </c>
      <c r="G428" s="12" t="n">
        <f aca="false">D428-E428-F428</f>
        <v>0.0392166666666667</v>
      </c>
      <c r="H428" s="5" t="n">
        <f aca="false">(1+G428)*H427</f>
        <v>13.06161656917</v>
      </c>
      <c r="I428" s="5" t="n">
        <f aca="false">MAX(1,H$2:H428)</f>
        <v>13.06161656917</v>
      </c>
      <c r="J428" s="12" t="n">
        <f aca="false">H428/I428-1</f>
        <v>0</v>
      </c>
      <c r="K428" s="12" t="n">
        <f aca="false">Data!L428</f>
        <v>0.0379</v>
      </c>
    </row>
    <row r="429" customFormat="false" ht="30" hidden="false" customHeight="true" outlineLevel="0" collapsed="false">
      <c r="A429" s="4" t="str">
        <f aca="false">Data!A429</f>
        <v>1998-08</v>
      </c>
      <c r="B429" s="13" t="n">
        <f aca="false">Data!K429</f>
        <v>-0.1704</v>
      </c>
      <c r="C429" s="13" t="n">
        <f aca="false">Data!B429</f>
        <v>-0.217</v>
      </c>
      <c r="D429" s="13" t="n">
        <f aca="false">(B429-C429)*Inputs!B2</f>
        <v>0.0233</v>
      </c>
      <c r="E429" s="13" t="n">
        <f aca="false">4*Inputs!B2*Inputs!B4*Inputs!B3/10000</f>
        <v>0.001</v>
      </c>
      <c r="F429" s="13" t="n">
        <f aca="false">Inputs!B2*Inputs!B5/Inputs!B6</f>
        <v>0.000833333333333333</v>
      </c>
      <c r="G429" s="13" t="n">
        <f aca="false">D429-E429-F429</f>
        <v>0.0214666666666667</v>
      </c>
      <c r="H429" s="4" t="n">
        <f aca="false">(1+G429)*H428</f>
        <v>13.3420059381882</v>
      </c>
      <c r="I429" s="4" t="n">
        <f aca="false">MAX(1,H$2:H429)</f>
        <v>13.3420059381882</v>
      </c>
      <c r="J429" s="13" t="n">
        <f aca="false">H429/I429-1</f>
        <v>0</v>
      </c>
      <c r="K429" s="13" t="n">
        <f aca="false">Data!L429</f>
        <v>0.0187</v>
      </c>
    </row>
    <row r="430" customFormat="false" ht="30" hidden="false" customHeight="true" outlineLevel="0" collapsed="false">
      <c r="A430" s="5" t="str">
        <f aca="false">Data!A430</f>
        <v>1998-09</v>
      </c>
      <c r="B430" s="12" t="n">
        <f aca="false">Data!K430</f>
        <v>0.0867</v>
      </c>
      <c r="C430" s="12" t="n">
        <f aca="false">Data!B430</f>
        <v>0.1282</v>
      </c>
      <c r="D430" s="12" t="n">
        <f aca="false">(B430-C430)*Inputs!B2</f>
        <v>-0.02075</v>
      </c>
      <c r="E430" s="12" t="n">
        <f aca="false">4*Inputs!B2*Inputs!B4*Inputs!B3/10000</f>
        <v>0.001</v>
      </c>
      <c r="F430" s="12" t="n">
        <f aca="false">Inputs!B2*Inputs!B5/Inputs!B6</f>
        <v>0.000833333333333333</v>
      </c>
      <c r="G430" s="12" t="n">
        <f aca="false">D430-E430-F430</f>
        <v>-0.0225833333333333</v>
      </c>
      <c r="H430" s="5" t="n">
        <f aca="false">(1+G430)*H429</f>
        <v>13.0406989707508</v>
      </c>
      <c r="I430" s="5" t="n">
        <f aca="false">MAX(1,H$2:H430)</f>
        <v>13.3420059381882</v>
      </c>
      <c r="J430" s="12" t="n">
        <f aca="false">H430/I430-1</f>
        <v>-0.0225833333333333</v>
      </c>
      <c r="K430" s="12" t="n">
        <f aca="false">Data!L430</f>
        <v>-0.0069</v>
      </c>
    </row>
    <row r="431" customFormat="false" ht="30" hidden="false" customHeight="true" outlineLevel="0" collapsed="false">
      <c r="A431" s="4" t="str">
        <f aca="false">Data!A431</f>
        <v>1998-10</v>
      </c>
      <c r="B431" s="13" t="n">
        <f aca="false">Data!K431</f>
        <v>0.0406</v>
      </c>
      <c r="C431" s="13" t="n">
        <f aca="false">Data!B431</f>
        <v>0.1328</v>
      </c>
      <c r="D431" s="13" t="n">
        <f aca="false">(B431-C431)*Inputs!B2</f>
        <v>-0.0461</v>
      </c>
      <c r="E431" s="13" t="n">
        <f aca="false">4*Inputs!B2*Inputs!B4*Inputs!B3/10000</f>
        <v>0.001</v>
      </c>
      <c r="F431" s="13" t="n">
        <f aca="false">Inputs!B2*Inputs!B5/Inputs!B6</f>
        <v>0.000833333333333333</v>
      </c>
      <c r="G431" s="13" t="n">
        <f aca="false">D431-E431-F431</f>
        <v>-0.0479333333333333</v>
      </c>
      <c r="H431" s="4" t="n">
        <f aca="false">(1+G431)*H430</f>
        <v>12.4156148000862</v>
      </c>
      <c r="I431" s="4" t="n">
        <f aca="false">MAX(1,H$2:H431)</f>
        <v>13.3420059381882</v>
      </c>
      <c r="J431" s="13" t="n">
        <f aca="false">H431/I431-1</f>
        <v>-0.0694341722222224</v>
      </c>
      <c r="K431" s="13" t="n">
        <f aca="false">Data!L431</f>
        <v>-0.0534</v>
      </c>
    </row>
    <row r="432" customFormat="false" ht="30" hidden="false" customHeight="true" outlineLevel="0" collapsed="false">
      <c r="A432" s="5" t="str">
        <f aca="false">Data!A432</f>
        <v>1998-11</v>
      </c>
      <c r="B432" s="12" t="n">
        <f aca="false">Data!K432</f>
        <v>0.0743</v>
      </c>
      <c r="C432" s="12" t="n">
        <f aca="false">Data!B432</f>
        <v>0.0364</v>
      </c>
      <c r="D432" s="12" t="n">
        <f aca="false">(B432-C432)*Inputs!B2</f>
        <v>0.01895</v>
      </c>
      <c r="E432" s="12" t="n">
        <f aca="false">4*Inputs!B2*Inputs!B4*Inputs!B3/10000</f>
        <v>0.001</v>
      </c>
      <c r="F432" s="12" t="n">
        <f aca="false">Inputs!B2*Inputs!B5/Inputs!B6</f>
        <v>0.000833333333333333</v>
      </c>
      <c r="G432" s="12" t="n">
        <f aca="false">D432-E432-F432</f>
        <v>0.0171166666666667</v>
      </c>
      <c r="H432" s="5" t="n">
        <f aca="false">(1+G432)*H431</f>
        <v>12.628128740081</v>
      </c>
      <c r="I432" s="5" t="n">
        <f aca="false">MAX(1,H$2:H432)</f>
        <v>13.3420059381882</v>
      </c>
      <c r="J432" s="12" t="n">
        <f aca="false">H432/I432-1</f>
        <v>-0.0535059871367594</v>
      </c>
      <c r="K432" s="12" t="n">
        <f aca="false">Data!L432</f>
        <v>0.0114</v>
      </c>
    </row>
    <row r="433" customFormat="false" ht="30" hidden="false" customHeight="true" outlineLevel="0" collapsed="false">
      <c r="A433" s="4" t="str">
        <f aca="false">Data!A433</f>
        <v>1998-12</v>
      </c>
      <c r="B433" s="13" t="n">
        <f aca="false">Data!K433</f>
        <v>0.1299</v>
      </c>
      <c r="C433" s="13" t="n">
        <f aca="false">Data!B433</f>
        <v>-0.0088</v>
      </c>
      <c r="D433" s="13" t="n">
        <f aca="false">(B433-C433)*Inputs!B2</f>
        <v>0.06935</v>
      </c>
      <c r="E433" s="13" t="n">
        <f aca="false">4*Inputs!B2*Inputs!B4*Inputs!B3/10000</f>
        <v>0.001</v>
      </c>
      <c r="F433" s="13" t="n">
        <f aca="false">Inputs!B2*Inputs!B5/Inputs!B6</f>
        <v>0.000833333333333333</v>
      </c>
      <c r="G433" s="13" t="n">
        <f aca="false">D433-E433-F433</f>
        <v>0.0675166666666667</v>
      </c>
      <c r="H433" s="4" t="n">
        <f aca="false">(1+G433)*H432</f>
        <v>13.4807378988488</v>
      </c>
      <c r="I433" s="4" t="n">
        <f aca="false">MAX(1,H$2:H433)</f>
        <v>13.4807378988488</v>
      </c>
      <c r="J433" s="13" t="n">
        <f aca="false">H433/I433-1</f>
        <v>0</v>
      </c>
      <c r="K433" s="13" t="n">
        <f aca="false">Data!L433</f>
        <v>0.0888</v>
      </c>
    </row>
    <row r="434" customFormat="false" ht="30" hidden="false" customHeight="true" outlineLevel="0" collapsed="false">
      <c r="A434" s="5" t="str">
        <f aca="false">Data!A434</f>
        <v>1999-01</v>
      </c>
      <c r="B434" s="12" t="n">
        <f aca="false">Data!K434</f>
        <v>0.0908</v>
      </c>
      <c r="C434" s="12" t="n">
        <f aca="false">Data!B434</f>
        <v>0.024</v>
      </c>
      <c r="D434" s="12" t="n">
        <f aca="false">(B434-C434)*Inputs!B2</f>
        <v>0.0334</v>
      </c>
      <c r="E434" s="12" t="n">
        <f aca="false">4*Inputs!B2*Inputs!B4*Inputs!B3/10000</f>
        <v>0.001</v>
      </c>
      <c r="F434" s="12" t="n">
        <f aca="false">Inputs!B2*Inputs!B5/Inputs!B6</f>
        <v>0.000833333333333333</v>
      </c>
      <c r="G434" s="12" t="n">
        <f aca="false">D434-E434-F434</f>
        <v>0.0315666666666667</v>
      </c>
      <c r="H434" s="5" t="n">
        <f aca="false">(1+G434)*H433</f>
        <v>13.9062798585224</v>
      </c>
      <c r="I434" s="5" t="n">
        <f aca="false">MAX(1,H$2:H434)</f>
        <v>13.9062798585224</v>
      </c>
      <c r="J434" s="12" t="n">
        <f aca="false">H434/I434-1</f>
        <v>0</v>
      </c>
      <c r="K434" s="12" t="n">
        <f aca="false">Data!L434</f>
        <v>0.0285</v>
      </c>
    </row>
    <row r="435" customFormat="false" ht="30" hidden="false" customHeight="true" outlineLevel="0" collapsed="false">
      <c r="A435" s="4" t="str">
        <f aca="false">Data!A435</f>
        <v>1999-02</v>
      </c>
      <c r="B435" s="13" t="n">
        <f aca="false">Data!K435</f>
        <v>-0.047</v>
      </c>
      <c r="C435" s="13" t="n">
        <f aca="false">Data!B435</f>
        <v>-0.0728</v>
      </c>
      <c r="D435" s="13" t="n">
        <f aca="false">(B435-C435)*Inputs!B2</f>
        <v>0.0129</v>
      </c>
      <c r="E435" s="13" t="n">
        <f aca="false">4*Inputs!B2*Inputs!B4*Inputs!B3/10000</f>
        <v>0.001</v>
      </c>
      <c r="F435" s="13" t="n">
        <f aca="false">Inputs!B2*Inputs!B5/Inputs!B6</f>
        <v>0.000833333333333333</v>
      </c>
      <c r="G435" s="13" t="n">
        <f aca="false">D435-E435-F435</f>
        <v>0.0110666666666667</v>
      </c>
      <c r="H435" s="4" t="n">
        <f aca="false">(1+G435)*H434</f>
        <v>14.0601760222901</v>
      </c>
      <c r="I435" s="4" t="n">
        <f aca="false">MAX(1,H$2:H435)</f>
        <v>14.0601760222901</v>
      </c>
      <c r="J435" s="13" t="n">
        <f aca="false">H435/I435-1</f>
        <v>0</v>
      </c>
      <c r="K435" s="13" t="n">
        <f aca="false">Data!L435</f>
        <v>-0.0008</v>
      </c>
    </row>
    <row r="436" customFormat="false" ht="30" hidden="false" customHeight="true" outlineLevel="0" collapsed="false">
      <c r="A436" s="5" t="str">
        <f aca="false">Data!A436</f>
        <v>1999-03</v>
      </c>
      <c r="B436" s="12" t="n">
        <f aca="false">Data!K436</f>
        <v>0.0578</v>
      </c>
      <c r="C436" s="12" t="n">
        <f aca="false">Data!B436</f>
        <v>0.1032</v>
      </c>
      <c r="D436" s="12" t="n">
        <f aca="false">(B436-C436)*Inputs!B2</f>
        <v>-0.0227</v>
      </c>
      <c r="E436" s="12" t="n">
        <f aca="false">4*Inputs!B2*Inputs!B4*Inputs!B3/10000</f>
        <v>0.001</v>
      </c>
      <c r="F436" s="12" t="n">
        <f aca="false">Inputs!B2*Inputs!B5/Inputs!B6</f>
        <v>0.000833333333333333</v>
      </c>
      <c r="G436" s="12" t="n">
        <f aca="false">D436-E436-F436</f>
        <v>-0.0245333333333333</v>
      </c>
      <c r="H436" s="5" t="n">
        <f aca="false">(1+G436)*H435</f>
        <v>13.7152330372099</v>
      </c>
      <c r="I436" s="5" t="n">
        <f aca="false">MAX(1,H$2:H436)</f>
        <v>14.0601760222901</v>
      </c>
      <c r="J436" s="12" t="n">
        <f aca="false">H436/I436-1</f>
        <v>-0.0245333333333333</v>
      </c>
      <c r="K436" s="12" t="n">
        <f aca="false">Data!L436</f>
        <v>-0.0121</v>
      </c>
    </row>
    <row r="437" customFormat="false" ht="30" hidden="false" customHeight="true" outlineLevel="0" collapsed="false">
      <c r="A437" s="4" t="str">
        <f aca="false">Data!A437</f>
        <v>1999-04</v>
      </c>
      <c r="B437" s="13" t="n">
        <f aca="false">Data!K437</f>
        <v>-0.0087</v>
      </c>
      <c r="C437" s="13" t="n">
        <f aca="false">Data!B437</f>
        <v>0.1757</v>
      </c>
      <c r="D437" s="13" t="n">
        <f aca="false">(B437-C437)*Inputs!B2</f>
        <v>-0.0922</v>
      </c>
      <c r="E437" s="13" t="n">
        <f aca="false">4*Inputs!B2*Inputs!B4*Inputs!B3/10000</f>
        <v>0.001</v>
      </c>
      <c r="F437" s="13" t="n">
        <f aca="false">Inputs!B2*Inputs!B5/Inputs!B6</f>
        <v>0.000833333333333333</v>
      </c>
      <c r="G437" s="13" t="n">
        <f aca="false">D437-E437-F437</f>
        <v>-0.0940333333333333</v>
      </c>
      <c r="H437" s="4" t="n">
        <f aca="false">(1+G437)*H436</f>
        <v>12.4255439572776</v>
      </c>
      <c r="I437" s="4" t="n">
        <f aca="false">MAX(1,H$2:H437)</f>
        <v>14.0601760222901</v>
      </c>
      <c r="J437" s="13" t="n">
        <f aca="false">H437/I437-1</f>
        <v>-0.116259715555555</v>
      </c>
      <c r="K437" s="13" t="n">
        <f aca="false">Data!L437</f>
        <v>-0.0892</v>
      </c>
    </row>
    <row r="438" customFormat="false" ht="30" hidden="false" customHeight="true" outlineLevel="0" collapsed="false">
      <c r="A438" s="5" t="str">
        <f aca="false">Data!A438</f>
        <v>1999-05</v>
      </c>
      <c r="B438" s="12" t="n">
        <f aca="false">Data!K438</f>
        <v>-0.0316</v>
      </c>
      <c r="C438" s="12" t="n">
        <f aca="false">Data!B438</f>
        <v>0.0715</v>
      </c>
      <c r="D438" s="12" t="n">
        <f aca="false">(B438-C438)*Inputs!B2</f>
        <v>-0.05155</v>
      </c>
      <c r="E438" s="12" t="n">
        <f aca="false">4*Inputs!B2*Inputs!B4*Inputs!B3/10000</f>
        <v>0.001</v>
      </c>
      <c r="F438" s="12" t="n">
        <f aca="false">Inputs!B2*Inputs!B5/Inputs!B6</f>
        <v>0.000833333333333333</v>
      </c>
      <c r="G438" s="12" t="n">
        <f aca="false">D438-E438-F438</f>
        <v>-0.0533833333333333</v>
      </c>
      <c r="H438" s="5" t="n">
        <f aca="false">(1+G438)*H437</f>
        <v>11.7622270023582</v>
      </c>
      <c r="I438" s="5" t="n">
        <f aca="false">MAX(1,H$2:H438)</f>
        <v>14.0601760222901</v>
      </c>
      <c r="J438" s="12" t="n">
        <f aca="false">H438/I438-1</f>
        <v>-0.163436717740148</v>
      </c>
      <c r="K438" s="12" t="n">
        <f aca="false">Data!L438</f>
        <v>-0.0528</v>
      </c>
    </row>
    <row r="439" customFormat="false" ht="30" hidden="false" customHeight="true" outlineLevel="0" collapsed="false">
      <c r="A439" s="4" t="str">
        <f aca="false">Data!A439</f>
        <v>1999-06</v>
      </c>
      <c r="B439" s="13" t="n">
        <f aca="false">Data!K439</f>
        <v>0.085</v>
      </c>
      <c r="C439" s="13" t="n">
        <f aca="false">Data!B439</f>
        <v>0.0158</v>
      </c>
      <c r="D439" s="13" t="n">
        <f aca="false">(B439-C439)*Inputs!B2</f>
        <v>0.0346</v>
      </c>
      <c r="E439" s="13" t="n">
        <f aca="false">4*Inputs!B2*Inputs!B4*Inputs!B3/10000</f>
        <v>0.001</v>
      </c>
      <c r="F439" s="13" t="n">
        <f aca="false">Inputs!B2*Inputs!B5/Inputs!B6</f>
        <v>0.000833333333333333</v>
      </c>
      <c r="G439" s="13" t="n">
        <f aca="false">D439-E439-F439</f>
        <v>0.0327666666666667</v>
      </c>
      <c r="H439" s="4" t="n">
        <f aca="false">(1+G439)*H438</f>
        <v>12.1476359738022</v>
      </c>
      <c r="I439" s="4" t="n">
        <f aca="false">MAX(1,H$2:H439)</f>
        <v>14.0601760222901</v>
      </c>
      <c r="J439" s="13" t="n">
        <f aca="false">H439/I439-1</f>
        <v>-0.136025327524767</v>
      </c>
      <c r="K439" s="13" t="n">
        <f aca="false">Data!L439</f>
        <v>0.0466</v>
      </c>
    </row>
    <row r="440" customFormat="false" ht="30" hidden="false" customHeight="true" outlineLevel="0" collapsed="false">
      <c r="A440" s="5" t="str">
        <f aca="false">Data!A440</f>
        <v>1999-07</v>
      </c>
      <c r="B440" s="12" t="n">
        <f aca="false">Data!K440</f>
        <v>-0.0182</v>
      </c>
      <c r="C440" s="12" t="n">
        <f aca="false">Data!B440</f>
        <v>-0.0425</v>
      </c>
      <c r="D440" s="12" t="n">
        <f aca="false">(B440-C440)*Inputs!B2</f>
        <v>0.01215</v>
      </c>
      <c r="E440" s="12" t="n">
        <f aca="false">4*Inputs!B2*Inputs!B4*Inputs!B3/10000</f>
        <v>0.001</v>
      </c>
      <c r="F440" s="12" t="n">
        <f aca="false">Inputs!B2*Inputs!B5/Inputs!B6</f>
        <v>0.000833333333333333</v>
      </c>
      <c r="G440" s="12" t="n">
        <f aca="false">D440-E440-F440</f>
        <v>0.0103166666666667</v>
      </c>
      <c r="H440" s="5" t="n">
        <f aca="false">(1+G440)*H439</f>
        <v>12.2729590849319</v>
      </c>
      <c r="I440" s="5" t="n">
        <f aca="false">MAX(1,H$2:H440)</f>
        <v>14.0601760222901</v>
      </c>
      <c r="J440" s="12" t="n">
        <f aca="false">H440/I440-1</f>
        <v>-0.127111988820397</v>
      </c>
      <c r="K440" s="12" t="n">
        <f aca="false">Data!L440</f>
        <v>0.017</v>
      </c>
    </row>
    <row r="441" customFormat="false" ht="30" hidden="false" customHeight="true" outlineLevel="0" collapsed="false">
      <c r="A441" s="4" t="str">
        <f aca="false">Data!A441</f>
        <v>1999-08</v>
      </c>
      <c r="B441" s="13" t="n">
        <f aca="false">Data!K441</f>
        <v>0.0076</v>
      </c>
      <c r="C441" s="13" t="n">
        <f aca="false">Data!B441</f>
        <v>-0.0537</v>
      </c>
      <c r="D441" s="13" t="n">
        <f aca="false">(B441-C441)*Inputs!B2</f>
        <v>0.03065</v>
      </c>
      <c r="E441" s="13" t="n">
        <f aca="false">4*Inputs!B2*Inputs!B4*Inputs!B3/10000</f>
        <v>0.001</v>
      </c>
      <c r="F441" s="13" t="n">
        <f aca="false">Inputs!B2*Inputs!B5/Inputs!B6</f>
        <v>0.000833333333333333</v>
      </c>
      <c r="G441" s="13" t="n">
        <f aca="false">D441-E441-F441</f>
        <v>0.0288166666666667</v>
      </c>
      <c r="H441" s="4" t="n">
        <f aca="false">(1+G441)*H440</f>
        <v>12.626624855896</v>
      </c>
      <c r="I441" s="4" t="n">
        <f aca="false">MAX(1,H$2:H441)</f>
        <v>14.0601760222901</v>
      </c>
      <c r="J441" s="13" t="n">
        <f aca="false">H441/I441-1</f>
        <v>-0.101958265964905</v>
      </c>
      <c r="K441" s="13" t="n">
        <f aca="false">Data!L441</f>
        <v>0.0293</v>
      </c>
    </row>
    <row r="442" customFormat="false" ht="30" hidden="false" customHeight="true" outlineLevel="0" collapsed="false">
      <c r="A442" s="5" t="str">
        <f aca="false">Data!A442</f>
        <v>1999-09</v>
      </c>
      <c r="B442" s="12" t="n">
        <f aca="false">Data!K442</f>
        <v>0.004</v>
      </c>
      <c r="C442" s="12" t="n">
        <f aca="false">Data!B442</f>
        <v>-0.0628</v>
      </c>
      <c r="D442" s="12" t="n">
        <f aca="false">(B442-C442)*Inputs!B2</f>
        <v>0.0334</v>
      </c>
      <c r="E442" s="12" t="n">
        <f aca="false">4*Inputs!B2*Inputs!B4*Inputs!B3/10000</f>
        <v>0.001</v>
      </c>
      <c r="F442" s="12" t="n">
        <f aca="false">Inputs!B2*Inputs!B5/Inputs!B6</f>
        <v>0.000833333333333333</v>
      </c>
      <c r="G442" s="12" t="n">
        <f aca="false">D442-E442-F442</f>
        <v>0.0315666666666667</v>
      </c>
      <c r="H442" s="5" t="n">
        <f aca="false">(1+G442)*H441</f>
        <v>13.0252053138472</v>
      </c>
      <c r="I442" s="5" t="n">
        <f aca="false">MAX(1,H$2:H442)</f>
        <v>14.0601760222901</v>
      </c>
      <c r="J442" s="12" t="n">
        <f aca="false">H442/I442-1</f>
        <v>-0.0736100818938638</v>
      </c>
      <c r="K442" s="12" t="n">
        <f aca="false">Data!L442</f>
        <v>0.064</v>
      </c>
    </row>
    <row r="443" customFormat="false" ht="30" hidden="false" customHeight="true" outlineLevel="0" collapsed="false">
      <c r="A443" s="4" t="str">
        <f aca="false">Data!A443</f>
        <v>1999-10</v>
      </c>
      <c r="B443" s="13" t="n">
        <f aca="false">Data!K443</f>
        <v>0.0659</v>
      </c>
      <c r="C443" s="13" t="n">
        <f aca="false">Data!B443</f>
        <v>-0.0398</v>
      </c>
      <c r="D443" s="13" t="n">
        <f aca="false">(B443-C443)*Inputs!B2</f>
        <v>0.05285</v>
      </c>
      <c r="E443" s="13" t="n">
        <f aca="false">4*Inputs!B2*Inputs!B4*Inputs!B3/10000</f>
        <v>0.001</v>
      </c>
      <c r="F443" s="13" t="n">
        <f aca="false">Inputs!B2*Inputs!B5/Inputs!B6</f>
        <v>0.000833333333333333</v>
      </c>
      <c r="G443" s="13" t="n">
        <f aca="false">D443-E443-F443</f>
        <v>0.0510166666666667</v>
      </c>
      <c r="H443" s="4" t="n">
        <f aca="false">(1+G443)*H442</f>
        <v>13.6897078716086</v>
      </c>
      <c r="I443" s="4" t="n">
        <f aca="false">MAX(1,H$2:H443)</f>
        <v>14.0601760222901</v>
      </c>
      <c r="J443" s="13" t="n">
        <f aca="false">H443/I443-1</f>
        <v>-0.0263487562384823</v>
      </c>
      <c r="K443" s="13" t="n">
        <f aca="false">Data!L443</f>
        <v>0.0541</v>
      </c>
    </row>
    <row r="444" customFormat="false" ht="30" hidden="false" customHeight="true" outlineLevel="0" collapsed="false">
      <c r="A444" s="5" t="str">
        <f aca="false">Data!A444</f>
        <v>1999-11</v>
      </c>
      <c r="B444" s="12" t="n">
        <f aca="false">Data!K444</f>
        <v>0.1051</v>
      </c>
      <c r="C444" s="12" t="n">
        <f aca="false">Data!B444</f>
        <v>0.0256</v>
      </c>
      <c r="D444" s="12" t="n">
        <f aca="false">(B444-C444)*Inputs!B2</f>
        <v>0.03975</v>
      </c>
      <c r="E444" s="12" t="n">
        <f aca="false">4*Inputs!B2*Inputs!B4*Inputs!B3/10000</f>
        <v>0.001</v>
      </c>
      <c r="F444" s="12" t="n">
        <f aca="false">Inputs!B2*Inputs!B5/Inputs!B6</f>
        <v>0.000833333333333333</v>
      </c>
      <c r="G444" s="12" t="n">
        <f aca="false">D444-E444-F444</f>
        <v>0.0379166666666667</v>
      </c>
      <c r="H444" s="5" t="n">
        <f aca="false">(1+G444)*H443</f>
        <v>14.2087759617404</v>
      </c>
      <c r="I444" s="5" t="n">
        <f aca="false">MAX(1,H$2:H444)</f>
        <v>14.2087759617404</v>
      </c>
      <c r="J444" s="12" t="n">
        <f aca="false">H444/I444-1</f>
        <v>0</v>
      </c>
      <c r="K444" s="12" t="n">
        <f aca="false">Data!L444</f>
        <v>0.055</v>
      </c>
    </row>
    <row r="445" customFormat="false" ht="30" hidden="false" customHeight="true" outlineLevel="0" collapsed="false">
      <c r="A445" s="4" t="str">
        <f aca="false">Data!A445</f>
        <v>1999-12</v>
      </c>
      <c r="B445" s="13" t="n">
        <f aca="false">Data!K445</f>
        <v>0.2175</v>
      </c>
      <c r="C445" s="13" t="n">
        <f aca="false">Data!B445</f>
        <v>-0.0047</v>
      </c>
      <c r="D445" s="13" t="n">
        <f aca="false">(B445-C445)*Inputs!B2</f>
        <v>0.1111</v>
      </c>
      <c r="E445" s="13" t="n">
        <f aca="false">4*Inputs!B2*Inputs!B4*Inputs!B3/10000</f>
        <v>0.001</v>
      </c>
      <c r="F445" s="13" t="n">
        <f aca="false">Inputs!B2*Inputs!B5/Inputs!B6</f>
        <v>0.000833333333333333</v>
      </c>
      <c r="G445" s="13" t="n">
        <f aca="false">D445-E445-F445</f>
        <v>0.109266666666667</v>
      </c>
      <c r="H445" s="4" t="n">
        <f aca="false">(1+G445)*H444</f>
        <v>15.7613215484933</v>
      </c>
      <c r="I445" s="4" t="n">
        <f aca="false">MAX(1,H$2:H445)</f>
        <v>15.7613215484933</v>
      </c>
      <c r="J445" s="13" t="n">
        <f aca="false">H445/I445-1</f>
        <v>0</v>
      </c>
      <c r="K445" s="13" t="n">
        <f aca="false">Data!L445</f>
        <v>0.1315</v>
      </c>
    </row>
    <row r="446" customFormat="false" ht="30" hidden="false" customHeight="true" outlineLevel="0" collapsed="false">
      <c r="A446" s="5" t="str">
        <f aca="false">Data!A446</f>
        <v>2000-01</v>
      </c>
      <c r="B446" s="12" t="n">
        <f aca="false">Data!K446</f>
        <v>-0.0268</v>
      </c>
      <c r="C446" s="12" t="n">
        <f aca="false">Data!B446</f>
        <v>-0.0445</v>
      </c>
      <c r="D446" s="12" t="n">
        <f aca="false">(B446-C446)*Inputs!B2</f>
        <v>0.00885</v>
      </c>
      <c r="E446" s="12" t="n">
        <f aca="false">4*Inputs!B2*Inputs!B4*Inputs!B3/10000</f>
        <v>0.001</v>
      </c>
      <c r="F446" s="12" t="n">
        <f aca="false">Inputs!B2*Inputs!B5/Inputs!B6</f>
        <v>0.000833333333333333</v>
      </c>
      <c r="G446" s="12" t="n">
        <f aca="false">D446-E446-F446</f>
        <v>0.00701666666666667</v>
      </c>
      <c r="H446" s="5" t="n">
        <f aca="false">(1+G446)*H445</f>
        <v>15.8719134880252</v>
      </c>
      <c r="I446" s="5" t="n">
        <f aca="false">MAX(1,H$2:H446)</f>
        <v>15.8719134880252</v>
      </c>
      <c r="J446" s="12" t="n">
        <f aca="false">H446/I446-1</f>
        <v>0</v>
      </c>
      <c r="K446" s="12" t="n">
        <f aca="false">Data!L446</f>
        <v>0.0184</v>
      </c>
    </row>
    <row r="447" customFormat="false" ht="30" hidden="false" customHeight="true" outlineLevel="0" collapsed="false">
      <c r="A447" s="4" t="str">
        <f aca="false">Data!A447</f>
        <v>2000-02</v>
      </c>
      <c r="B447" s="13" t="n">
        <f aca="false">Data!K447</f>
        <v>0.2275</v>
      </c>
      <c r="C447" s="13" t="n">
        <f aca="false">Data!B447</f>
        <v>-0.0259</v>
      </c>
      <c r="D447" s="13" t="n">
        <f aca="false">(B447-C447)*Inputs!B2</f>
        <v>0.1267</v>
      </c>
      <c r="E447" s="13" t="n">
        <f aca="false">4*Inputs!B2*Inputs!B4*Inputs!B3/10000</f>
        <v>0.001</v>
      </c>
      <c r="F447" s="13" t="n">
        <f aca="false">Inputs!B2*Inputs!B5/Inputs!B6</f>
        <v>0.000833333333333333</v>
      </c>
      <c r="G447" s="13" t="n">
        <f aca="false">D447-E447-F447</f>
        <v>0.124866666666667</v>
      </c>
      <c r="H447" s="4" t="n">
        <f aca="false">(1+G447)*H446</f>
        <v>17.8537864188966</v>
      </c>
      <c r="I447" s="4" t="n">
        <f aca="false">MAX(1,H$2:H447)</f>
        <v>17.8537864188966</v>
      </c>
      <c r="J447" s="13" t="n">
        <f aca="false">H447/I447-1</f>
        <v>0</v>
      </c>
      <c r="K447" s="13" t="n">
        <f aca="false">Data!L447</f>
        <v>0.1805</v>
      </c>
    </row>
    <row r="448" customFormat="false" ht="30" hidden="false" customHeight="true" outlineLevel="0" collapsed="false">
      <c r="A448" s="5" t="str">
        <f aca="false">Data!A448</f>
        <v>2000-03</v>
      </c>
      <c r="B448" s="12" t="n">
        <f aca="false">Data!K448</f>
        <v>-0.0044</v>
      </c>
      <c r="C448" s="12" t="n">
        <f aca="false">Data!B448</f>
        <v>0.0806</v>
      </c>
      <c r="D448" s="12" t="n">
        <f aca="false">(B448-C448)*Inputs!B2</f>
        <v>-0.0425</v>
      </c>
      <c r="E448" s="12" t="n">
        <f aca="false">4*Inputs!B2*Inputs!B4*Inputs!B3/10000</f>
        <v>0.001</v>
      </c>
      <c r="F448" s="12" t="n">
        <f aca="false">Inputs!B2*Inputs!B5/Inputs!B6</f>
        <v>0.000833333333333333</v>
      </c>
      <c r="G448" s="12" t="n">
        <f aca="false">D448-E448-F448</f>
        <v>-0.0443333333333333</v>
      </c>
      <c r="H448" s="5" t="n">
        <f aca="false">(1+G448)*H447</f>
        <v>17.0622685543255</v>
      </c>
      <c r="I448" s="5" t="n">
        <f aca="false">MAX(1,H$2:H448)</f>
        <v>17.8537864188966</v>
      </c>
      <c r="J448" s="12" t="n">
        <f aca="false">H448/I448-1</f>
        <v>-0.0443333333333335</v>
      </c>
      <c r="K448" s="12" t="n">
        <f aca="false">Data!L448</f>
        <v>-0.0686</v>
      </c>
    </row>
    <row r="449" customFormat="false" ht="30" hidden="false" customHeight="true" outlineLevel="0" collapsed="false">
      <c r="A449" s="4" t="str">
        <f aca="false">Data!A449</f>
        <v>2000-04</v>
      </c>
      <c r="B449" s="13" t="n">
        <f aca="false">Data!K449</f>
        <v>-0.0901</v>
      </c>
      <c r="C449" s="13" t="n">
        <f aca="false">Data!B449</f>
        <v>-0.0231</v>
      </c>
      <c r="D449" s="13" t="n">
        <f aca="false">(B449-C449)*Inputs!B2</f>
        <v>-0.0335</v>
      </c>
      <c r="E449" s="13" t="n">
        <f aca="false">4*Inputs!B2*Inputs!B4*Inputs!B3/10000</f>
        <v>0.001</v>
      </c>
      <c r="F449" s="13" t="n">
        <f aca="false">Inputs!B2*Inputs!B5/Inputs!B6</f>
        <v>0.000833333333333333</v>
      </c>
      <c r="G449" s="13" t="n">
        <f aca="false">D449-E449-F449</f>
        <v>-0.0353333333333333</v>
      </c>
      <c r="H449" s="4" t="n">
        <f aca="false">(1+G449)*H448</f>
        <v>16.4594017320727</v>
      </c>
      <c r="I449" s="4" t="n">
        <f aca="false">MAX(1,H$2:H449)</f>
        <v>17.8537864188966</v>
      </c>
      <c r="J449" s="13" t="n">
        <f aca="false">H449/I449-1</f>
        <v>-0.0781002222222224</v>
      </c>
      <c r="K449" s="13" t="n">
        <f aca="false">Data!L449</f>
        <v>-0.0859</v>
      </c>
    </row>
    <row r="450" customFormat="false" ht="30" hidden="false" customHeight="true" outlineLevel="0" collapsed="false">
      <c r="A450" s="5" t="str">
        <f aca="false">Data!A450</f>
        <v>2000-05</v>
      </c>
      <c r="B450" s="12" t="n">
        <f aca="false">Data!K450</f>
        <v>-0.1162</v>
      </c>
      <c r="C450" s="12" t="n">
        <f aca="false">Data!B450</f>
        <v>0.0111</v>
      </c>
      <c r="D450" s="12" t="n">
        <f aca="false">(B450-C450)*Inputs!B2</f>
        <v>-0.06365</v>
      </c>
      <c r="E450" s="12" t="n">
        <f aca="false">4*Inputs!B2*Inputs!B4*Inputs!B3/10000</f>
        <v>0.001</v>
      </c>
      <c r="F450" s="12" t="n">
        <f aca="false">Inputs!B2*Inputs!B5/Inputs!B6</f>
        <v>0.000833333333333333</v>
      </c>
      <c r="G450" s="12" t="n">
        <f aca="false">D450-E450-F450</f>
        <v>-0.0654833333333333</v>
      </c>
      <c r="H450" s="5" t="n">
        <f aca="false">(1+G450)*H449</f>
        <v>15.3815852419841</v>
      </c>
      <c r="I450" s="5" t="n">
        <f aca="false">MAX(1,H$2:H450)</f>
        <v>17.8537864188966</v>
      </c>
      <c r="J450" s="12" t="n">
        <f aca="false">H450/I450-1</f>
        <v>-0.13846929267037</v>
      </c>
      <c r="K450" s="12" t="n">
        <f aca="false">Data!L450</f>
        <v>-0.0893</v>
      </c>
    </row>
    <row r="451" customFormat="false" ht="30" hidden="false" customHeight="true" outlineLevel="0" collapsed="false">
      <c r="A451" s="4" t="str">
        <f aca="false">Data!A451</f>
        <v>2000-06</v>
      </c>
      <c r="B451" s="13" t="n">
        <f aca="false">Data!K451</f>
        <v>0.1297</v>
      </c>
      <c r="C451" s="13" t="n">
        <f aca="false">Data!B451</f>
        <v>-0.053</v>
      </c>
      <c r="D451" s="13" t="n">
        <f aca="false">(B451-C451)*Inputs!B2</f>
        <v>0.09135</v>
      </c>
      <c r="E451" s="13" t="n">
        <f aca="false">4*Inputs!B2*Inputs!B4*Inputs!B3/10000</f>
        <v>0.001</v>
      </c>
      <c r="F451" s="13" t="n">
        <f aca="false">Inputs!B2*Inputs!B5/Inputs!B6</f>
        <v>0.000833333333333333</v>
      </c>
      <c r="G451" s="13" t="n">
        <f aca="false">D451-E451-F451</f>
        <v>0.0895166666666667</v>
      </c>
      <c r="H451" s="4" t="n">
        <f aca="false">(1+G451)*H450</f>
        <v>16.7584934808957</v>
      </c>
      <c r="I451" s="4" t="n">
        <f aca="false">MAX(1,H$2:H451)</f>
        <v>17.8537864188966</v>
      </c>
      <c r="J451" s="13" t="n">
        <f aca="false">H451/I451-1</f>
        <v>-0.0613479355192466</v>
      </c>
      <c r="K451" s="13" t="n">
        <f aca="false">Data!L451</f>
        <v>0.1664</v>
      </c>
    </row>
    <row r="452" customFormat="false" ht="30" hidden="false" customHeight="true" outlineLevel="0" collapsed="false">
      <c r="A452" s="5" t="str">
        <f aca="false">Data!A452</f>
        <v>2000-07</v>
      </c>
      <c r="B452" s="12" t="n">
        <f aca="false">Data!K452</f>
        <v>-0.0329</v>
      </c>
      <c r="C452" s="12" t="n">
        <f aca="false">Data!B452</f>
        <v>-0.043</v>
      </c>
      <c r="D452" s="12" t="n">
        <f aca="false">(B452-C452)*Inputs!B2</f>
        <v>0.00505</v>
      </c>
      <c r="E452" s="12" t="n">
        <f aca="false">4*Inputs!B2*Inputs!B4*Inputs!B3/10000</f>
        <v>0.001</v>
      </c>
      <c r="F452" s="12" t="n">
        <f aca="false">Inputs!B2*Inputs!B5/Inputs!B6</f>
        <v>0.000833333333333333</v>
      </c>
      <c r="G452" s="12" t="n">
        <f aca="false">D452-E452-F452</f>
        <v>0.00321666666666667</v>
      </c>
      <c r="H452" s="5" t="n">
        <f aca="false">(1+G452)*H451</f>
        <v>16.8123999682593</v>
      </c>
      <c r="I452" s="5" t="n">
        <f aca="false">MAX(1,H$2:H452)</f>
        <v>17.8537864188966</v>
      </c>
      <c r="J452" s="12" t="n">
        <f aca="false">H452/I452-1</f>
        <v>-0.0583286047118334</v>
      </c>
      <c r="K452" s="12" t="n">
        <f aca="false">Data!L452</f>
        <v>-0.0018</v>
      </c>
    </row>
    <row r="453" customFormat="false" ht="30" hidden="false" customHeight="true" outlineLevel="0" collapsed="false">
      <c r="A453" s="4" t="str">
        <f aca="false">Data!A453</f>
        <v>2000-08</v>
      </c>
      <c r="B453" s="13" t="n">
        <f aca="false">Data!K453</f>
        <v>0.14</v>
      </c>
      <c r="C453" s="13" t="n">
        <f aca="false">Data!B453</f>
        <v>0.0703</v>
      </c>
      <c r="D453" s="13" t="n">
        <f aca="false">(B453-C453)*Inputs!B2</f>
        <v>0.03485</v>
      </c>
      <c r="E453" s="13" t="n">
        <f aca="false">4*Inputs!B2*Inputs!B4*Inputs!B3/10000</f>
        <v>0.001</v>
      </c>
      <c r="F453" s="13" t="n">
        <f aca="false">Inputs!B2*Inputs!B5/Inputs!B6</f>
        <v>0.000833333333333333</v>
      </c>
      <c r="G453" s="13" t="n">
        <f aca="false">D453-E453-F453</f>
        <v>0.0330166666666667</v>
      </c>
      <c r="H453" s="4" t="n">
        <f aca="false">(1+G453)*H452</f>
        <v>17.367489373878</v>
      </c>
      <c r="I453" s="4" t="n">
        <f aca="false">MAX(1,H$2:H453)</f>
        <v>17.8537864188966</v>
      </c>
      <c r="J453" s="13" t="n">
        <f aca="false">H453/I453-1</f>
        <v>-0.027237754144069</v>
      </c>
      <c r="K453" s="13" t="n">
        <f aca="false">Data!L453</f>
        <v>0.0561</v>
      </c>
    </row>
    <row r="454" customFormat="false" ht="30" hidden="false" customHeight="true" outlineLevel="0" collapsed="false">
      <c r="A454" s="5" t="str">
        <f aca="false">Data!A454</f>
        <v>2000-09</v>
      </c>
      <c r="B454" s="12" t="n">
        <f aca="false">Data!K454</f>
        <v>-0.1176</v>
      </c>
      <c r="C454" s="12" t="n">
        <f aca="false">Data!B454</f>
        <v>-0.1243</v>
      </c>
      <c r="D454" s="12" t="n">
        <f aca="false">(B454-C454)*Inputs!B2</f>
        <v>0.00335</v>
      </c>
      <c r="E454" s="12" t="n">
        <f aca="false">4*Inputs!B2*Inputs!B4*Inputs!B3/10000</f>
        <v>0.001</v>
      </c>
      <c r="F454" s="12" t="n">
        <f aca="false">Inputs!B2*Inputs!B5/Inputs!B6</f>
        <v>0.000833333333333333</v>
      </c>
      <c r="G454" s="12" t="n">
        <f aca="false">D454-E454-F454</f>
        <v>0.00151666666666667</v>
      </c>
      <c r="H454" s="5" t="n">
        <f aca="false">(1+G454)*H453</f>
        <v>17.393830066095</v>
      </c>
      <c r="I454" s="5" t="n">
        <f aca="false">MAX(1,H$2:H454)</f>
        <v>17.8537864188966</v>
      </c>
      <c r="J454" s="12" t="n">
        <f aca="false">H454/I454-1</f>
        <v>-0.0257623980711875</v>
      </c>
      <c r="K454" s="12" t="n">
        <f aca="false">Data!L454</f>
        <v>0.0189</v>
      </c>
    </row>
    <row r="455" customFormat="false" ht="30" hidden="false" customHeight="true" outlineLevel="0" collapsed="false">
      <c r="A455" s="4" t="str">
        <f aca="false">Data!A455</f>
        <v>2000-10</v>
      </c>
      <c r="B455" s="13" t="n">
        <f aca="false">Data!K455</f>
        <v>-0.0763</v>
      </c>
      <c r="C455" s="13" t="n">
        <f aca="false">Data!B455</f>
        <v>-0.0897</v>
      </c>
      <c r="D455" s="13" t="n">
        <f aca="false">(B455-C455)*Inputs!B2</f>
        <v>0.0067</v>
      </c>
      <c r="E455" s="13" t="n">
        <f aca="false">4*Inputs!B2*Inputs!B4*Inputs!B3/10000</f>
        <v>0.001</v>
      </c>
      <c r="F455" s="13" t="n">
        <f aca="false">Inputs!B2*Inputs!B5/Inputs!B6</f>
        <v>0.000833333333333333</v>
      </c>
      <c r="G455" s="13" t="n">
        <f aca="false">D455-E455-F455</f>
        <v>0.00486666666666667</v>
      </c>
      <c r="H455" s="4" t="n">
        <f aca="false">(1+G455)*H454</f>
        <v>17.4784800390833</v>
      </c>
      <c r="I455" s="4" t="n">
        <f aca="false">MAX(1,H$2:H455)</f>
        <v>17.8537864188966</v>
      </c>
      <c r="J455" s="13" t="n">
        <f aca="false">H455/I455-1</f>
        <v>-0.0210211084084675</v>
      </c>
      <c r="K455" s="13" t="n">
        <f aca="false">Data!L455</f>
        <v>-0.0451</v>
      </c>
    </row>
    <row r="456" customFormat="false" ht="30" hidden="false" customHeight="true" outlineLevel="0" collapsed="false">
      <c r="A456" s="5" t="str">
        <f aca="false">Data!A456</f>
        <v>2000-11</v>
      </c>
      <c r="B456" s="12" t="n">
        <f aca="false">Data!K456</f>
        <v>-0.2445</v>
      </c>
      <c r="C456" s="12" t="n">
        <f aca="false">Data!B456</f>
        <v>-0.2377</v>
      </c>
      <c r="D456" s="12" t="n">
        <f aca="false">(B456-C456)*Inputs!B2</f>
        <v>-0.0034</v>
      </c>
      <c r="E456" s="12" t="n">
        <f aca="false">4*Inputs!B2*Inputs!B4*Inputs!B3/10000</f>
        <v>0.001</v>
      </c>
      <c r="F456" s="12" t="n">
        <f aca="false">Inputs!B2*Inputs!B5/Inputs!B6</f>
        <v>0.000833333333333333</v>
      </c>
      <c r="G456" s="12" t="n">
        <f aca="false">D456-E456-F456</f>
        <v>-0.00523333333333333</v>
      </c>
      <c r="H456" s="5" t="n">
        <f aca="false">(1+G456)*H455</f>
        <v>17.3870093268788</v>
      </c>
      <c r="I456" s="5" t="n">
        <f aca="false">MAX(1,H$2:H456)</f>
        <v>17.8537864188966</v>
      </c>
      <c r="J456" s="12" t="n">
        <f aca="false">H456/I456-1</f>
        <v>-0.0261444312744632</v>
      </c>
      <c r="K456" s="12" t="n">
        <f aca="false">Data!L456</f>
        <v>-0.0218</v>
      </c>
    </row>
    <row r="457" customFormat="false" ht="30" hidden="false" customHeight="true" outlineLevel="0" collapsed="false">
      <c r="A457" s="4" t="str">
        <f aca="false">Data!A457</f>
        <v>2000-12</v>
      </c>
      <c r="B457" s="13" t="n">
        <f aca="false">Data!K457</f>
        <v>0.0585</v>
      </c>
      <c r="C457" s="13" t="n">
        <f aca="false">Data!B457</f>
        <v>-0.1078</v>
      </c>
      <c r="D457" s="13" t="n">
        <f aca="false">(B457-C457)*Inputs!B2</f>
        <v>0.08315</v>
      </c>
      <c r="E457" s="13" t="n">
        <f aca="false">4*Inputs!B2*Inputs!B4*Inputs!B3/10000</f>
        <v>0.001</v>
      </c>
      <c r="F457" s="13" t="n">
        <f aca="false">Inputs!B2*Inputs!B5/Inputs!B6</f>
        <v>0.000833333333333333</v>
      </c>
      <c r="G457" s="13" t="n">
        <f aca="false">D457-E457-F457</f>
        <v>0.0813166666666667</v>
      </c>
      <c r="H457" s="4" t="n">
        <f aca="false">(1+G457)*H456</f>
        <v>18.8008629686428</v>
      </c>
      <c r="I457" s="4" t="n">
        <f aca="false">MAX(1,H$2:H457)</f>
        <v>18.8008629686428</v>
      </c>
      <c r="J457" s="13" t="n">
        <f aca="false">H457/I457-1</f>
        <v>0</v>
      </c>
      <c r="K457" s="13" t="n">
        <f aca="false">Data!L457</f>
        <v>0.0662</v>
      </c>
    </row>
    <row r="458" customFormat="false" ht="30" hidden="false" customHeight="true" outlineLevel="0" collapsed="false">
      <c r="A458" s="5" t="str">
        <f aca="false">Data!A458</f>
        <v>2001-01</v>
      </c>
      <c r="B458" s="12" t="n">
        <f aca="false">Data!K458</f>
        <v>-0.0581</v>
      </c>
      <c r="C458" s="12" t="n">
        <f aca="false">Data!B458</f>
        <v>0.3603</v>
      </c>
      <c r="D458" s="12" t="n">
        <f aca="false">(B458-C458)*Inputs!B2</f>
        <v>-0.2092</v>
      </c>
      <c r="E458" s="12" t="n">
        <f aca="false">4*Inputs!B2*Inputs!B4*Inputs!B3/10000</f>
        <v>0.001</v>
      </c>
      <c r="F458" s="12" t="n">
        <f aca="false">Inputs!B2*Inputs!B5/Inputs!B6</f>
        <v>0.000833333333333333</v>
      </c>
      <c r="G458" s="12" t="n">
        <f aca="false">D458-E458-F458</f>
        <v>-0.211033333333333</v>
      </c>
      <c r="H458" s="5" t="n">
        <f aca="false">(1+G458)*H457</f>
        <v>14.8332541868269</v>
      </c>
      <c r="I458" s="5" t="n">
        <f aca="false">MAX(1,H$2:H458)</f>
        <v>18.8008629686428</v>
      </c>
      <c r="J458" s="12" t="n">
        <f aca="false">H458/I458-1</f>
        <v>-0.211033333333333</v>
      </c>
      <c r="K458" s="12" t="n">
        <f aca="false">Data!L458</f>
        <v>-0.2536</v>
      </c>
    </row>
    <row r="459" customFormat="false" ht="30" hidden="false" customHeight="true" outlineLevel="0" collapsed="false">
      <c r="A459" s="4" t="str">
        <f aca="false">Data!A459</f>
        <v>2001-02</v>
      </c>
      <c r="B459" s="13" t="n">
        <f aca="false">Data!K459</f>
        <v>-0.0449</v>
      </c>
      <c r="C459" s="13" t="n">
        <f aca="false">Data!B459</f>
        <v>-0.1947</v>
      </c>
      <c r="D459" s="13" t="n">
        <f aca="false">(B459-C459)*Inputs!B2</f>
        <v>0.0749</v>
      </c>
      <c r="E459" s="13" t="n">
        <f aca="false">4*Inputs!B2*Inputs!B4*Inputs!B3/10000</f>
        <v>0.001</v>
      </c>
      <c r="F459" s="13" t="n">
        <f aca="false">Inputs!B2*Inputs!B5/Inputs!B6</f>
        <v>0.000833333333333333</v>
      </c>
      <c r="G459" s="13" t="n">
        <f aca="false">D459-E459-F459</f>
        <v>0.0730666666666667</v>
      </c>
      <c r="H459" s="4" t="n">
        <f aca="false">(1+G459)*H458</f>
        <v>15.9170706260777</v>
      </c>
      <c r="I459" s="4" t="n">
        <f aca="false">MAX(1,H$2:H459)</f>
        <v>18.8008629686428</v>
      </c>
      <c r="J459" s="13" t="n">
        <f aca="false">H459/I459-1</f>
        <v>-0.153386168888889</v>
      </c>
      <c r="K459" s="13" t="n">
        <f aca="false">Data!L459</f>
        <v>0.1268</v>
      </c>
    </row>
    <row r="460" customFormat="false" ht="30" hidden="false" customHeight="true" outlineLevel="0" collapsed="false">
      <c r="A460" s="5" t="str">
        <f aca="false">Data!A460</f>
        <v>2001-03</v>
      </c>
      <c r="B460" s="12" t="n">
        <f aca="false">Data!K460</f>
        <v>-0.0289</v>
      </c>
      <c r="C460" s="12" t="n">
        <f aca="false">Data!B460</f>
        <v>-0.1762</v>
      </c>
      <c r="D460" s="12" t="n">
        <f aca="false">(B460-C460)*Inputs!B2</f>
        <v>0.07365</v>
      </c>
      <c r="E460" s="12" t="n">
        <f aca="false">4*Inputs!B2*Inputs!B4*Inputs!B3/10000</f>
        <v>0.001</v>
      </c>
      <c r="F460" s="12" t="n">
        <f aca="false">Inputs!B2*Inputs!B5/Inputs!B6</f>
        <v>0.000833333333333333</v>
      </c>
      <c r="G460" s="12" t="n">
        <f aca="false">D460-E460-F460</f>
        <v>0.0718166666666667</v>
      </c>
      <c r="H460" s="5" t="n">
        <f aca="false">(1+G460)*H459</f>
        <v>17.0601815815405</v>
      </c>
      <c r="I460" s="5" t="n">
        <f aca="false">MAX(1,H$2:H460)</f>
        <v>18.8008629686428</v>
      </c>
      <c r="J460" s="12" t="n">
        <f aca="false">H460/I460-1</f>
        <v>-0.0925851855845925</v>
      </c>
      <c r="K460" s="12" t="n">
        <f aca="false">Data!L460</f>
        <v>0.0858</v>
      </c>
    </row>
    <row r="461" customFormat="false" ht="30" hidden="false" customHeight="true" outlineLevel="0" collapsed="false">
      <c r="A461" s="4" t="str">
        <f aca="false">Data!A461</f>
        <v>2001-04</v>
      </c>
      <c r="B461" s="13" t="n">
        <f aca="false">Data!K461</f>
        <v>0.0566</v>
      </c>
      <c r="C461" s="13" t="n">
        <f aca="false">Data!B461</f>
        <v>0.1483</v>
      </c>
      <c r="D461" s="13" t="n">
        <f aca="false">(B461-C461)*Inputs!B2</f>
        <v>-0.04585</v>
      </c>
      <c r="E461" s="13" t="n">
        <f aca="false">4*Inputs!B2*Inputs!B4*Inputs!B3/10000</f>
        <v>0.001</v>
      </c>
      <c r="F461" s="13" t="n">
        <f aca="false">Inputs!B2*Inputs!B5/Inputs!B6</f>
        <v>0.000833333333333333</v>
      </c>
      <c r="G461" s="13" t="n">
        <f aca="false">D461-E461-F461</f>
        <v>-0.0476833333333333</v>
      </c>
      <c r="H461" s="4" t="n">
        <f aca="false">(1+G461)*H460</f>
        <v>16.2466952564608</v>
      </c>
      <c r="I461" s="4" t="n">
        <f aca="false">MAX(1,H$2:H461)</f>
        <v>18.8008629686428</v>
      </c>
      <c r="J461" s="13" t="n">
        <f aca="false">H461/I461-1</f>
        <v>-0.135853748651967</v>
      </c>
      <c r="K461" s="13" t="n">
        <f aca="false">Data!L461</f>
        <v>-0.0796</v>
      </c>
    </row>
    <row r="462" customFormat="false" ht="30" hidden="false" customHeight="true" outlineLevel="0" collapsed="false">
      <c r="A462" s="5" t="str">
        <f aca="false">Data!A462</f>
        <v>2001-05</v>
      </c>
      <c r="B462" s="12" t="n">
        <f aca="false">Data!K462</f>
        <v>0.0306</v>
      </c>
      <c r="C462" s="12" t="n">
        <f aca="false">Data!B462</f>
        <v>-0.0594</v>
      </c>
      <c r="D462" s="12" t="n">
        <f aca="false">(B462-C462)*Inputs!B2</f>
        <v>0.045</v>
      </c>
      <c r="E462" s="12" t="n">
        <f aca="false">4*Inputs!B2*Inputs!B4*Inputs!B3/10000</f>
        <v>0.001</v>
      </c>
      <c r="F462" s="12" t="n">
        <f aca="false">Inputs!B2*Inputs!B5/Inputs!B6</f>
        <v>0.000833333333333333</v>
      </c>
      <c r="G462" s="12" t="n">
        <f aca="false">D462-E462-F462</f>
        <v>0.0431666666666667</v>
      </c>
      <c r="H462" s="5" t="n">
        <f aca="false">(1+G462)*H461</f>
        <v>16.9480109350313</v>
      </c>
      <c r="I462" s="5" t="n">
        <f aca="false">MAX(1,H$2:H462)</f>
        <v>18.8008629686428</v>
      </c>
      <c r="J462" s="12" t="n">
        <f aca="false">H462/I462-1</f>
        <v>-0.098551435468777</v>
      </c>
      <c r="K462" s="12" t="n">
        <f aca="false">Data!L462</f>
        <v>0.0243</v>
      </c>
    </row>
    <row r="463" customFormat="false" ht="30" hidden="false" customHeight="true" outlineLevel="0" collapsed="false">
      <c r="A463" s="4" t="str">
        <f aca="false">Data!A463</f>
        <v>2001-06</v>
      </c>
      <c r="B463" s="13" t="n">
        <f aca="false">Data!K463</f>
        <v>0.0111</v>
      </c>
      <c r="C463" s="13" t="n">
        <f aca="false">Data!B463</f>
        <v>0.0005</v>
      </c>
      <c r="D463" s="13" t="n">
        <f aca="false">(B463-C463)*Inputs!B2</f>
        <v>0.0053</v>
      </c>
      <c r="E463" s="13" t="n">
        <f aca="false">4*Inputs!B2*Inputs!B4*Inputs!B3/10000</f>
        <v>0.001</v>
      </c>
      <c r="F463" s="13" t="n">
        <f aca="false">Inputs!B2*Inputs!B5/Inputs!B6</f>
        <v>0.000833333333333333</v>
      </c>
      <c r="G463" s="13" t="n">
        <f aca="false">D463-E463-F463</f>
        <v>0.00346666666666667</v>
      </c>
      <c r="H463" s="4" t="n">
        <f aca="false">(1+G463)*H462</f>
        <v>17.0067640396061</v>
      </c>
      <c r="I463" s="4" t="n">
        <f aca="false">MAX(1,H$2:H463)</f>
        <v>18.8008629686428</v>
      </c>
      <c r="J463" s="13" t="n">
        <f aca="false">H463/I463-1</f>
        <v>-0.095426413778402</v>
      </c>
      <c r="K463" s="13" t="n">
        <f aca="false">Data!L463</f>
        <v>0.0061</v>
      </c>
    </row>
    <row r="464" customFormat="false" ht="30" hidden="false" customHeight="true" outlineLevel="0" collapsed="false">
      <c r="A464" s="5" t="str">
        <f aca="false">Data!A464</f>
        <v>2001-07</v>
      </c>
      <c r="B464" s="12" t="n">
        <f aca="false">Data!K464</f>
        <v>-0.0287</v>
      </c>
      <c r="C464" s="12" t="n">
        <f aca="false">Data!B464</f>
        <v>-0.0651</v>
      </c>
      <c r="D464" s="12" t="n">
        <f aca="false">(B464-C464)*Inputs!B2</f>
        <v>0.0182</v>
      </c>
      <c r="E464" s="12" t="n">
        <f aca="false">4*Inputs!B2*Inputs!B4*Inputs!B3/10000</f>
        <v>0.001</v>
      </c>
      <c r="F464" s="12" t="n">
        <f aca="false">Inputs!B2*Inputs!B5/Inputs!B6</f>
        <v>0.000833333333333333</v>
      </c>
      <c r="G464" s="12" t="n">
        <f aca="false">D464-E464-F464</f>
        <v>0.0163666666666667</v>
      </c>
      <c r="H464" s="5" t="n">
        <f aca="false">(1+G464)*H463</f>
        <v>17.285108077721</v>
      </c>
      <c r="I464" s="5" t="n">
        <f aca="false">MAX(1,H$2:H464)</f>
        <v>18.8008629686428</v>
      </c>
      <c r="J464" s="12" t="n">
        <f aca="false">H464/I464-1</f>
        <v>-0.0806215594172419</v>
      </c>
      <c r="K464" s="12" t="n">
        <f aca="false">Data!L464</f>
        <v>0.0547</v>
      </c>
    </row>
    <row r="465" customFormat="false" ht="30" hidden="false" customHeight="true" outlineLevel="0" collapsed="false">
      <c r="A465" s="4" t="str">
        <f aca="false">Data!A465</f>
        <v>2001-08</v>
      </c>
      <c r="B465" s="13" t="n">
        <f aca="false">Data!K465</f>
        <v>-0.0331</v>
      </c>
      <c r="C465" s="13" t="n">
        <f aca="false">Data!B465</f>
        <v>-0.1444</v>
      </c>
      <c r="D465" s="13" t="n">
        <f aca="false">(B465-C465)*Inputs!B2</f>
        <v>0.05565</v>
      </c>
      <c r="E465" s="13" t="n">
        <f aca="false">4*Inputs!B2*Inputs!B4*Inputs!B3/10000</f>
        <v>0.001</v>
      </c>
      <c r="F465" s="13" t="n">
        <f aca="false">Inputs!B2*Inputs!B5/Inputs!B6</f>
        <v>0.000833333333333333</v>
      </c>
      <c r="G465" s="13" t="n">
        <f aca="false">D465-E465-F465</f>
        <v>0.0538166666666667</v>
      </c>
      <c r="H465" s="4" t="n">
        <f aca="false">(1+G465)*H464</f>
        <v>18.215334977437</v>
      </c>
      <c r="I465" s="4" t="n">
        <f aca="false">MAX(1,H$2:H465)</f>
        <v>18.8008629686428</v>
      </c>
      <c r="J465" s="13" t="n">
        <f aca="false">H465/I465-1</f>
        <v>-0.0311436763398799</v>
      </c>
      <c r="K465" s="13" t="n">
        <f aca="false">Data!L465</f>
        <v>0.0549</v>
      </c>
    </row>
    <row r="466" customFormat="false" ht="30" hidden="false" customHeight="true" outlineLevel="0" collapsed="false">
      <c r="A466" s="5" t="str">
        <f aca="false">Data!A466</f>
        <v>2001-09</v>
      </c>
      <c r="B466" s="12" t="n">
        <f aca="false">Data!K466</f>
        <v>-0.0755</v>
      </c>
      <c r="C466" s="12" t="n">
        <f aca="false">Data!B466</f>
        <v>-0.2266</v>
      </c>
      <c r="D466" s="12" t="n">
        <f aca="false">(B466-C466)*Inputs!B2</f>
        <v>0.07555</v>
      </c>
      <c r="E466" s="12" t="n">
        <f aca="false">4*Inputs!B2*Inputs!B4*Inputs!B3/10000</f>
        <v>0.001</v>
      </c>
      <c r="F466" s="12" t="n">
        <f aca="false">Inputs!B2*Inputs!B5/Inputs!B6</f>
        <v>0.000833333333333333</v>
      </c>
      <c r="G466" s="12" t="n">
        <f aca="false">D466-E466-F466</f>
        <v>0.0737166666666667</v>
      </c>
      <c r="H466" s="5" t="n">
        <f aca="false">(1+G466)*H465</f>
        <v>19.5581087541904</v>
      </c>
      <c r="I466" s="5" t="n">
        <f aca="false">MAX(1,H$2:H466)</f>
        <v>19.5581087541904</v>
      </c>
      <c r="J466" s="12" t="n">
        <f aca="false">H466/I466-1</f>
        <v>0</v>
      </c>
      <c r="K466" s="12" t="n">
        <f aca="false">Data!L466</f>
        <v>0.114</v>
      </c>
    </row>
    <row r="467" customFormat="false" ht="30" hidden="false" customHeight="true" outlineLevel="0" collapsed="false">
      <c r="A467" s="4" t="str">
        <f aca="false">Data!A467</f>
        <v>2001-10</v>
      </c>
      <c r="B467" s="13" t="n">
        <f aca="false">Data!K467</f>
        <v>0.0219</v>
      </c>
      <c r="C467" s="13" t="n">
        <f aca="false">Data!B467</f>
        <v>0.1563</v>
      </c>
      <c r="D467" s="13" t="n">
        <f aca="false">(B467-C467)*Inputs!B2</f>
        <v>-0.0672</v>
      </c>
      <c r="E467" s="13" t="n">
        <f aca="false">4*Inputs!B2*Inputs!B4*Inputs!B3/10000</f>
        <v>0.001</v>
      </c>
      <c r="F467" s="13" t="n">
        <f aca="false">Inputs!B2*Inputs!B5/Inputs!B6</f>
        <v>0.000833333333333333</v>
      </c>
      <c r="G467" s="13" t="n">
        <f aca="false">D467-E467-F467</f>
        <v>-0.0690333333333333</v>
      </c>
      <c r="H467" s="4" t="n">
        <f aca="false">(1+G467)*H466</f>
        <v>18.2079473131928</v>
      </c>
      <c r="I467" s="4" t="n">
        <f aca="false">MAX(1,H$2:H467)</f>
        <v>19.5581087541904</v>
      </c>
      <c r="J467" s="13" t="n">
        <f aca="false">H467/I467-1</f>
        <v>-0.0690333333333334</v>
      </c>
      <c r="K467" s="13" t="n">
        <f aca="false">Data!L467</f>
        <v>-0.084</v>
      </c>
    </row>
    <row r="468" customFormat="false" ht="30" hidden="false" customHeight="true" outlineLevel="0" collapsed="false">
      <c r="A468" s="5" t="str">
        <f aca="false">Data!A468</f>
        <v>2001-11</v>
      </c>
      <c r="B468" s="12" t="n">
        <f aca="false">Data!K468</f>
        <v>0.0469</v>
      </c>
      <c r="C468" s="12" t="n">
        <f aca="false">Data!B468</f>
        <v>0.2019</v>
      </c>
      <c r="D468" s="12" t="n">
        <f aca="false">(B468-C468)*Inputs!B2</f>
        <v>-0.0775</v>
      </c>
      <c r="E468" s="12" t="n">
        <f aca="false">4*Inputs!B2*Inputs!B4*Inputs!B3/10000</f>
        <v>0.001</v>
      </c>
      <c r="F468" s="12" t="n">
        <f aca="false">Inputs!B2*Inputs!B5/Inputs!B6</f>
        <v>0.000833333333333333</v>
      </c>
      <c r="G468" s="12" t="n">
        <f aca="false">D468-E468-F468</f>
        <v>-0.0793333333333333</v>
      </c>
      <c r="H468" s="5" t="n">
        <f aca="false">(1+G468)*H467</f>
        <v>16.7634501596795</v>
      </c>
      <c r="I468" s="5" t="n">
        <f aca="false">MAX(1,H$2:H468)</f>
        <v>19.5581087541904</v>
      </c>
      <c r="J468" s="12" t="n">
        <f aca="false">H468/I468-1</f>
        <v>-0.142890022222222</v>
      </c>
      <c r="K468" s="12" t="n">
        <f aca="false">Data!L468</f>
        <v>-0.0862</v>
      </c>
    </row>
    <row r="469" customFormat="false" ht="30" hidden="false" customHeight="true" outlineLevel="0" collapsed="false">
      <c r="A469" s="4" t="str">
        <f aca="false">Data!A469</f>
        <v>2001-12</v>
      </c>
      <c r="B469" s="13" t="n">
        <f aca="false">Data!K469</f>
        <v>0.0488</v>
      </c>
      <c r="C469" s="13" t="n">
        <f aca="false">Data!B469</f>
        <v>-0.007</v>
      </c>
      <c r="D469" s="13" t="n">
        <f aca="false">(B469-C469)*Inputs!B2</f>
        <v>0.0279</v>
      </c>
      <c r="E469" s="13" t="n">
        <f aca="false">4*Inputs!B2*Inputs!B4*Inputs!B3/10000</f>
        <v>0.001</v>
      </c>
      <c r="F469" s="13" t="n">
        <f aca="false">Inputs!B2*Inputs!B5/Inputs!B6</f>
        <v>0.000833333333333333</v>
      </c>
      <c r="G469" s="13" t="n">
        <f aca="false">D469-E469-F469</f>
        <v>0.0260666666666667</v>
      </c>
      <c r="H469" s="4" t="n">
        <f aca="false">(1+G469)*H468</f>
        <v>17.2004174271751</v>
      </c>
      <c r="I469" s="4" t="n">
        <f aca="false">MAX(1,H$2:H469)</f>
        <v>19.5581087541904</v>
      </c>
      <c r="J469" s="13" t="n">
        <f aca="false">H469/I469-1</f>
        <v>-0.120548022134815</v>
      </c>
      <c r="K469" s="13" t="n">
        <f aca="false">Data!L469</f>
        <v>0.0005</v>
      </c>
    </row>
    <row r="470" customFormat="false" ht="30" hidden="false" customHeight="true" outlineLevel="0" collapsed="false">
      <c r="A470" s="5" t="str">
        <f aca="false">Data!A470</f>
        <v>2002-01</v>
      </c>
      <c r="B470" s="12" t="n">
        <f aca="false">Data!K470</f>
        <v>-0.0022</v>
      </c>
      <c r="C470" s="12" t="n">
        <f aca="false">Data!B470</f>
        <v>-0.0114</v>
      </c>
      <c r="D470" s="12" t="n">
        <f aca="false">(B470-C470)*Inputs!B2</f>
        <v>0.0046</v>
      </c>
      <c r="E470" s="12" t="n">
        <f aca="false">4*Inputs!B2*Inputs!B4*Inputs!B3/10000</f>
        <v>0.001</v>
      </c>
      <c r="F470" s="12" t="n">
        <f aca="false">Inputs!B2*Inputs!B5/Inputs!B6</f>
        <v>0.000833333333333333</v>
      </c>
      <c r="G470" s="12" t="n">
        <f aca="false">D470-E470-F470</f>
        <v>0.00276666666666667</v>
      </c>
      <c r="H470" s="5" t="n">
        <f aca="false">(1+G470)*H469</f>
        <v>17.2480052487236</v>
      </c>
      <c r="I470" s="5" t="n">
        <f aca="false">MAX(1,H$2:H470)</f>
        <v>19.5581087541904</v>
      </c>
      <c r="J470" s="12" t="n">
        <f aca="false">H470/I470-1</f>
        <v>-0.118114871662721</v>
      </c>
      <c r="K470" s="12" t="n">
        <f aca="false">Data!L470</f>
        <v>0.0366</v>
      </c>
    </row>
    <row r="471" customFormat="false" ht="30" hidden="false" customHeight="true" outlineLevel="0" collapsed="false">
      <c r="A471" s="4" t="str">
        <f aca="false">Data!A471</f>
        <v>2002-02</v>
      </c>
      <c r="B471" s="13" t="n">
        <f aca="false">Data!K471</f>
        <v>-0.0197</v>
      </c>
      <c r="C471" s="13" t="n">
        <f aca="false">Data!B471</f>
        <v>-0.1741</v>
      </c>
      <c r="D471" s="13" t="n">
        <f aca="false">(B471-C471)*Inputs!B2</f>
        <v>0.0772</v>
      </c>
      <c r="E471" s="13" t="n">
        <f aca="false">4*Inputs!B2*Inputs!B4*Inputs!B3/10000</f>
        <v>0.001</v>
      </c>
      <c r="F471" s="13" t="n">
        <f aca="false">Inputs!B2*Inputs!B5/Inputs!B6</f>
        <v>0.000833333333333333</v>
      </c>
      <c r="G471" s="13" t="n">
        <f aca="false">D471-E471-F471</f>
        <v>0.0753666666666667</v>
      </c>
      <c r="H471" s="4" t="n">
        <f aca="false">(1+G471)*H470</f>
        <v>18.5479299109691</v>
      </c>
      <c r="I471" s="4" t="n">
        <f aca="false">MAX(1,H$2:H471)</f>
        <v>19.5581087541904</v>
      </c>
      <c r="J471" s="13" t="n">
        <f aca="false">H471/I471-1</f>
        <v>-0.0516501291570349</v>
      </c>
      <c r="K471" s="13" t="n">
        <f aca="false">Data!L471</f>
        <v>0.0688</v>
      </c>
    </row>
    <row r="472" customFormat="false" ht="30" hidden="false" customHeight="true" outlineLevel="0" collapsed="false">
      <c r="A472" s="5" t="str">
        <f aca="false">Data!A472</f>
        <v>2002-03</v>
      </c>
      <c r="B472" s="12" t="n">
        <f aca="false">Data!K472</f>
        <v>0.0584</v>
      </c>
      <c r="C472" s="12" t="n">
        <f aca="false">Data!B472</f>
        <v>0.0744</v>
      </c>
      <c r="D472" s="12" t="n">
        <f aca="false">(B472-C472)*Inputs!B2</f>
        <v>-0.008</v>
      </c>
      <c r="E472" s="12" t="n">
        <f aca="false">4*Inputs!B2*Inputs!B4*Inputs!B3/10000</f>
        <v>0.001</v>
      </c>
      <c r="F472" s="12" t="n">
        <f aca="false">Inputs!B2*Inputs!B5/Inputs!B6</f>
        <v>0.000833333333333333</v>
      </c>
      <c r="G472" s="12" t="n">
        <f aca="false">D472-E472-F472</f>
        <v>-0.00983333333333334</v>
      </c>
      <c r="H472" s="5" t="n">
        <f aca="false">(1+G472)*H471</f>
        <v>18.3655419335113</v>
      </c>
      <c r="I472" s="5" t="n">
        <f aca="false">MAX(1,H$2:H472)</f>
        <v>19.5581087541904</v>
      </c>
      <c r="J472" s="12" t="n">
        <f aca="false">H472/I472-1</f>
        <v>-0.0609755695536575</v>
      </c>
      <c r="K472" s="12" t="n">
        <f aca="false">Data!L472</f>
        <v>-0.0166</v>
      </c>
    </row>
    <row r="473" customFormat="false" ht="30" hidden="false" customHeight="true" outlineLevel="0" collapsed="false">
      <c r="A473" s="4" t="str">
        <f aca="false">Data!A473</f>
        <v>2002-04</v>
      </c>
      <c r="B473" s="13" t="n">
        <f aca="false">Data!K473</f>
        <v>-0.0041</v>
      </c>
      <c r="C473" s="13" t="n">
        <f aca="false">Data!B473</f>
        <v>-0.1423</v>
      </c>
      <c r="D473" s="13" t="n">
        <f aca="false">(B473-C473)*Inputs!B2</f>
        <v>0.0691</v>
      </c>
      <c r="E473" s="13" t="n">
        <f aca="false">4*Inputs!B2*Inputs!B4*Inputs!B3/10000</f>
        <v>0.001</v>
      </c>
      <c r="F473" s="13" t="n">
        <f aca="false">Inputs!B2*Inputs!B5/Inputs!B6</f>
        <v>0.000833333333333333</v>
      </c>
      <c r="G473" s="13" t="n">
        <f aca="false">D473-E473-F473</f>
        <v>0.0672666666666667</v>
      </c>
      <c r="H473" s="4" t="n">
        <f aca="false">(1+G473)*H472</f>
        <v>19.6009307209054</v>
      </c>
      <c r="I473" s="4" t="n">
        <f aca="false">MAX(1,H$2:H473)</f>
        <v>19.6009307209054</v>
      </c>
      <c r="J473" s="13" t="n">
        <f aca="false">H473/I473-1</f>
        <v>0</v>
      </c>
      <c r="K473" s="13" t="n">
        <f aca="false">Data!L473</f>
        <v>0.0769</v>
      </c>
    </row>
    <row r="474" customFormat="false" ht="30" hidden="false" customHeight="true" outlineLevel="0" collapsed="false">
      <c r="A474" s="5" t="str">
        <f aca="false">Data!A474</f>
        <v>2002-05</v>
      </c>
      <c r="B474" s="12" t="n">
        <f aca="false">Data!K474</f>
        <v>-0.0251</v>
      </c>
      <c r="C474" s="12" t="n">
        <f aca="false">Data!B474</f>
        <v>-0.0688</v>
      </c>
      <c r="D474" s="12" t="n">
        <f aca="false">(B474-C474)*Inputs!B2</f>
        <v>0.02185</v>
      </c>
      <c r="E474" s="12" t="n">
        <f aca="false">4*Inputs!B2*Inputs!B4*Inputs!B3/10000</f>
        <v>0.001</v>
      </c>
      <c r="F474" s="12" t="n">
        <f aca="false">Inputs!B2*Inputs!B5/Inputs!B6</f>
        <v>0.000833333333333333</v>
      </c>
      <c r="G474" s="12" t="n">
        <f aca="false">D474-E474-F474</f>
        <v>0.0200166666666667</v>
      </c>
      <c r="H474" s="5" t="n">
        <f aca="false">(1+G474)*H473</f>
        <v>19.9932760175022</v>
      </c>
      <c r="I474" s="5" t="n">
        <f aca="false">MAX(1,H$2:H474)</f>
        <v>19.9932760175022</v>
      </c>
      <c r="J474" s="12" t="n">
        <f aca="false">H474/I474-1</f>
        <v>0</v>
      </c>
      <c r="K474" s="12" t="n">
        <f aca="false">Data!L474</f>
        <v>0.0312</v>
      </c>
    </row>
    <row r="475" customFormat="false" ht="30" hidden="false" customHeight="true" outlineLevel="0" collapsed="false">
      <c r="A475" s="4" t="str">
        <f aca="false">Data!A475</f>
        <v>2002-06</v>
      </c>
      <c r="B475" s="13" t="n">
        <f aca="false">Data!K475</f>
        <v>-0.029</v>
      </c>
      <c r="C475" s="13" t="n">
        <f aca="false">Data!B475</f>
        <v>-0.1396</v>
      </c>
      <c r="D475" s="13" t="n">
        <f aca="false">(B475-C475)*Inputs!B2</f>
        <v>0.0553</v>
      </c>
      <c r="E475" s="13" t="n">
        <f aca="false">4*Inputs!B2*Inputs!B4*Inputs!B3/10000</f>
        <v>0.001</v>
      </c>
      <c r="F475" s="13" t="n">
        <f aca="false">Inputs!B2*Inputs!B5/Inputs!B6</f>
        <v>0.000833333333333333</v>
      </c>
      <c r="G475" s="13" t="n">
        <f aca="false">D475-E475-F475</f>
        <v>0.0534666666666667</v>
      </c>
      <c r="H475" s="4" t="n">
        <f aca="false">(1+G475)*H474</f>
        <v>21.0622498419047</v>
      </c>
      <c r="I475" s="4" t="n">
        <f aca="false">MAX(1,H$2:H475)</f>
        <v>21.0622498419047</v>
      </c>
      <c r="J475" s="13" t="n">
        <f aca="false">H475/I475-1</f>
        <v>0</v>
      </c>
      <c r="K475" s="13" t="n">
        <f aca="false">Data!L475</f>
        <v>0.0622</v>
      </c>
    </row>
    <row r="476" customFormat="false" ht="30" hidden="false" customHeight="true" outlineLevel="0" collapsed="false">
      <c r="A476" s="5" t="str">
        <f aca="false">Data!A476</f>
        <v>2002-07</v>
      </c>
      <c r="B476" s="12" t="n">
        <f aca="false">Data!K476</f>
        <v>-0.1187</v>
      </c>
      <c r="C476" s="12" t="n">
        <f aca="false">Data!B476</f>
        <v>-0.0675</v>
      </c>
      <c r="D476" s="12" t="n">
        <f aca="false">(B476-C476)*Inputs!B2</f>
        <v>-0.0256</v>
      </c>
      <c r="E476" s="12" t="n">
        <f aca="false">4*Inputs!B2*Inputs!B4*Inputs!B3/10000</f>
        <v>0.001</v>
      </c>
      <c r="F476" s="12" t="n">
        <f aca="false">Inputs!B2*Inputs!B5/Inputs!B6</f>
        <v>0.000833333333333333</v>
      </c>
      <c r="G476" s="12" t="n">
        <f aca="false">D476-E476-F476</f>
        <v>-0.0274333333333333</v>
      </c>
      <c r="H476" s="5" t="n">
        <f aca="false">(1+G476)*H475</f>
        <v>20.4844421212418</v>
      </c>
      <c r="I476" s="5" t="n">
        <f aca="false">MAX(1,H$2:H476)</f>
        <v>21.0622498419047</v>
      </c>
      <c r="J476" s="12" t="n">
        <f aca="false">H476/I476-1</f>
        <v>-0.0274333333333333</v>
      </c>
      <c r="K476" s="12" t="n">
        <f aca="false">Data!L476</f>
        <v>0.0365</v>
      </c>
    </row>
    <row r="477" customFormat="false" ht="30" hidden="false" customHeight="true" outlineLevel="0" collapsed="false">
      <c r="A477" s="4" t="str">
        <f aca="false">Data!A477</f>
        <v>2002-08</v>
      </c>
      <c r="B477" s="13" t="n">
        <f aca="false">Data!K477</f>
        <v>0.0139</v>
      </c>
      <c r="C477" s="13" t="n">
        <f aca="false">Data!B477</f>
        <v>0.0363</v>
      </c>
      <c r="D477" s="13" t="n">
        <f aca="false">(B477-C477)*Inputs!B2</f>
        <v>-0.0112</v>
      </c>
      <c r="E477" s="13" t="n">
        <f aca="false">4*Inputs!B2*Inputs!B4*Inputs!B3/10000</f>
        <v>0.001</v>
      </c>
      <c r="F477" s="13" t="n">
        <f aca="false">Inputs!B2*Inputs!B5/Inputs!B6</f>
        <v>0.000833333333333333</v>
      </c>
      <c r="G477" s="13" t="n">
        <f aca="false">D477-E477-F477</f>
        <v>-0.0130333333333333</v>
      </c>
      <c r="H477" s="4" t="n">
        <f aca="false">(1+G477)*H476</f>
        <v>20.2174615589283</v>
      </c>
      <c r="I477" s="4" t="n">
        <f aca="false">MAX(1,H$2:H477)</f>
        <v>21.0622498419047</v>
      </c>
      <c r="J477" s="13" t="n">
        <f aca="false">H477/I477-1</f>
        <v>-0.0401091188888888</v>
      </c>
      <c r="K477" s="13" t="n">
        <f aca="false">Data!L477</f>
        <v>0.0184</v>
      </c>
    </row>
    <row r="478" customFormat="false" ht="30" hidden="false" customHeight="true" outlineLevel="0" collapsed="false">
      <c r="A478" s="5" t="str">
        <f aca="false">Data!A478</f>
        <v>2002-09</v>
      </c>
      <c r="B478" s="12" t="n">
        <f aca="false">Data!K478</f>
        <v>-0.0311</v>
      </c>
      <c r="C478" s="12" t="n">
        <f aca="false">Data!B478</f>
        <v>-0.1651</v>
      </c>
      <c r="D478" s="12" t="n">
        <f aca="false">(B478-C478)*Inputs!B2</f>
        <v>0.067</v>
      </c>
      <c r="E478" s="12" t="n">
        <f aca="false">4*Inputs!B2*Inputs!B4*Inputs!B3/10000</f>
        <v>0.001</v>
      </c>
      <c r="F478" s="12" t="n">
        <f aca="false">Inputs!B2*Inputs!B5/Inputs!B6</f>
        <v>0.000833333333333333</v>
      </c>
      <c r="G478" s="12" t="n">
        <f aca="false">D478-E478-F478</f>
        <v>0.0651666666666667</v>
      </c>
      <c r="H478" s="5" t="n">
        <f aca="false">(1+G478)*H477</f>
        <v>21.5349661371851</v>
      </c>
      <c r="I478" s="5" t="n">
        <f aca="false">MAX(1,H$2:H478)</f>
        <v>21.5349661371851</v>
      </c>
      <c r="J478" s="12" t="n">
        <f aca="false">H478/I478-1</f>
        <v>0</v>
      </c>
      <c r="K478" s="12" t="n">
        <f aca="false">Data!L478</f>
        <v>0.09</v>
      </c>
    </row>
    <row r="479" customFormat="false" ht="30" hidden="false" customHeight="true" outlineLevel="0" collapsed="false">
      <c r="A479" s="4" t="str">
        <f aca="false">Data!A479</f>
        <v>2002-10</v>
      </c>
      <c r="B479" s="13" t="n">
        <f aca="false">Data!K479</f>
        <v>0.0515</v>
      </c>
      <c r="C479" s="13" t="n">
        <f aca="false">Data!B479</f>
        <v>0.21</v>
      </c>
      <c r="D479" s="13" t="n">
        <f aca="false">(B479-C479)*Inputs!B2</f>
        <v>-0.07925</v>
      </c>
      <c r="E479" s="13" t="n">
        <f aca="false">4*Inputs!B2*Inputs!B4*Inputs!B3/10000</f>
        <v>0.001</v>
      </c>
      <c r="F479" s="13" t="n">
        <f aca="false">Inputs!B2*Inputs!B5/Inputs!B6</f>
        <v>0.000833333333333333</v>
      </c>
      <c r="G479" s="13" t="n">
        <f aca="false">D479-E479-F479</f>
        <v>-0.0810833333333333</v>
      </c>
      <c r="H479" s="4" t="n">
        <f aca="false">(1+G479)*H478</f>
        <v>19.7888392995616</v>
      </c>
      <c r="I479" s="4" t="n">
        <f aca="false">MAX(1,H$2:H479)</f>
        <v>21.5349661371851</v>
      </c>
      <c r="J479" s="13" t="n">
        <f aca="false">H479/I479-1</f>
        <v>-0.0810833333333334</v>
      </c>
      <c r="K479" s="13" t="n">
        <f aca="false">Data!L479</f>
        <v>-0.0547</v>
      </c>
    </row>
    <row r="480" customFormat="false" ht="30" hidden="false" customHeight="true" outlineLevel="0" collapsed="false">
      <c r="A480" s="5" t="str">
        <f aca="false">Data!A480</f>
        <v>2002-11</v>
      </c>
      <c r="B480" s="12" t="n">
        <f aca="false">Data!K480</f>
        <v>0.0232</v>
      </c>
      <c r="C480" s="12" t="n">
        <f aca="false">Data!B480</f>
        <v>0.2295</v>
      </c>
      <c r="D480" s="12" t="n">
        <f aca="false">(B480-C480)*Inputs!B2</f>
        <v>-0.10315</v>
      </c>
      <c r="E480" s="12" t="n">
        <f aca="false">4*Inputs!B2*Inputs!B4*Inputs!B3/10000</f>
        <v>0.001</v>
      </c>
      <c r="F480" s="12" t="n">
        <f aca="false">Inputs!B2*Inputs!B5/Inputs!B6</f>
        <v>0.000833333333333333</v>
      </c>
      <c r="G480" s="12" t="n">
        <f aca="false">D480-E480-F480</f>
        <v>-0.104983333333333</v>
      </c>
      <c r="H480" s="5" t="n">
        <f aca="false">(1+G480)*H479</f>
        <v>17.711340987096</v>
      </c>
      <c r="I480" s="5" t="n">
        <f aca="false">MAX(1,H$2:H480)</f>
        <v>21.5349661371851</v>
      </c>
      <c r="J480" s="12" t="n">
        <f aca="false">H480/I480-1</f>
        <v>-0.177554268055556</v>
      </c>
      <c r="K480" s="12" t="n">
        <f aca="false">Data!L480</f>
        <v>-0.1645</v>
      </c>
    </row>
    <row r="481" customFormat="false" ht="30" hidden="false" customHeight="true" outlineLevel="0" collapsed="false">
      <c r="A481" s="4" t="str">
        <f aca="false">Data!A481</f>
        <v>2002-12</v>
      </c>
      <c r="B481" s="13" t="n">
        <f aca="false">Data!K481</f>
        <v>-0.0175</v>
      </c>
      <c r="C481" s="13" t="n">
        <f aca="false">Data!B481</f>
        <v>-0.1517</v>
      </c>
      <c r="D481" s="13" t="n">
        <f aca="false">(B481-C481)*Inputs!B2</f>
        <v>0.0671</v>
      </c>
      <c r="E481" s="13" t="n">
        <f aca="false">4*Inputs!B2*Inputs!B4*Inputs!B3/10000</f>
        <v>0.001</v>
      </c>
      <c r="F481" s="13" t="n">
        <f aca="false">Inputs!B2*Inputs!B5/Inputs!B6</f>
        <v>0.000833333333333333</v>
      </c>
      <c r="G481" s="13" t="n">
        <f aca="false">D481-E481-F481</f>
        <v>0.0652666666666667</v>
      </c>
      <c r="H481" s="4" t="n">
        <f aca="false">(1+G481)*H480</f>
        <v>18.8673011755205</v>
      </c>
      <c r="I481" s="4" t="n">
        <f aca="false">MAX(1,H$2:H481)</f>
        <v>21.5349661371851</v>
      </c>
      <c r="J481" s="13" t="n">
        <f aca="false">H481/I481-1</f>
        <v>-0.123875976617315</v>
      </c>
      <c r="K481" s="13" t="n">
        <f aca="false">Data!L481</f>
        <v>0.0971</v>
      </c>
    </row>
    <row r="482" customFormat="false" ht="30" hidden="false" customHeight="true" outlineLevel="0" collapsed="false">
      <c r="A482" s="5" t="str">
        <f aca="false">Data!A482</f>
        <v>2003-01</v>
      </c>
      <c r="B482" s="12" t="n">
        <f aca="false">Data!K482</f>
        <v>-0.0101</v>
      </c>
      <c r="C482" s="12" t="n">
        <f aca="false">Data!B482</f>
        <v>-0.0376</v>
      </c>
      <c r="D482" s="12" t="n">
        <f aca="false">(B482-C482)*Inputs!B2</f>
        <v>0.01375</v>
      </c>
      <c r="E482" s="12" t="n">
        <f aca="false">4*Inputs!B2*Inputs!B4*Inputs!B3/10000</f>
        <v>0.001</v>
      </c>
      <c r="F482" s="12" t="n">
        <f aca="false">Inputs!B2*Inputs!B5/Inputs!B6</f>
        <v>0.000833333333333333</v>
      </c>
      <c r="G482" s="12" t="n">
        <f aca="false">D482-E482-F482</f>
        <v>0.0119166666666667</v>
      </c>
      <c r="H482" s="5" t="n">
        <f aca="false">(1+G482)*H481</f>
        <v>19.0921365145288</v>
      </c>
      <c r="I482" s="5" t="n">
        <f aca="false">MAX(1,H$2:H482)</f>
        <v>21.5349661371851</v>
      </c>
      <c r="J482" s="12" t="n">
        <f aca="false">H482/I482-1</f>
        <v>-0.113435498672005</v>
      </c>
      <c r="K482" s="12" t="n">
        <f aca="false">Data!L482</f>
        <v>0.0153</v>
      </c>
    </row>
    <row r="483" customFormat="false" ht="30" hidden="false" customHeight="true" outlineLevel="0" collapsed="false">
      <c r="A483" s="4" t="str">
        <f aca="false">Data!A483</f>
        <v>2003-02</v>
      </c>
      <c r="B483" s="13" t="n">
        <f aca="false">Data!K483</f>
        <v>0.0038</v>
      </c>
      <c r="C483" s="13" t="n">
        <f aca="false">Data!B483</f>
        <v>0.0129</v>
      </c>
      <c r="D483" s="13" t="n">
        <f aca="false">(B483-C483)*Inputs!B2</f>
        <v>-0.00455</v>
      </c>
      <c r="E483" s="13" t="n">
        <f aca="false">4*Inputs!B2*Inputs!B4*Inputs!B3/10000</f>
        <v>0.001</v>
      </c>
      <c r="F483" s="13" t="n">
        <f aca="false">Inputs!B2*Inputs!B5/Inputs!B6</f>
        <v>0.000833333333333333</v>
      </c>
      <c r="G483" s="13" t="n">
        <f aca="false">D483-E483-F483</f>
        <v>-0.00638333333333333</v>
      </c>
      <c r="H483" s="4" t="n">
        <f aca="false">(1+G483)*H482</f>
        <v>18.970265043111</v>
      </c>
      <c r="I483" s="4" t="n">
        <f aca="false">MAX(1,H$2:H483)</f>
        <v>21.5349661371851</v>
      </c>
      <c r="J483" s="13" t="n">
        <f aca="false">H483/I483-1</f>
        <v>-0.119094735405482</v>
      </c>
      <c r="K483" s="13" t="n">
        <f aca="false">Data!L483</f>
        <v>0.0121</v>
      </c>
    </row>
    <row r="484" customFormat="false" ht="30" hidden="false" customHeight="true" outlineLevel="0" collapsed="false">
      <c r="A484" s="5" t="str">
        <f aca="false">Data!A484</f>
        <v>2003-03</v>
      </c>
      <c r="B484" s="12" t="n">
        <f aca="false">Data!K484</f>
        <v>0.036</v>
      </c>
      <c r="C484" s="12" t="n">
        <f aca="false">Data!B484</f>
        <v>0.0045</v>
      </c>
      <c r="D484" s="12" t="n">
        <f aca="false">(B484-C484)*Inputs!B2</f>
        <v>0.01575</v>
      </c>
      <c r="E484" s="12" t="n">
        <f aca="false">4*Inputs!B2*Inputs!B4*Inputs!B3/10000</f>
        <v>0.001</v>
      </c>
      <c r="F484" s="12" t="n">
        <f aca="false">Inputs!B2*Inputs!B5/Inputs!B6</f>
        <v>0.000833333333333333</v>
      </c>
      <c r="G484" s="12" t="n">
        <f aca="false">D484-E484-F484</f>
        <v>0.0139166666666667</v>
      </c>
      <c r="H484" s="5" t="n">
        <f aca="false">(1+G484)*H483</f>
        <v>19.2342678982943</v>
      </c>
      <c r="I484" s="5" t="n">
        <f aca="false">MAX(1,H$2:H484)</f>
        <v>21.5349661371851</v>
      </c>
      <c r="J484" s="12" t="n">
        <f aca="false">H484/I484-1</f>
        <v>-0.106835470473208</v>
      </c>
      <c r="K484" s="12" t="n">
        <f aca="false">Data!L484</f>
        <v>0.0142</v>
      </c>
    </row>
    <row r="485" customFormat="false" ht="30" hidden="false" customHeight="true" outlineLevel="0" collapsed="false">
      <c r="A485" s="4" t="str">
        <f aca="false">Data!A485</f>
        <v>2003-04</v>
      </c>
      <c r="B485" s="13" t="n">
        <f aca="false">Data!K485</f>
        <v>0.0464</v>
      </c>
      <c r="C485" s="13" t="n">
        <f aca="false">Data!B485</f>
        <v>0.1921</v>
      </c>
      <c r="D485" s="13" t="n">
        <f aca="false">(B485-C485)*Inputs!B2</f>
        <v>-0.07285</v>
      </c>
      <c r="E485" s="13" t="n">
        <f aca="false">4*Inputs!B2*Inputs!B4*Inputs!B3/10000</f>
        <v>0.001</v>
      </c>
      <c r="F485" s="13" t="n">
        <f aca="false">Inputs!B2*Inputs!B5/Inputs!B6</f>
        <v>0.000833333333333333</v>
      </c>
      <c r="G485" s="13" t="n">
        <f aca="false">D485-E485-F485</f>
        <v>-0.0746833333333333</v>
      </c>
      <c r="H485" s="4" t="n">
        <f aca="false">(1+G485)*H484</f>
        <v>17.7977886574234</v>
      </c>
      <c r="I485" s="4" t="n">
        <f aca="false">MAX(1,H$2:H485)</f>
        <v>21.5349661371851</v>
      </c>
      <c r="J485" s="13" t="n">
        <f aca="false">H485/I485-1</f>
        <v>-0.173539974753367</v>
      </c>
      <c r="K485" s="13" t="n">
        <f aca="false">Data!L485</f>
        <v>-0.0932</v>
      </c>
    </row>
    <row r="486" customFormat="false" ht="30" hidden="false" customHeight="true" outlineLevel="0" collapsed="false">
      <c r="A486" s="5" t="str">
        <f aca="false">Data!A486</f>
        <v>2003-05</v>
      </c>
      <c r="B486" s="12" t="n">
        <f aca="false">Data!K486</f>
        <v>0.071</v>
      </c>
      <c r="C486" s="12" t="n">
        <f aca="false">Data!B486</f>
        <v>0.2199</v>
      </c>
      <c r="D486" s="12" t="n">
        <f aca="false">(B486-C486)*Inputs!B2</f>
        <v>-0.07445</v>
      </c>
      <c r="E486" s="12" t="n">
        <f aca="false">4*Inputs!B2*Inputs!B4*Inputs!B3/10000</f>
        <v>0.001</v>
      </c>
      <c r="F486" s="12" t="n">
        <f aca="false">Inputs!B2*Inputs!B5/Inputs!B6</f>
        <v>0.000833333333333333</v>
      </c>
      <c r="G486" s="12" t="n">
        <f aca="false">D486-E486-F486</f>
        <v>-0.0762833333333334</v>
      </c>
      <c r="H486" s="5" t="n">
        <f aca="false">(1+G486)*H485</f>
        <v>16.4401140126729</v>
      </c>
      <c r="I486" s="5" t="n">
        <f aca="false">MAX(1,H$2:H486)</f>
        <v>21.5349661371851</v>
      </c>
      <c r="J486" s="12" t="n">
        <f aca="false">H486/I486-1</f>
        <v>-0.236585100345931</v>
      </c>
      <c r="K486" s="12" t="n">
        <f aca="false">Data!L486</f>
        <v>-0.1072</v>
      </c>
    </row>
    <row r="487" customFormat="false" ht="30" hidden="false" customHeight="true" outlineLevel="0" collapsed="false">
      <c r="A487" s="4" t="str">
        <f aca="false">Data!A487</f>
        <v>2003-06</v>
      </c>
      <c r="B487" s="13" t="n">
        <f aca="false">Data!K487</f>
        <v>0.018</v>
      </c>
      <c r="C487" s="13" t="n">
        <f aca="false">Data!B487</f>
        <v>0.0294</v>
      </c>
      <c r="D487" s="13" t="n">
        <f aca="false">(B487-C487)*Inputs!B2</f>
        <v>-0.0057</v>
      </c>
      <c r="E487" s="13" t="n">
        <f aca="false">4*Inputs!B2*Inputs!B4*Inputs!B3/10000</f>
        <v>0.001</v>
      </c>
      <c r="F487" s="13" t="n">
        <f aca="false">Inputs!B2*Inputs!B5/Inputs!B6</f>
        <v>0.000833333333333333</v>
      </c>
      <c r="G487" s="13" t="n">
        <f aca="false">D487-E487-F487</f>
        <v>-0.00753333333333333</v>
      </c>
      <c r="H487" s="4" t="n">
        <f aca="false">(1+G487)*H486</f>
        <v>16.3162651537774</v>
      </c>
      <c r="I487" s="4" t="n">
        <f aca="false">MAX(1,H$2:H487)</f>
        <v>21.5349661371851</v>
      </c>
      <c r="J487" s="13" t="n">
        <f aca="false">H487/I487-1</f>
        <v>-0.242336159256659</v>
      </c>
      <c r="K487" s="13" t="n">
        <f aca="false">Data!L487</f>
        <v>-0.0124</v>
      </c>
    </row>
    <row r="488" customFormat="false" ht="30" hidden="false" customHeight="true" outlineLevel="0" collapsed="false">
      <c r="A488" s="5" t="str">
        <f aca="false">Data!A488</f>
        <v>2003-07</v>
      </c>
      <c r="B488" s="12" t="n">
        <f aca="false">Data!K488</f>
        <v>0.0352</v>
      </c>
      <c r="C488" s="12" t="n">
        <f aca="false">Data!B488</f>
        <v>0.0459</v>
      </c>
      <c r="D488" s="12" t="n">
        <f aca="false">(B488-C488)*Inputs!B2</f>
        <v>-0.00535</v>
      </c>
      <c r="E488" s="12" t="n">
        <f aca="false">4*Inputs!B2*Inputs!B4*Inputs!B3/10000</f>
        <v>0.001</v>
      </c>
      <c r="F488" s="12" t="n">
        <f aca="false">Inputs!B2*Inputs!B5/Inputs!B6</f>
        <v>0.000833333333333333</v>
      </c>
      <c r="G488" s="12" t="n">
        <f aca="false">D488-E488-F488</f>
        <v>-0.00718333333333333</v>
      </c>
      <c r="H488" s="5" t="n">
        <f aca="false">(1+G488)*H487</f>
        <v>16.1990599824228</v>
      </c>
      <c r="I488" s="5" t="n">
        <f aca="false">MAX(1,H$2:H488)</f>
        <v>21.5349661371851</v>
      </c>
      <c r="J488" s="12" t="n">
        <f aca="false">H488/I488-1</f>
        <v>-0.247778711179331</v>
      </c>
      <c r="K488" s="12" t="n">
        <f aca="false">Data!L488</f>
        <v>-0.0028</v>
      </c>
    </row>
    <row r="489" customFormat="false" ht="30" hidden="false" customHeight="true" outlineLevel="0" collapsed="false">
      <c r="A489" s="4" t="str">
        <f aca="false">Data!A489</f>
        <v>2003-08</v>
      </c>
      <c r="B489" s="13" t="n">
        <f aca="false">Data!K489</f>
        <v>0.0395</v>
      </c>
      <c r="C489" s="13" t="n">
        <f aca="false">Data!B489</f>
        <v>0.0369</v>
      </c>
      <c r="D489" s="13" t="n">
        <f aca="false">(B489-C489)*Inputs!B2</f>
        <v>0.0013</v>
      </c>
      <c r="E489" s="13" t="n">
        <f aca="false">4*Inputs!B2*Inputs!B4*Inputs!B3/10000</f>
        <v>0.001</v>
      </c>
      <c r="F489" s="13" t="n">
        <f aca="false">Inputs!B2*Inputs!B5/Inputs!B6</f>
        <v>0.000833333333333333</v>
      </c>
      <c r="G489" s="13" t="n">
        <f aca="false">D489-E489-F489</f>
        <v>-0.000533333333333334</v>
      </c>
      <c r="H489" s="4" t="n">
        <f aca="false">(1+G489)*H488</f>
        <v>16.1904204837655</v>
      </c>
      <c r="I489" s="4" t="n">
        <f aca="false">MAX(1,H$2:H489)</f>
        <v>21.5349661371851</v>
      </c>
      <c r="J489" s="13" t="n">
        <f aca="false">H489/I489-1</f>
        <v>-0.248179895866702</v>
      </c>
      <c r="K489" s="13" t="n">
        <f aca="false">Data!L489</f>
        <v>-0.0058</v>
      </c>
    </row>
    <row r="490" customFormat="false" ht="30" hidden="false" customHeight="true" outlineLevel="0" collapsed="false">
      <c r="A490" s="5" t="str">
        <f aca="false">Data!A490</f>
        <v>2003-09</v>
      </c>
      <c r="B490" s="12" t="n">
        <f aca="false">Data!K490</f>
        <v>-0.014</v>
      </c>
      <c r="C490" s="12" t="n">
        <f aca="false">Data!B490</f>
        <v>-0.0052</v>
      </c>
      <c r="D490" s="12" t="n">
        <f aca="false">(B490-C490)*Inputs!B2</f>
        <v>-0.0044</v>
      </c>
      <c r="E490" s="12" t="n">
        <f aca="false">4*Inputs!B2*Inputs!B4*Inputs!B3/10000</f>
        <v>0.001</v>
      </c>
      <c r="F490" s="12" t="n">
        <f aca="false">Inputs!B2*Inputs!B5/Inputs!B6</f>
        <v>0.000833333333333333</v>
      </c>
      <c r="G490" s="12" t="n">
        <f aca="false">D490-E490-F490</f>
        <v>-0.00623333333333333</v>
      </c>
      <c r="H490" s="5" t="n">
        <f aca="false">(1+G490)*H489</f>
        <v>16.0895001960834</v>
      </c>
      <c r="I490" s="5" t="n">
        <f aca="false">MAX(1,H$2:H490)</f>
        <v>21.5349661371851</v>
      </c>
      <c r="J490" s="12" t="n">
        <f aca="false">H490/I490-1</f>
        <v>-0.252866241182467</v>
      </c>
      <c r="K490" s="12" t="n">
        <f aca="false">Data!L490</f>
        <v>-0.0007</v>
      </c>
    </row>
    <row r="491" customFormat="false" ht="30" hidden="false" customHeight="true" outlineLevel="0" collapsed="false">
      <c r="A491" s="4" t="str">
        <f aca="false">Data!A491</f>
        <v>2003-10</v>
      </c>
      <c r="B491" s="13" t="n">
        <f aca="false">Data!K491</f>
        <v>0.1162</v>
      </c>
      <c r="C491" s="13" t="n">
        <f aca="false">Data!B491</f>
        <v>0.0395</v>
      </c>
      <c r="D491" s="13" t="n">
        <f aca="false">(B491-C491)*Inputs!B2</f>
        <v>0.03835</v>
      </c>
      <c r="E491" s="13" t="n">
        <f aca="false">4*Inputs!B2*Inputs!B4*Inputs!B3/10000</f>
        <v>0.001</v>
      </c>
      <c r="F491" s="13" t="n">
        <f aca="false">Inputs!B2*Inputs!B5/Inputs!B6</f>
        <v>0.000833333333333333</v>
      </c>
      <c r="G491" s="13" t="n">
        <f aca="false">D491-E491-F491</f>
        <v>0.0365166666666667</v>
      </c>
      <c r="H491" s="4" t="n">
        <f aca="false">(1+G491)*H490</f>
        <v>16.677035111577</v>
      </c>
      <c r="I491" s="4" t="n">
        <f aca="false">MAX(1,H$2:H491)</f>
        <v>21.5349661371851</v>
      </c>
      <c r="J491" s="13" t="n">
        <f aca="false">H491/I491-1</f>
        <v>-0.225583406756313</v>
      </c>
      <c r="K491" s="13" t="n">
        <f aca="false">Data!L491</f>
        <v>0.04</v>
      </c>
    </row>
    <row r="492" customFormat="false" ht="30" hidden="false" customHeight="true" outlineLevel="0" collapsed="false">
      <c r="A492" s="5" t="str">
        <f aca="false">Data!A492</f>
        <v>2003-11</v>
      </c>
      <c r="B492" s="12" t="n">
        <f aca="false">Data!K492</f>
        <v>0.0316</v>
      </c>
      <c r="C492" s="12" t="n">
        <f aca="false">Data!B492</f>
        <v>0.0058</v>
      </c>
      <c r="D492" s="12" t="n">
        <f aca="false">(B492-C492)*Inputs!B2</f>
        <v>0.0129</v>
      </c>
      <c r="E492" s="12" t="n">
        <f aca="false">4*Inputs!B2*Inputs!B4*Inputs!B3/10000</f>
        <v>0.001</v>
      </c>
      <c r="F492" s="12" t="n">
        <f aca="false">Inputs!B2*Inputs!B5/Inputs!B6</f>
        <v>0.000833333333333333</v>
      </c>
      <c r="G492" s="12" t="n">
        <f aca="false">D492-E492-F492</f>
        <v>0.0110666666666667</v>
      </c>
      <c r="H492" s="5" t="n">
        <f aca="false">(1+G492)*H491</f>
        <v>16.8615943001451</v>
      </c>
      <c r="I492" s="5" t="n">
        <f aca="false">MAX(1,H$2:H492)</f>
        <v>21.5349661371851</v>
      </c>
      <c r="J492" s="12" t="n">
        <f aca="false">H492/I492-1</f>
        <v>-0.21701319645775</v>
      </c>
      <c r="K492" s="12" t="n">
        <f aca="false">Data!L492</f>
        <v>0.0137</v>
      </c>
    </row>
    <row r="493" customFormat="false" ht="30" hidden="false" customHeight="true" outlineLevel="0" collapsed="false">
      <c r="A493" s="4" t="str">
        <f aca="false">Data!A493</f>
        <v>2003-12</v>
      </c>
      <c r="B493" s="13" t="n">
        <f aca="false">Data!K493</f>
        <v>-0.0125</v>
      </c>
      <c r="C493" s="13" t="n">
        <f aca="false">Data!B493</f>
        <v>0.0877</v>
      </c>
      <c r="D493" s="13" t="n">
        <f aca="false">(B493-C493)*Inputs!B2</f>
        <v>-0.0501</v>
      </c>
      <c r="E493" s="13" t="n">
        <f aca="false">4*Inputs!B2*Inputs!B4*Inputs!B3/10000</f>
        <v>0.001</v>
      </c>
      <c r="F493" s="13" t="n">
        <f aca="false">Inputs!B2*Inputs!B5/Inputs!B6</f>
        <v>0.000833333333333333</v>
      </c>
      <c r="G493" s="13" t="n">
        <f aca="false">D493-E493-F493</f>
        <v>-0.0519333333333333</v>
      </c>
      <c r="H493" s="4" t="n">
        <f aca="false">(1+G493)*H492</f>
        <v>15.9859155028243</v>
      </c>
      <c r="I493" s="4" t="n">
        <f aca="false">MAX(1,H$2:H493)</f>
        <v>21.5349661371851</v>
      </c>
      <c r="J493" s="13" t="n">
        <f aca="false">H493/I493-1</f>
        <v>-0.257676311121711</v>
      </c>
      <c r="K493" s="13" t="n">
        <f aca="false">Data!L493</f>
        <v>-0.0553</v>
      </c>
    </row>
    <row r="494" customFormat="false" ht="30" hidden="false" customHeight="true" outlineLevel="0" collapsed="false">
      <c r="A494" s="5" t="str">
        <f aca="false">Data!A494</f>
        <v>2004-01</v>
      </c>
      <c r="B494" s="12" t="n">
        <f aca="false">Data!K494</f>
        <v>0.037</v>
      </c>
      <c r="C494" s="12" t="n">
        <f aca="false">Data!B494</f>
        <v>0.0236</v>
      </c>
      <c r="D494" s="12" t="n">
        <f aca="false">(B494-C494)*Inputs!B2</f>
        <v>0.00670000000000001</v>
      </c>
      <c r="E494" s="12" t="n">
        <f aca="false">4*Inputs!B2*Inputs!B4*Inputs!B3/10000</f>
        <v>0.001</v>
      </c>
      <c r="F494" s="12" t="n">
        <f aca="false">Inputs!B2*Inputs!B5/Inputs!B6</f>
        <v>0.000833333333333333</v>
      </c>
      <c r="G494" s="12" t="n">
        <f aca="false">D494-E494-F494</f>
        <v>0.00486666666666667</v>
      </c>
      <c r="H494" s="5" t="n">
        <f aca="false">(1+G494)*H493</f>
        <v>16.063713624938</v>
      </c>
      <c r="I494" s="5" t="n">
        <f aca="false">MAX(1,H$2:H494)</f>
        <v>21.5349661371851</v>
      </c>
      <c r="J494" s="12" t="n">
        <f aca="false">H494/I494-1</f>
        <v>-0.25406366916917</v>
      </c>
      <c r="K494" s="12" t="n">
        <f aca="false">Data!L494</f>
        <v>0.0256</v>
      </c>
    </row>
    <row r="495" customFormat="false" ht="30" hidden="false" customHeight="true" outlineLevel="0" collapsed="false">
      <c r="A495" s="4" t="str">
        <f aca="false">Data!A495</f>
        <v>2004-02</v>
      </c>
      <c r="B495" s="13" t="n">
        <f aca="false">Data!K495</f>
        <v>-0.0015</v>
      </c>
      <c r="C495" s="13" t="n">
        <f aca="false">Data!B495</f>
        <v>0.0201</v>
      </c>
      <c r="D495" s="13" t="n">
        <f aca="false">(B495-C495)*Inputs!B2</f>
        <v>-0.0108</v>
      </c>
      <c r="E495" s="13" t="n">
        <f aca="false">4*Inputs!B2*Inputs!B4*Inputs!B3/10000</f>
        <v>0.001</v>
      </c>
      <c r="F495" s="13" t="n">
        <f aca="false">Inputs!B2*Inputs!B5/Inputs!B6</f>
        <v>0.000833333333333333</v>
      </c>
      <c r="G495" s="13" t="n">
        <f aca="false">D495-E495-F495</f>
        <v>-0.0126333333333333</v>
      </c>
      <c r="H495" s="4" t="n">
        <f aca="false">(1+G495)*H494</f>
        <v>15.860775376143</v>
      </c>
      <c r="I495" s="4" t="n">
        <f aca="false">MAX(1,H$2:H495)</f>
        <v>21.5349661371851</v>
      </c>
      <c r="J495" s="13" t="n">
        <f aca="false">H495/I495-1</f>
        <v>-0.263487331481999</v>
      </c>
      <c r="K495" s="13" t="n">
        <f aca="false">Data!L495</f>
        <v>-0.0118</v>
      </c>
    </row>
    <row r="496" customFormat="false" ht="30" hidden="false" customHeight="true" outlineLevel="0" collapsed="false">
      <c r="A496" s="5" t="str">
        <f aca="false">Data!A496</f>
        <v>2004-03</v>
      </c>
      <c r="B496" s="12" t="n">
        <f aca="false">Data!K496</f>
        <v>-0.0147</v>
      </c>
      <c r="C496" s="12" t="n">
        <f aca="false">Data!B496</f>
        <v>-0.0184</v>
      </c>
      <c r="D496" s="12" t="n">
        <f aca="false">(B496-C496)*Inputs!B2</f>
        <v>0.00185</v>
      </c>
      <c r="E496" s="12" t="n">
        <f aca="false">4*Inputs!B2*Inputs!B4*Inputs!B3/10000</f>
        <v>0.001</v>
      </c>
      <c r="F496" s="12" t="n">
        <f aca="false">Inputs!B2*Inputs!B5/Inputs!B6</f>
        <v>0.000833333333333333</v>
      </c>
      <c r="G496" s="12" t="n">
        <f aca="false">D496-E496-F496</f>
        <v>1.66666666666667E-005</v>
      </c>
      <c r="H496" s="5" t="n">
        <f aca="false">(1+G496)*H495</f>
        <v>15.8610397223992</v>
      </c>
      <c r="I496" s="5" t="n">
        <f aca="false">MAX(1,H$2:H496)</f>
        <v>21.5349661371851</v>
      </c>
      <c r="J496" s="12" t="n">
        <f aca="false">H496/I496-1</f>
        <v>-0.263475056270857</v>
      </c>
      <c r="K496" s="12" t="n">
        <f aca="false">Data!L496</f>
        <v>0.002</v>
      </c>
    </row>
    <row r="497" customFormat="false" ht="30" hidden="false" customHeight="true" outlineLevel="0" collapsed="false">
      <c r="A497" s="4" t="str">
        <f aca="false">Data!A497</f>
        <v>2004-04</v>
      </c>
      <c r="B497" s="13" t="n">
        <f aca="false">Data!K497</f>
        <v>-0.0774</v>
      </c>
      <c r="C497" s="13" t="n">
        <f aca="false">Data!B497</f>
        <v>0.0251</v>
      </c>
      <c r="D497" s="13" t="n">
        <f aca="false">(B497-C497)*Inputs!B2</f>
        <v>-0.05125</v>
      </c>
      <c r="E497" s="13" t="n">
        <f aca="false">4*Inputs!B2*Inputs!B4*Inputs!B3/10000</f>
        <v>0.001</v>
      </c>
      <c r="F497" s="13" t="n">
        <f aca="false">Inputs!B2*Inputs!B5/Inputs!B6</f>
        <v>0.000833333333333333</v>
      </c>
      <c r="G497" s="13" t="n">
        <f aca="false">D497-E497-F497</f>
        <v>-0.0530833333333333</v>
      </c>
      <c r="H497" s="4" t="n">
        <f aca="false">(1+G497)*H496</f>
        <v>15.0190828638019</v>
      </c>
      <c r="I497" s="4" t="n">
        <f aca="false">MAX(1,H$2:H497)</f>
        <v>21.5349661371851</v>
      </c>
      <c r="J497" s="13" t="n">
        <f aca="false">H497/I497-1</f>
        <v>-0.302572255367146</v>
      </c>
      <c r="K497" s="13" t="n">
        <f aca="false">Data!L497</f>
        <v>-0.0537</v>
      </c>
    </row>
    <row r="498" customFormat="false" ht="30" hidden="false" customHeight="true" outlineLevel="0" collapsed="false">
      <c r="A498" s="5" t="str">
        <f aca="false">Data!A498</f>
        <v>2004-05</v>
      </c>
      <c r="B498" s="12" t="n">
        <f aca="false">Data!K498</f>
        <v>0.0274</v>
      </c>
      <c r="C498" s="12" t="n">
        <f aca="false">Data!B498</f>
        <v>-0.0018</v>
      </c>
      <c r="D498" s="12" t="n">
        <f aca="false">(B498-C498)*Inputs!B2</f>
        <v>0.0146</v>
      </c>
      <c r="E498" s="12" t="n">
        <f aca="false">4*Inputs!B2*Inputs!B4*Inputs!B3/10000</f>
        <v>0.001</v>
      </c>
      <c r="F498" s="12" t="n">
        <f aca="false">Inputs!B2*Inputs!B5/Inputs!B6</f>
        <v>0.000833333333333333</v>
      </c>
      <c r="G498" s="12" t="n">
        <f aca="false">D498-E498-F498</f>
        <v>0.0127666666666667</v>
      </c>
      <c r="H498" s="5" t="n">
        <f aca="false">(1+G498)*H497</f>
        <v>15.2108264883631</v>
      </c>
      <c r="I498" s="5" t="n">
        <f aca="false">MAX(1,H$2:H498)</f>
        <v>21.5349661371851</v>
      </c>
      <c r="J498" s="12" t="n">
        <f aca="false">H498/I498-1</f>
        <v>-0.293668427827333</v>
      </c>
      <c r="K498" s="12" t="n">
        <f aca="false">Data!L498</f>
        <v>0.0149</v>
      </c>
    </row>
    <row r="499" customFormat="false" ht="30" hidden="false" customHeight="true" outlineLevel="0" collapsed="false">
      <c r="A499" s="4" t="str">
        <f aca="false">Data!A499</f>
        <v>2004-06</v>
      </c>
      <c r="B499" s="13" t="n">
        <f aca="false">Data!K499</f>
        <v>0.0178</v>
      </c>
      <c r="C499" s="13" t="n">
        <f aca="false">Data!B499</f>
        <v>0.011</v>
      </c>
      <c r="D499" s="13" t="n">
        <f aca="false">(B499-C499)*Inputs!B2</f>
        <v>0.0034</v>
      </c>
      <c r="E499" s="13" t="n">
        <f aca="false">4*Inputs!B2*Inputs!B4*Inputs!B3/10000</f>
        <v>0.001</v>
      </c>
      <c r="F499" s="13" t="n">
        <f aca="false">Inputs!B2*Inputs!B5/Inputs!B6</f>
        <v>0.000833333333333333</v>
      </c>
      <c r="G499" s="13" t="n">
        <f aca="false">D499-E499-F499</f>
        <v>0.00156666666666667</v>
      </c>
      <c r="H499" s="4" t="n">
        <f aca="false">(1+G499)*H498</f>
        <v>15.2346567831948</v>
      </c>
      <c r="I499" s="4" t="n">
        <f aca="false">MAX(1,H$2:H499)</f>
        <v>21.5349661371851</v>
      </c>
      <c r="J499" s="13" t="n">
        <f aca="false">H499/I499-1</f>
        <v>-0.292561841697596</v>
      </c>
      <c r="K499" s="13" t="n">
        <f aca="false">Data!L499</f>
        <v>0.0206</v>
      </c>
    </row>
    <row r="500" customFormat="false" ht="30" hidden="false" customHeight="true" outlineLevel="0" collapsed="false">
      <c r="A500" s="5" t="str">
        <f aca="false">Data!A500</f>
        <v>2004-07</v>
      </c>
      <c r="B500" s="12" t="n">
        <f aca="false">Data!K500</f>
        <v>-0.0869</v>
      </c>
      <c r="C500" s="12" t="n">
        <f aca="false">Data!B500</f>
        <v>-0.0433</v>
      </c>
      <c r="D500" s="12" t="n">
        <f aca="false">(B500-C500)*Inputs!B2</f>
        <v>-0.0218</v>
      </c>
      <c r="E500" s="12" t="n">
        <f aca="false">4*Inputs!B2*Inputs!B4*Inputs!B3/10000</f>
        <v>0.001</v>
      </c>
      <c r="F500" s="12" t="n">
        <f aca="false">Inputs!B2*Inputs!B5/Inputs!B6</f>
        <v>0.000833333333333333</v>
      </c>
      <c r="G500" s="12" t="n">
        <f aca="false">D500-E500-F500</f>
        <v>-0.0236333333333333</v>
      </c>
      <c r="H500" s="5" t="n">
        <f aca="false">(1+G500)*H499</f>
        <v>14.8746110612187</v>
      </c>
      <c r="I500" s="5" t="n">
        <f aca="false">MAX(1,H$2:H500)</f>
        <v>21.5349661371851</v>
      </c>
      <c r="J500" s="12" t="n">
        <f aca="false">H500/I500-1</f>
        <v>-0.309280963505476</v>
      </c>
      <c r="K500" s="12" t="n">
        <f aca="false">Data!L500</f>
        <v>-0.0224</v>
      </c>
    </row>
    <row r="501" customFormat="false" ht="30" hidden="false" customHeight="true" outlineLevel="0" collapsed="false">
      <c r="A501" s="4" t="str">
        <f aca="false">Data!A501</f>
        <v>2004-08</v>
      </c>
      <c r="B501" s="13" t="n">
        <f aca="false">Data!K501</f>
        <v>-0.0213</v>
      </c>
      <c r="C501" s="13" t="n">
        <f aca="false">Data!B501</f>
        <v>-0.0009</v>
      </c>
      <c r="D501" s="13" t="n">
        <f aca="false">(B501-C501)*Inputs!B2</f>
        <v>-0.0102</v>
      </c>
      <c r="E501" s="13" t="n">
        <f aca="false">4*Inputs!B2*Inputs!B4*Inputs!B3/10000</f>
        <v>0.001</v>
      </c>
      <c r="F501" s="13" t="n">
        <f aca="false">Inputs!B2*Inputs!B5/Inputs!B6</f>
        <v>0.000833333333333333</v>
      </c>
      <c r="G501" s="13" t="n">
        <f aca="false">D501-E501-F501</f>
        <v>-0.0120333333333333</v>
      </c>
      <c r="H501" s="4" t="n">
        <f aca="false">(1+G501)*H500</f>
        <v>14.6956199081153</v>
      </c>
      <c r="I501" s="4" t="n">
        <f aca="false">MAX(1,H$2:H501)</f>
        <v>21.5349661371851</v>
      </c>
      <c r="J501" s="13" t="n">
        <f aca="false">H501/I501-1</f>
        <v>-0.317592615911294</v>
      </c>
      <c r="K501" s="13" t="n">
        <f aca="false">Data!L501</f>
        <v>-0.0156</v>
      </c>
    </row>
    <row r="502" customFormat="false" ht="30" hidden="false" customHeight="true" outlineLevel="0" collapsed="false">
      <c r="A502" s="5" t="str">
        <f aca="false">Data!A502</f>
        <v>2004-09</v>
      </c>
      <c r="B502" s="12" t="n">
        <f aca="false">Data!K502</f>
        <v>0.0728</v>
      </c>
      <c r="C502" s="12" t="n">
        <f aca="false">Data!B502</f>
        <v>0.022</v>
      </c>
      <c r="D502" s="12" t="n">
        <f aca="false">(B502-C502)*Inputs!B2</f>
        <v>0.0254</v>
      </c>
      <c r="E502" s="12" t="n">
        <f aca="false">4*Inputs!B2*Inputs!B4*Inputs!B3/10000</f>
        <v>0.001</v>
      </c>
      <c r="F502" s="12" t="n">
        <f aca="false">Inputs!B2*Inputs!B5/Inputs!B6</f>
        <v>0.000833333333333333</v>
      </c>
      <c r="G502" s="12" t="n">
        <f aca="false">D502-E502-F502</f>
        <v>0.0235666666666667</v>
      </c>
      <c r="H502" s="5" t="n">
        <f aca="false">(1+G502)*H501</f>
        <v>15.0419466839499</v>
      </c>
      <c r="I502" s="5" t="n">
        <f aca="false">MAX(1,H$2:H502)</f>
        <v>21.5349661371851</v>
      </c>
      <c r="J502" s="12" t="n">
        <f aca="false">H502/I502-1</f>
        <v>-0.301510548559603</v>
      </c>
      <c r="K502" s="12" t="n">
        <f aca="false">Data!L502</f>
        <v>0.055</v>
      </c>
    </row>
    <row r="503" customFormat="false" ht="30" hidden="false" customHeight="true" outlineLevel="0" collapsed="false">
      <c r="A503" s="4" t="str">
        <f aca="false">Data!A503</f>
        <v>2004-10</v>
      </c>
      <c r="B503" s="13" t="n">
        <f aca="false">Data!K503</f>
        <v>0.0182</v>
      </c>
      <c r="C503" s="13" t="n">
        <f aca="false">Data!B503</f>
        <v>0.0556</v>
      </c>
      <c r="D503" s="13" t="n">
        <f aca="false">(B503-C503)*Inputs!B2</f>
        <v>-0.0187</v>
      </c>
      <c r="E503" s="13" t="n">
        <f aca="false">4*Inputs!B2*Inputs!B4*Inputs!B3/10000</f>
        <v>0.001</v>
      </c>
      <c r="F503" s="13" t="n">
        <f aca="false">Inputs!B2*Inputs!B5/Inputs!B6</f>
        <v>0.000833333333333333</v>
      </c>
      <c r="G503" s="13" t="n">
        <f aca="false">D503-E503-F503</f>
        <v>-0.0205333333333333</v>
      </c>
      <c r="H503" s="4" t="n">
        <f aca="false">(1+G503)*H502</f>
        <v>14.7330853787062</v>
      </c>
      <c r="I503" s="4" t="n">
        <f aca="false">MAX(1,H$2:H503)</f>
        <v>21.5349661371851</v>
      </c>
      <c r="J503" s="13" t="n">
        <f aca="false">H503/I503-1</f>
        <v>-0.315852865295846</v>
      </c>
      <c r="K503" s="13" t="n">
        <f aca="false">Data!L503</f>
        <v>-0.0149</v>
      </c>
    </row>
    <row r="504" customFormat="false" ht="30" hidden="false" customHeight="true" outlineLevel="0" collapsed="false">
      <c r="A504" s="5" t="str">
        <f aca="false">Data!A504</f>
        <v>2004-11</v>
      </c>
      <c r="B504" s="12" t="n">
        <f aca="false">Data!K504</f>
        <v>0.0986</v>
      </c>
      <c r="C504" s="12" t="n">
        <f aca="false">Data!B504</f>
        <v>0.044</v>
      </c>
      <c r="D504" s="12" t="n">
        <f aca="false">(B504-C504)*Inputs!B2</f>
        <v>0.0273</v>
      </c>
      <c r="E504" s="12" t="n">
        <f aca="false">4*Inputs!B2*Inputs!B4*Inputs!B3/10000</f>
        <v>0.001</v>
      </c>
      <c r="F504" s="12" t="n">
        <f aca="false">Inputs!B2*Inputs!B5/Inputs!B6</f>
        <v>0.000833333333333333</v>
      </c>
      <c r="G504" s="12" t="n">
        <f aca="false">D504-E504-F504</f>
        <v>0.0254666666666667</v>
      </c>
      <c r="H504" s="5" t="n">
        <f aca="false">(1+G504)*H503</f>
        <v>15.1082879530172</v>
      </c>
      <c r="I504" s="5" t="n">
        <f aca="false">MAX(1,H$2:H504)</f>
        <v>21.5349661371851</v>
      </c>
      <c r="J504" s="12" t="n">
        <f aca="false">H504/I504-1</f>
        <v>-0.29842991826538</v>
      </c>
      <c r="K504" s="12" t="n">
        <f aca="false">Data!L504</f>
        <v>0.0311</v>
      </c>
    </row>
    <row r="505" customFormat="false" ht="30" hidden="false" customHeight="true" outlineLevel="0" collapsed="false">
      <c r="A505" s="4" t="str">
        <f aca="false">Data!A505</f>
        <v>2004-12</v>
      </c>
      <c r="B505" s="13" t="n">
        <f aca="false">Data!K505</f>
        <v>0.0208</v>
      </c>
      <c r="C505" s="13" t="n">
        <f aca="false">Data!B505</f>
        <v>0.0733</v>
      </c>
      <c r="D505" s="13" t="n">
        <f aca="false">(B505-C505)*Inputs!B2</f>
        <v>-0.02625</v>
      </c>
      <c r="E505" s="13" t="n">
        <f aca="false">4*Inputs!B2*Inputs!B4*Inputs!B3/10000</f>
        <v>0.001</v>
      </c>
      <c r="F505" s="13" t="n">
        <f aca="false">Inputs!B2*Inputs!B5/Inputs!B6</f>
        <v>0.000833333333333333</v>
      </c>
      <c r="G505" s="13" t="n">
        <f aca="false">D505-E505-F505</f>
        <v>-0.0280833333333333</v>
      </c>
      <c r="H505" s="4" t="n">
        <f aca="false">(1+G505)*H504</f>
        <v>14.6839968663366</v>
      </c>
      <c r="I505" s="4" t="n">
        <f aca="false">MAX(1,H$2:H505)</f>
        <v>21.5349661371851</v>
      </c>
      <c r="J505" s="13" t="n">
        <f aca="false">H505/I505-1</f>
        <v>-0.318132344727427</v>
      </c>
      <c r="K505" s="13" t="n">
        <f aca="false">Data!L505</f>
        <v>-0.0285</v>
      </c>
    </row>
    <row r="506" customFormat="false" ht="30" hidden="false" customHeight="true" outlineLevel="0" collapsed="false">
      <c r="A506" s="5" t="str">
        <f aca="false">Data!A506</f>
        <v>2005-01</v>
      </c>
      <c r="B506" s="12" t="n">
        <f aca="false">Data!K506</f>
        <v>-0.0409</v>
      </c>
      <c r="C506" s="12" t="n">
        <f aca="false">Data!B506</f>
        <v>-0.0677</v>
      </c>
      <c r="D506" s="12" t="n">
        <f aca="false">(B506-C506)*Inputs!B2</f>
        <v>0.0134</v>
      </c>
      <c r="E506" s="12" t="n">
        <f aca="false">4*Inputs!B2*Inputs!B4*Inputs!B3/10000</f>
        <v>0.001</v>
      </c>
      <c r="F506" s="12" t="n">
        <f aca="false">Inputs!B2*Inputs!B5/Inputs!B6</f>
        <v>0.000833333333333333</v>
      </c>
      <c r="G506" s="12" t="n">
        <f aca="false">D506-E506-F506</f>
        <v>0.0115666666666667</v>
      </c>
      <c r="H506" s="5" t="n">
        <f aca="false">(1+G506)*H505</f>
        <v>14.8538417634239</v>
      </c>
      <c r="I506" s="5" t="n">
        <f aca="false">MAX(1,H$2:H506)</f>
        <v>21.5349661371851</v>
      </c>
      <c r="J506" s="12" t="n">
        <f aca="false">H506/I506-1</f>
        <v>-0.310245408848108</v>
      </c>
      <c r="K506" s="12" t="n">
        <f aca="false">Data!L506</f>
        <v>0.0312</v>
      </c>
    </row>
    <row r="507" customFormat="false" ht="30" hidden="false" customHeight="true" outlineLevel="0" collapsed="false">
      <c r="A507" s="4" t="str">
        <f aca="false">Data!A507</f>
        <v>2005-02</v>
      </c>
      <c r="B507" s="13" t="n">
        <f aca="false">Data!K507</f>
        <v>0.0545</v>
      </c>
      <c r="C507" s="13" t="n">
        <f aca="false">Data!B507</f>
        <v>0.0407</v>
      </c>
      <c r="D507" s="13" t="n">
        <f aca="false">(B507-C507)*Inputs!B2</f>
        <v>0.0069</v>
      </c>
      <c r="E507" s="13" t="n">
        <f aca="false">4*Inputs!B2*Inputs!B4*Inputs!B3/10000</f>
        <v>0.001</v>
      </c>
      <c r="F507" s="13" t="n">
        <f aca="false">Inputs!B2*Inputs!B5/Inputs!B6</f>
        <v>0.000833333333333333</v>
      </c>
      <c r="G507" s="13" t="n">
        <f aca="false">D507-E507-F507</f>
        <v>0.00506666666666667</v>
      </c>
      <c r="H507" s="4" t="n">
        <f aca="false">(1+G507)*H506</f>
        <v>14.9291012283586</v>
      </c>
      <c r="I507" s="4" t="n">
        <f aca="false">MAX(1,H$2:H507)</f>
        <v>21.5349661371851</v>
      </c>
      <c r="J507" s="13" t="n">
        <f aca="false">H507/I507-1</f>
        <v>-0.306750652252938</v>
      </c>
      <c r="K507" s="13" t="n">
        <f aca="false">Data!L507</f>
        <v>0.0343</v>
      </c>
    </row>
    <row r="508" customFormat="false" ht="30" hidden="false" customHeight="true" outlineLevel="0" collapsed="false">
      <c r="A508" s="5" t="str">
        <f aca="false">Data!A508</f>
        <v>2005-03</v>
      </c>
      <c r="B508" s="12" t="n">
        <f aca="false">Data!K508</f>
        <v>-0.0153</v>
      </c>
      <c r="C508" s="12" t="n">
        <f aca="false">Data!B508</f>
        <v>-0.0291</v>
      </c>
      <c r="D508" s="12" t="n">
        <f aca="false">(B508-C508)*Inputs!B2</f>
        <v>0.0069</v>
      </c>
      <c r="E508" s="12" t="n">
        <f aca="false">4*Inputs!B2*Inputs!B4*Inputs!B3/10000</f>
        <v>0.001</v>
      </c>
      <c r="F508" s="12" t="n">
        <f aca="false">Inputs!B2*Inputs!B5/Inputs!B6</f>
        <v>0.000833333333333333</v>
      </c>
      <c r="G508" s="12" t="n">
        <f aca="false">D508-E508-F508</f>
        <v>0.00506666666666667</v>
      </c>
      <c r="H508" s="5" t="n">
        <f aca="false">(1+G508)*H507</f>
        <v>15.0047420079156</v>
      </c>
      <c r="I508" s="5" t="n">
        <f aca="false">MAX(1,H$2:H508)</f>
        <v>21.5349661371851</v>
      </c>
      <c r="J508" s="12" t="n">
        <f aca="false">H508/I508-1</f>
        <v>-0.30323818889102</v>
      </c>
      <c r="K508" s="12" t="n">
        <f aca="false">Data!L508</f>
        <v>0.0043</v>
      </c>
    </row>
    <row r="509" customFormat="false" ht="30" hidden="false" customHeight="true" outlineLevel="0" collapsed="false">
      <c r="A509" s="4" t="str">
        <f aca="false">Data!A509</f>
        <v>2005-04</v>
      </c>
      <c r="B509" s="13" t="n">
        <f aca="false">Data!K509</f>
        <v>-0.0646</v>
      </c>
      <c r="C509" s="13" t="n">
        <f aca="false">Data!B509</f>
        <v>-0.0329</v>
      </c>
      <c r="D509" s="13" t="n">
        <f aca="false">(B509-C509)*Inputs!B2</f>
        <v>-0.01585</v>
      </c>
      <c r="E509" s="13" t="n">
        <f aca="false">4*Inputs!B2*Inputs!B4*Inputs!B3/10000</f>
        <v>0.001</v>
      </c>
      <c r="F509" s="13" t="n">
        <f aca="false">Inputs!B2*Inputs!B5/Inputs!B6</f>
        <v>0.000833333333333333</v>
      </c>
      <c r="G509" s="13" t="n">
        <f aca="false">D509-E509-F509</f>
        <v>-0.0176833333333333</v>
      </c>
      <c r="H509" s="4" t="n">
        <f aca="false">(1+G509)*H508</f>
        <v>14.739408153409</v>
      </c>
      <c r="I509" s="4" t="n">
        <f aca="false">MAX(1,H$2:H509)</f>
        <v>21.5349661371851</v>
      </c>
      <c r="J509" s="13" t="n">
        <f aca="false">H509/I509-1</f>
        <v>-0.315559260250797</v>
      </c>
      <c r="K509" s="13" t="n">
        <f aca="false">Data!L509</f>
        <v>-0.007</v>
      </c>
    </row>
    <row r="510" customFormat="false" ht="30" hidden="false" customHeight="true" outlineLevel="0" collapsed="false">
      <c r="A510" s="5" t="str">
        <f aca="false">Data!A510</f>
        <v>2005-05</v>
      </c>
      <c r="B510" s="12" t="n">
        <f aca="false">Data!K510</f>
        <v>0.0642</v>
      </c>
      <c r="C510" s="12" t="n">
        <f aca="false">Data!B510</f>
        <v>0.0589</v>
      </c>
      <c r="D510" s="12" t="n">
        <f aca="false">(B510-C510)*Inputs!B2</f>
        <v>0.00265</v>
      </c>
      <c r="E510" s="12" t="n">
        <f aca="false">4*Inputs!B2*Inputs!B4*Inputs!B3/10000</f>
        <v>0.001</v>
      </c>
      <c r="F510" s="12" t="n">
        <f aca="false">Inputs!B2*Inputs!B5/Inputs!B6</f>
        <v>0.000833333333333333</v>
      </c>
      <c r="G510" s="12" t="n">
        <f aca="false">D510-E510-F510</f>
        <v>0.00081666666666667</v>
      </c>
      <c r="H510" s="5" t="n">
        <f aca="false">(1+G510)*H509</f>
        <v>14.7514453367343</v>
      </c>
      <c r="I510" s="5" t="n">
        <f aca="false">MAX(1,H$2:H510)</f>
        <v>21.5349661371851</v>
      </c>
      <c r="J510" s="12" t="n">
        <f aca="false">H510/I510-1</f>
        <v>-0.315000300313335</v>
      </c>
      <c r="K510" s="12" t="n">
        <f aca="false">Data!L510</f>
        <v>0.0037</v>
      </c>
    </row>
    <row r="511" customFormat="false" ht="30" hidden="false" customHeight="true" outlineLevel="0" collapsed="false">
      <c r="A511" s="4" t="str">
        <f aca="false">Data!A511</f>
        <v>2005-06</v>
      </c>
      <c r="B511" s="13" t="n">
        <f aca="false">Data!K511</f>
        <v>0.0553</v>
      </c>
      <c r="C511" s="13" t="n">
        <f aca="false">Data!B511</f>
        <v>0.0024</v>
      </c>
      <c r="D511" s="13" t="n">
        <f aca="false">(B511-C511)*Inputs!B2</f>
        <v>0.02645</v>
      </c>
      <c r="E511" s="13" t="n">
        <f aca="false">4*Inputs!B2*Inputs!B4*Inputs!B3/10000</f>
        <v>0.001</v>
      </c>
      <c r="F511" s="13" t="n">
        <f aca="false">Inputs!B2*Inputs!B5/Inputs!B6</f>
        <v>0.000833333333333333</v>
      </c>
      <c r="G511" s="13" t="n">
        <f aca="false">D511-E511-F511</f>
        <v>0.0246166666666667</v>
      </c>
      <c r="H511" s="4" t="n">
        <f aca="false">(1+G511)*H510</f>
        <v>15.1145767494402</v>
      </c>
      <c r="I511" s="4" t="n">
        <f aca="false">MAX(1,H$2:H511)</f>
        <v>21.5349661371851</v>
      </c>
      <c r="J511" s="13" t="n">
        <f aca="false">H511/I511-1</f>
        <v>-0.298137891039381</v>
      </c>
      <c r="K511" s="13" t="n">
        <f aca="false">Data!L511</f>
        <v>0.0208</v>
      </c>
    </row>
    <row r="512" customFormat="false" ht="30" hidden="false" customHeight="true" outlineLevel="0" collapsed="false">
      <c r="A512" s="5" t="str">
        <f aca="false">Data!A512</f>
        <v>2005-07</v>
      </c>
      <c r="B512" s="12" t="n">
        <f aca="false">Data!K512</f>
        <v>0.0568</v>
      </c>
      <c r="C512" s="12" t="n">
        <f aca="false">Data!B512</f>
        <v>0.0708</v>
      </c>
      <c r="D512" s="12" t="n">
        <f aca="false">(B512-C512)*Inputs!B2</f>
        <v>-0.007</v>
      </c>
      <c r="E512" s="12" t="n">
        <f aca="false">4*Inputs!B2*Inputs!B4*Inputs!B3/10000</f>
        <v>0.001</v>
      </c>
      <c r="F512" s="12" t="n">
        <f aca="false">Inputs!B2*Inputs!B5/Inputs!B6</f>
        <v>0.000833333333333333</v>
      </c>
      <c r="G512" s="12" t="n">
        <f aca="false">D512-E512-F512</f>
        <v>-0.00883333333333333</v>
      </c>
      <c r="H512" s="5" t="n">
        <f aca="false">(1+G512)*H511</f>
        <v>14.9810646548202</v>
      </c>
      <c r="I512" s="5" t="n">
        <f aca="false">MAX(1,H$2:H512)</f>
        <v>21.5349661371851</v>
      </c>
      <c r="J512" s="12" t="n">
        <f aca="false">H512/I512-1</f>
        <v>-0.304337673001867</v>
      </c>
      <c r="K512" s="12" t="n">
        <f aca="false">Data!L512</f>
        <v>0.0005</v>
      </c>
    </row>
    <row r="513" customFormat="false" ht="30" hidden="false" customHeight="true" outlineLevel="0" collapsed="false">
      <c r="A513" s="4" t="str">
        <f aca="false">Data!A513</f>
        <v>2005-08</v>
      </c>
      <c r="B513" s="13" t="n">
        <f aca="false">Data!K513</f>
        <v>0.0123</v>
      </c>
      <c r="C513" s="13" t="n">
        <f aca="false">Data!B513</f>
        <v>-0.0303</v>
      </c>
      <c r="D513" s="13" t="n">
        <f aca="false">(B513-C513)*Inputs!B2</f>
        <v>0.0213</v>
      </c>
      <c r="E513" s="13" t="n">
        <f aca="false">4*Inputs!B2*Inputs!B4*Inputs!B3/10000</f>
        <v>0.001</v>
      </c>
      <c r="F513" s="13" t="n">
        <f aca="false">Inputs!B2*Inputs!B5/Inputs!B6</f>
        <v>0.000833333333333333</v>
      </c>
      <c r="G513" s="13" t="n">
        <f aca="false">D513-E513-F513</f>
        <v>0.0194666666666667</v>
      </c>
      <c r="H513" s="4" t="n">
        <f aca="false">(1+G513)*H512</f>
        <v>15.2726960467673</v>
      </c>
      <c r="I513" s="4" t="n">
        <f aca="false">MAX(1,H$2:H513)</f>
        <v>21.5349661371851</v>
      </c>
      <c r="J513" s="13" t="n">
        <f aca="false">H513/I513-1</f>
        <v>-0.290795446369636</v>
      </c>
      <c r="K513" s="13" t="n">
        <f aca="false">Data!L513</f>
        <v>0.0205</v>
      </c>
    </row>
    <row r="514" customFormat="false" ht="30" hidden="false" customHeight="true" outlineLevel="0" collapsed="false">
      <c r="A514" s="5" t="str">
        <f aca="false">Data!A514</f>
        <v>2005-09</v>
      </c>
      <c r="B514" s="12" t="n">
        <f aca="false">Data!K514</f>
        <v>0.0387</v>
      </c>
      <c r="C514" s="12" t="n">
        <f aca="false">Data!B514</f>
        <v>-0.0211</v>
      </c>
      <c r="D514" s="12" t="n">
        <f aca="false">(B514-C514)*Inputs!B2</f>
        <v>0.0299</v>
      </c>
      <c r="E514" s="12" t="n">
        <f aca="false">4*Inputs!B2*Inputs!B4*Inputs!B3/10000</f>
        <v>0.001</v>
      </c>
      <c r="F514" s="12" t="n">
        <f aca="false">Inputs!B2*Inputs!B5/Inputs!B6</f>
        <v>0.000833333333333333</v>
      </c>
      <c r="G514" s="12" t="n">
        <f aca="false">D514-E514-F514</f>
        <v>0.0280666666666667</v>
      </c>
      <c r="H514" s="5" t="n">
        <f aca="false">(1+G514)*H513</f>
        <v>15.7013497158133</v>
      </c>
      <c r="I514" s="5" t="n">
        <f aca="false">MAX(1,H$2:H514)</f>
        <v>21.5349661371851</v>
      </c>
      <c r="J514" s="12" t="n">
        <f aca="false">H514/I514-1</f>
        <v>-0.270890438564411</v>
      </c>
      <c r="K514" s="12" t="n">
        <f aca="false">Data!L514</f>
        <v>0.0346</v>
      </c>
    </row>
    <row r="515" customFormat="false" ht="30" hidden="false" customHeight="true" outlineLevel="0" collapsed="false">
      <c r="A515" s="4" t="str">
        <f aca="false">Data!A515</f>
        <v>2005-10</v>
      </c>
      <c r="B515" s="13" t="n">
        <f aca="false">Data!K515</f>
        <v>-0.0274</v>
      </c>
      <c r="C515" s="13" t="n">
        <f aca="false">Data!B515</f>
        <v>-0.024</v>
      </c>
      <c r="D515" s="13" t="n">
        <f aca="false">(B515-C515)*Inputs!B2</f>
        <v>-0.0017</v>
      </c>
      <c r="E515" s="13" t="n">
        <f aca="false">4*Inputs!B2*Inputs!B4*Inputs!B3/10000</f>
        <v>0.001</v>
      </c>
      <c r="F515" s="13" t="n">
        <f aca="false">Inputs!B2*Inputs!B5/Inputs!B6</f>
        <v>0.000833333333333333</v>
      </c>
      <c r="G515" s="13" t="n">
        <f aca="false">D515-E515-F515</f>
        <v>-0.00353333333333333</v>
      </c>
      <c r="H515" s="4" t="n">
        <f aca="false">(1+G515)*H514</f>
        <v>15.6458716134841</v>
      </c>
      <c r="I515" s="4" t="n">
        <f aca="false">MAX(1,H$2:H515)</f>
        <v>21.5349661371851</v>
      </c>
      <c r="J515" s="13" t="n">
        <f aca="false">H515/I515-1</f>
        <v>-0.273466625681483</v>
      </c>
      <c r="K515" s="13" t="n">
        <f aca="false">Data!L515</f>
        <v>-0.0127</v>
      </c>
    </row>
    <row r="516" customFormat="false" ht="30" hidden="false" customHeight="true" outlineLevel="0" collapsed="false">
      <c r="A516" s="5" t="str">
        <f aca="false">Data!A516</f>
        <v>2005-11</v>
      </c>
      <c r="B516" s="12" t="n">
        <f aca="false">Data!K516</f>
        <v>0.0309</v>
      </c>
      <c r="C516" s="12" t="n">
        <f aca="false">Data!B516</f>
        <v>0.0354</v>
      </c>
      <c r="D516" s="12" t="n">
        <f aca="false">(B516-C516)*Inputs!B2</f>
        <v>-0.00225</v>
      </c>
      <c r="E516" s="12" t="n">
        <f aca="false">4*Inputs!B2*Inputs!B4*Inputs!B3/10000</f>
        <v>0.001</v>
      </c>
      <c r="F516" s="12" t="n">
        <f aca="false">Inputs!B2*Inputs!B5/Inputs!B6</f>
        <v>0.000833333333333333</v>
      </c>
      <c r="G516" s="12" t="n">
        <f aca="false">D516-E516-F516</f>
        <v>-0.00408333333333333</v>
      </c>
      <c r="H516" s="5" t="n">
        <f aca="false">(1+G516)*H515</f>
        <v>15.5819843043957</v>
      </c>
      <c r="I516" s="5" t="n">
        <f aca="false">MAX(1,H$2:H516)</f>
        <v>21.5349661371851</v>
      </c>
      <c r="J516" s="12" t="n">
        <f aca="false">H516/I516-1</f>
        <v>-0.276433303626617</v>
      </c>
      <c r="K516" s="12" t="n">
        <f aca="false">Data!L516</f>
        <v>0.0029</v>
      </c>
    </row>
    <row r="517" customFormat="false" ht="30" hidden="false" customHeight="true" outlineLevel="0" collapsed="false">
      <c r="A517" s="4" t="str">
        <f aca="false">Data!A517</f>
        <v>2005-12</v>
      </c>
      <c r="B517" s="13" t="n">
        <f aca="false">Data!K517</f>
        <v>0.0184</v>
      </c>
      <c r="C517" s="13" t="n">
        <f aca="false">Data!B517</f>
        <v>-0.0031</v>
      </c>
      <c r="D517" s="13" t="n">
        <f aca="false">(B517-C517)*Inputs!B2</f>
        <v>0.01075</v>
      </c>
      <c r="E517" s="13" t="n">
        <f aca="false">4*Inputs!B2*Inputs!B4*Inputs!B3/10000</f>
        <v>0.001</v>
      </c>
      <c r="F517" s="13" t="n">
        <f aca="false">Inputs!B2*Inputs!B5/Inputs!B6</f>
        <v>0.000833333333333333</v>
      </c>
      <c r="G517" s="13" t="n">
        <f aca="false">D517-E517-F517</f>
        <v>0.00891666666666667</v>
      </c>
      <c r="H517" s="4" t="n">
        <f aca="false">(1+G517)*H516</f>
        <v>15.7209236644432</v>
      </c>
      <c r="I517" s="4" t="n">
        <f aca="false">MAX(1,H$2:H517)</f>
        <v>21.5349661371851</v>
      </c>
      <c r="J517" s="13" t="n">
        <f aca="false">H517/I517-1</f>
        <v>-0.269981500583955</v>
      </c>
      <c r="K517" s="13" t="n">
        <f aca="false">Data!L517</f>
        <v>0.008</v>
      </c>
    </row>
    <row r="518" customFormat="false" ht="30" hidden="false" customHeight="true" outlineLevel="0" collapsed="false">
      <c r="A518" s="5" t="str">
        <f aca="false">Data!A518</f>
        <v>2006-01</v>
      </c>
      <c r="B518" s="12" t="n">
        <f aca="false">Data!K518</f>
        <v>0.0985</v>
      </c>
      <c r="C518" s="12" t="n">
        <f aca="false">Data!B518</f>
        <v>0.0669</v>
      </c>
      <c r="D518" s="12" t="n">
        <f aca="false">(B518-C518)*Inputs!B2</f>
        <v>0.0158</v>
      </c>
      <c r="E518" s="12" t="n">
        <f aca="false">4*Inputs!B2*Inputs!B4*Inputs!B3/10000</f>
        <v>0.001</v>
      </c>
      <c r="F518" s="12" t="n">
        <f aca="false">Inputs!B2*Inputs!B5/Inputs!B6</f>
        <v>0.000833333333333333</v>
      </c>
      <c r="G518" s="12" t="n">
        <f aca="false">D518-E518-F518</f>
        <v>0.0139666666666667</v>
      </c>
      <c r="H518" s="5" t="n">
        <f aca="false">(1+G518)*H517</f>
        <v>15.9404925649566</v>
      </c>
      <c r="I518" s="5" t="n">
        <f aca="false">MAX(1,H$2:H518)</f>
        <v>21.5349661371851</v>
      </c>
      <c r="J518" s="12" t="n">
        <f aca="false">H518/I518-1</f>
        <v>-0.25978557554211</v>
      </c>
      <c r="K518" s="12" t="n">
        <f aca="false">Data!L518</f>
        <v>0.0253</v>
      </c>
    </row>
    <row r="519" customFormat="false" ht="30" hidden="false" customHeight="true" outlineLevel="0" collapsed="false">
      <c r="A519" s="4" t="str">
        <f aca="false">Data!A519</f>
        <v>2006-02</v>
      </c>
      <c r="B519" s="13" t="n">
        <f aca="false">Data!K519</f>
        <v>-0.0533</v>
      </c>
      <c r="C519" s="13" t="n">
        <f aca="false">Data!B519</f>
        <v>-0.0105</v>
      </c>
      <c r="D519" s="13" t="n">
        <f aca="false">(B519-C519)*Inputs!B2</f>
        <v>-0.0214</v>
      </c>
      <c r="E519" s="13" t="n">
        <f aca="false">4*Inputs!B2*Inputs!B4*Inputs!B3/10000</f>
        <v>0.001</v>
      </c>
      <c r="F519" s="13" t="n">
        <f aca="false">Inputs!B2*Inputs!B5/Inputs!B6</f>
        <v>0.000833333333333333</v>
      </c>
      <c r="G519" s="13" t="n">
        <f aca="false">D519-E519-F519</f>
        <v>-0.0232333333333333</v>
      </c>
      <c r="H519" s="4" t="n">
        <f aca="false">(1+G519)*H518</f>
        <v>15.5701417876974</v>
      </c>
      <c r="I519" s="4" t="n">
        <f aca="false">MAX(1,H$2:H519)</f>
        <v>21.5349661371851</v>
      </c>
      <c r="J519" s="13" t="n">
        <f aca="false">H519/I519-1</f>
        <v>-0.276983224003682</v>
      </c>
      <c r="K519" s="13" t="n">
        <f aca="false">Data!L519</f>
        <v>-0.0182</v>
      </c>
    </row>
    <row r="520" customFormat="false" ht="30" hidden="false" customHeight="true" outlineLevel="0" collapsed="false">
      <c r="A520" s="5" t="str">
        <f aca="false">Data!A520</f>
        <v>2006-03</v>
      </c>
      <c r="B520" s="12" t="n">
        <f aca="false">Data!K520</f>
        <v>0.0458</v>
      </c>
      <c r="C520" s="12" t="n">
        <f aca="false">Data!B520</f>
        <v>0.0187</v>
      </c>
      <c r="D520" s="12" t="n">
        <f aca="false">(B520-C520)*Inputs!B2</f>
        <v>0.01355</v>
      </c>
      <c r="E520" s="12" t="n">
        <f aca="false">4*Inputs!B2*Inputs!B4*Inputs!B3/10000</f>
        <v>0.001</v>
      </c>
      <c r="F520" s="12" t="n">
        <f aca="false">Inputs!B2*Inputs!B5/Inputs!B6</f>
        <v>0.000833333333333333</v>
      </c>
      <c r="G520" s="12" t="n">
        <f aca="false">D520-E520-F520</f>
        <v>0.0117166666666667</v>
      </c>
      <c r="H520" s="5" t="n">
        <f aca="false">(1+G520)*H519</f>
        <v>15.7525719489766</v>
      </c>
      <c r="I520" s="5" t="n">
        <f aca="false">MAX(1,H$2:H520)</f>
        <v>21.5349661371851</v>
      </c>
      <c r="J520" s="12" t="n">
        <f aca="false">H520/I520-1</f>
        <v>-0.268511877444925</v>
      </c>
      <c r="K520" s="12" t="n">
        <f aca="false">Data!L520</f>
        <v>0.0127</v>
      </c>
    </row>
    <row r="521" customFormat="false" ht="30" hidden="false" customHeight="true" outlineLevel="0" collapsed="false">
      <c r="A521" s="4" t="str">
        <f aca="false">Data!A521</f>
        <v>2006-04</v>
      </c>
      <c r="B521" s="13" t="n">
        <f aca="false">Data!K521</f>
        <v>0.0195</v>
      </c>
      <c r="C521" s="13" t="n">
        <f aca="false">Data!B521</f>
        <v>0.0092</v>
      </c>
      <c r="D521" s="13" t="n">
        <f aca="false">(B521-C521)*Inputs!B2</f>
        <v>0.00515</v>
      </c>
      <c r="E521" s="13" t="n">
        <f aca="false">4*Inputs!B2*Inputs!B4*Inputs!B3/10000</f>
        <v>0.001</v>
      </c>
      <c r="F521" s="13" t="n">
        <f aca="false">Inputs!B2*Inputs!B5/Inputs!B6</f>
        <v>0.000833333333333333</v>
      </c>
      <c r="G521" s="13" t="n">
        <f aca="false">D521-E521-F521</f>
        <v>0.00331666666666667</v>
      </c>
      <c r="H521" s="4" t="n">
        <f aca="false">(1+G521)*H520</f>
        <v>15.8048179792741</v>
      </c>
      <c r="I521" s="4" t="n">
        <f aca="false">MAX(1,H$2:H521)</f>
        <v>21.5349661371851</v>
      </c>
      <c r="J521" s="13" t="n">
        <f aca="false">H521/I521-1</f>
        <v>-0.266085775171784</v>
      </c>
      <c r="K521" s="13" t="n">
        <f aca="false">Data!L521</f>
        <v>0.0061</v>
      </c>
    </row>
    <row r="522" customFormat="false" ht="30" hidden="false" customHeight="true" outlineLevel="0" collapsed="false">
      <c r="A522" s="5" t="str">
        <f aca="false">Data!A522</f>
        <v>2006-05</v>
      </c>
      <c r="B522" s="12" t="n">
        <f aca="false">Data!K522</f>
        <v>-0.0798</v>
      </c>
      <c r="C522" s="12" t="n">
        <f aca="false">Data!B522</f>
        <v>-0.0168</v>
      </c>
      <c r="D522" s="12" t="n">
        <f aca="false">(B522-C522)*Inputs!B2</f>
        <v>-0.0315</v>
      </c>
      <c r="E522" s="12" t="n">
        <f aca="false">4*Inputs!B2*Inputs!B4*Inputs!B3/10000</f>
        <v>0.001</v>
      </c>
      <c r="F522" s="12" t="n">
        <f aca="false">Inputs!B2*Inputs!B5/Inputs!B6</f>
        <v>0.000833333333333333</v>
      </c>
      <c r="G522" s="12" t="n">
        <f aca="false">D522-E522-F522</f>
        <v>-0.0333333333333333</v>
      </c>
      <c r="H522" s="5" t="n">
        <f aca="false">(1+G522)*H521</f>
        <v>15.2779907132983</v>
      </c>
      <c r="I522" s="5" t="n">
        <f aca="false">MAX(1,H$2:H522)</f>
        <v>21.5349661371851</v>
      </c>
      <c r="J522" s="12" t="n">
        <f aca="false">H522/I522-1</f>
        <v>-0.290549582666058</v>
      </c>
      <c r="K522" s="12" t="n">
        <f aca="false">Data!L522</f>
        <v>-0.0367</v>
      </c>
    </row>
    <row r="523" customFormat="false" ht="30" hidden="false" customHeight="true" outlineLevel="0" collapsed="false">
      <c r="A523" s="4" t="str">
        <f aca="false">Data!A523</f>
        <v>2006-06</v>
      </c>
      <c r="B523" s="13" t="n">
        <f aca="false">Data!K523</f>
        <v>-0.0049</v>
      </c>
      <c r="C523" s="13" t="n">
        <f aca="false">Data!B523</f>
        <v>-0.003</v>
      </c>
      <c r="D523" s="13" t="n">
        <f aca="false">(B523-C523)*Inputs!B2</f>
        <v>-0.00095</v>
      </c>
      <c r="E523" s="13" t="n">
        <f aca="false">4*Inputs!B2*Inputs!B4*Inputs!B3/10000</f>
        <v>0.001</v>
      </c>
      <c r="F523" s="13" t="n">
        <f aca="false">Inputs!B2*Inputs!B5/Inputs!B6</f>
        <v>0.000833333333333333</v>
      </c>
      <c r="G523" s="13" t="n">
        <f aca="false">D523-E523-F523</f>
        <v>-0.00278333333333333</v>
      </c>
      <c r="H523" s="4" t="n">
        <f aca="false">(1+G523)*H522</f>
        <v>15.2354669724796</v>
      </c>
      <c r="I523" s="4" t="n">
        <f aca="false">MAX(1,H$2:H523)</f>
        <v>21.5349661371851</v>
      </c>
      <c r="J523" s="13" t="n">
        <f aca="false">H523/I523-1</f>
        <v>-0.292524219660971</v>
      </c>
      <c r="K523" s="13" t="n">
        <f aca="false">Data!L523</f>
        <v>0.0155</v>
      </c>
    </row>
    <row r="524" customFormat="false" ht="30" hidden="false" customHeight="true" outlineLevel="0" collapsed="false">
      <c r="A524" s="5" t="str">
        <f aca="false">Data!A524</f>
        <v>2006-07</v>
      </c>
      <c r="B524" s="12" t="n">
        <f aca="false">Data!K524</f>
        <v>-0.063</v>
      </c>
      <c r="C524" s="12" t="n">
        <f aca="false">Data!B524</f>
        <v>-0.049</v>
      </c>
      <c r="D524" s="12" t="n">
        <f aca="false">(B524-C524)*Inputs!B2</f>
        <v>-0.007</v>
      </c>
      <c r="E524" s="12" t="n">
        <f aca="false">4*Inputs!B2*Inputs!B4*Inputs!B3/10000</f>
        <v>0.001</v>
      </c>
      <c r="F524" s="12" t="n">
        <f aca="false">Inputs!B2*Inputs!B5/Inputs!B6</f>
        <v>0.000833333333333333</v>
      </c>
      <c r="G524" s="12" t="n">
        <f aca="false">D524-E524-F524</f>
        <v>-0.00883333333333333</v>
      </c>
      <c r="H524" s="5" t="n">
        <f aca="false">(1+G524)*H523</f>
        <v>15.1008870142227</v>
      </c>
      <c r="I524" s="5" t="n">
        <f aca="false">MAX(1,H$2:H524)</f>
        <v>21.5349661371851</v>
      </c>
      <c r="J524" s="12" t="n">
        <f aca="false">H524/I524-1</f>
        <v>-0.298773589053966</v>
      </c>
      <c r="K524" s="12" t="n">
        <f aca="false">Data!L524</f>
        <v>-0.0205</v>
      </c>
    </row>
    <row r="525" customFormat="false" ht="30" hidden="false" customHeight="true" outlineLevel="0" collapsed="false">
      <c r="A525" s="4" t="str">
        <f aca="false">Data!A525</f>
        <v>2006-08</v>
      </c>
      <c r="B525" s="13" t="n">
        <f aca="false">Data!K525</f>
        <v>-0.0196</v>
      </c>
      <c r="C525" s="13" t="n">
        <f aca="false">Data!B525</f>
        <v>0.067</v>
      </c>
      <c r="D525" s="13" t="n">
        <f aca="false">(B525-C525)*Inputs!B2</f>
        <v>-0.0433</v>
      </c>
      <c r="E525" s="13" t="n">
        <f aca="false">4*Inputs!B2*Inputs!B4*Inputs!B3/10000</f>
        <v>0.001</v>
      </c>
      <c r="F525" s="13" t="n">
        <f aca="false">Inputs!B2*Inputs!B5/Inputs!B6</f>
        <v>0.000833333333333333</v>
      </c>
      <c r="G525" s="13" t="n">
        <f aca="false">D525-E525-F525</f>
        <v>-0.0451333333333333</v>
      </c>
      <c r="H525" s="4" t="n">
        <f aca="false">(1+G525)*H524</f>
        <v>14.4193336469808</v>
      </c>
      <c r="I525" s="4" t="n">
        <f aca="false">MAX(1,H$2:H525)</f>
        <v>21.5349661371851</v>
      </c>
      <c r="J525" s="13" t="n">
        <f aca="false">H525/I525-1</f>
        <v>-0.33042227440133</v>
      </c>
      <c r="K525" s="13" t="n">
        <f aca="false">Data!L525</f>
        <v>-0.0337</v>
      </c>
    </row>
    <row r="526" customFormat="false" ht="30" hidden="false" customHeight="true" outlineLevel="0" collapsed="false">
      <c r="A526" s="5" t="str">
        <f aca="false">Data!A526</f>
        <v>2006-09</v>
      </c>
      <c r="B526" s="12" t="n">
        <f aca="false">Data!K526</f>
        <v>0.0211</v>
      </c>
      <c r="C526" s="12" t="n">
        <f aca="false">Data!B526</f>
        <v>0.0225</v>
      </c>
      <c r="D526" s="12" t="n">
        <f aca="false">(B526-C526)*Inputs!B2</f>
        <v>-0.000699999999999999</v>
      </c>
      <c r="E526" s="12" t="n">
        <f aca="false">4*Inputs!B2*Inputs!B4*Inputs!B3/10000</f>
        <v>0.001</v>
      </c>
      <c r="F526" s="12" t="n">
        <f aca="false">Inputs!B2*Inputs!B5/Inputs!B6</f>
        <v>0.000833333333333333</v>
      </c>
      <c r="G526" s="12" t="n">
        <f aca="false">D526-E526-F526</f>
        <v>-0.00253333333333333</v>
      </c>
      <c r="H526" s="5" t="n">
        <f aca="false">(1+G526)*H525</f>
        <v>14.3828046684084</v>
      </c>
      <c r="I526" s="5" t="n">
        <f aca="false">MAX(1,H$2:H526)</f>
        <v>21.5349661371851</v>
      </c>
      <c r="J526" s="12" t="n">
        <f aca="false">H526/I526-1</f>
        <v>-0.332118537972847</v>
      </c>
      <c r="K526" s="12" t="n">
        <f aca="false">Data!L526</f>
        <v>-0.0098</v>
      </c>
    </row>
    <row r="527" customFormat="false" ht="30" hidden="false" customHeight="true" outlineLevel="0" collapsed="false">
      <c r="A527" s="4" t="str">
        <f aca="false">Data!A527</f>
        <v>2006-10</v>
      </c>
      <c r="B527" s="13" t="n">
        <f aca="false">Data!K527</f>
        <v>0.0641</v>
      </c>
      <c r="C527" s="13" t="n">
        <f aca="false">Data!B527</f>
        <v>0.0572</v>
      </c>
      <c r="D527" s="13" t="n">
        <f aca="false">(B527-C527)*Inputs!B2</f>
        <v>0.00345</v>
      </c>
      <c r="E527" s="13" t="n">
        <f aca="false">4*Inputs!B2*Inputs!B4*Inputs!B3/10000</f>
        <v>0.001</v>
      </c>
      <c r="F527" s="13" t="n">
        <f aca="false">Inputs!B2*Inputs!B5/Inputs!B6</f>
        <v>0.000833333333333333</v>
      </c>
      <c r="G527" s="13" t="n">
        <f aca="false">D527-E527-F527</f>
        <v>0.00161666666666667</v>
      </c>
      <c r="H527" s="4" t="n">
        <f aca="false">(1+G527)*H526</f>
        <v>14.406056869289</v>
      </c>
      <c r="I527" s="4" t="n">
        <f aca="false">MAX(1,H$2:H527)</f>
        <v>21.5349661371851</v>
      </c>
      <c r="J527" s="13" t="n">
        <f aca="false">H527/I527-1</f>
        <v>-0.331038796275903</v>
      </c>
      <c r="K527" s="13" t="n">
        <f aca="false">Data!L527</f>
        <v>-0.0024</v>
      </c>
    </row>
    <row r="528" customFormat="false" ht="30" hidden="false" customHeight="true" outlineLevel="0" collapsed="false">
      <c r="A528" s="5" t="str">
        <f aca="false">Data!A528</f>
        <v>2006-11</v>
      </c>
      <c r="B528" s="12" t="n">
        <f aca="false">Data!K528</f>
        <v>0.0223</v>
      </c>
      <c r="C528" s="12" t="n">
        <f aca="false">Data!B528</f>
        <v>0.0537</v>
      </c>
      <c r="D528" s="12" t="n">
        <f aca="false">(B528-C528)*Inputs!B2</f>
        <v>-0.0157</v>
      </c>
      <c r="E528" s="12" t="n">
        <f aca="false">4*Inputs!B2*Inputs!B4*Inputs!B3/10000</f>
        <v>0.001</v>
      </c>
      <c r="F528" s="12" t="n">
        <f aca="false">Inputs!B2*Inputs!B5/Inputs!B6</f>
        <v>0.000833333333333333</v>
      </c>
      <c r="G528" s="12" t="n">
        <f aca="false">D528-E528-F528</f>
        <v>-0.0175333333333333</v>
      </c>
      <c r="H528" s="5" t="n">
        <f aca="false">(1+G528)*H527</f>
        <v>14.1534706721808</v>
      </c>
      <c r="I528" s="5" t="n">
        <f aca="false">MAX(1,H$2:H528)</f>
        <v>21.5349661371851</v>
      </c>
      <c r="J528" s="12" t="n">
        <f aca="false">H528/I528-1</f>
        <v>-0.342767916047865</v>
      </c>
      <c r="K528" s="12" t="n">
        <f aca="false">Data!L528</f>
        <v>-0.0101</v>
      </c>
    </row>
    <row r="529" customFormat="false" ht="30" hidden="false" customHeight="true" outlineLevel="0" collapsed="false">
      <c r="A529" s="4" t="str">
        <f aca="false">Data!A529</f>
        <v>2006-12</v>
      </c>
      <c r="B529" s="13" t="n">
        <f aca="false">Data!K529</f>
        <v>0.0084</v>
      </c>
      <c r="C529" s="13" t="n">
        <f aca="false">Data!B529</f>
        <v>-0.0081</v>
      </c>
      <c r="D529" s="13" t="n">
        <f aca="false">(B529-C529)*Inputs!B2</f>
        <v>0.00825</v>
      </c>
      <c r="E529" s="13" t="n">
        <f aca="false">4*Inputs!B2*Inputs!B4*Inputs!B3/10000</f>
        <v>0.001</v>
      </c>
      <c r="F529" s="13" t="n">
        <f aca="false">Inputs!B2*Inputs!B5/Inputs!B6</f>
        <v>0.000833333333333333</v>
      </c>
      <c r="G529" s="13" t="n">
        <f aca="false">D529-E529-F529</f>
        <v>0.00641666666666667</v>
      </c>
      <c r="H529" s="4" t="n">
        <f aca="false">(1+G529)*H528</f>
        <v>14.2442887756606</v>
      </c>
      <c r="I529" s="4" t="n">
        <f aca="false">MAX(1,H$2:H529)</f>
        <v>21.5349661371851</v>
      </c>
      <c r="J529" s="13" t="n">
        <f aca="false">H529/I529-1</f>
        <v>-0.338550676842506</v>
      </c>
      <c r="K529" s="13" t="n">
        <f aca="false">Data!L529</f>
        <v>0.0079</v>
      </c>
    </row>
    <row r="530" customFormat="false" ht="30" hidden="false" customHeight="true" outlineLevel="0" collapsed="false">
      <c r="A530" s="5" t="str">
        <f aca="false">Data!A530</f>
        <v>2007-01</v>
      </c>
      <c r="B530" s="12" t="n">
        <f aca="false">Data!K530</f>
        <v>0.0312</v>
      </c>
      <c r="C530" s="12" t="n">
        <f aca="false">Data!B530</f>
        <v>0.0272</v>
      </c>
      <c r="D530" s="12" t="n">
        <f aca="false">(B530-C530)*Inputs!B2</f>
        <v>0.002</v>
      </c>
      <c r="E530" s="12" t="n">
        <f aca="false">4*Inputs!B2*Inputs!B4*Inputs!B3/10000</f>
        <v>0.001</v>
      </c>
      <c r="F530" s="12" t="n">
        <f aca="false">Inputs!B2*Inputs!B5/Inputs!B6</f>
        <v>0.000833333333333333</v>
      </c>
      <c r="G530" s="12" t="n">
        <f aca="false">D530-E530-F530</f>
        <v>0.000166666666666667</v>
      </c>
      <c r="H530" s="5" t="n">
        <f aca="false">(1+G530)*H529</f>
        <v>14.2466628237899</v>
      </c>
      <c r="I530" s="5" t="n">
        <f aca="false">MAX(1,H$2:H530)</f>
        <v>21.5349661371851</v>
      </c>
      <c r="J530" s="12" t="n">
        <f aca="false">H530/I530-1</f>
        <v>-0.338440435288646</v>
      </c>
      <c r="K530" s="12" t="n">
        <f aca="false">Data!L530</f>
        <v>0.0025</v>
      </c>
    </row>
    <row r="531" customFormat="false" ht="30" hidden="false" customHeight="true" outlineLevel="0" collapsed="false">
      <c r="A531" s="4" t="str">
        <f aca="false">Data!A531</f>
        <v>2007-02</v>
      </c>
      <c r="B531" s="13" t="n">
        <f aca="false">Data!K531</f>
        <v>-0.0279</v>
      </c>
      <c r="C531" s="13" t="n">
        <f aca="false">Data!B531</f>
        <v>-0.0019</v>
      </c>
      <c r="D531" s="13" t="n">
        <f aca="false">(B531-C531)*Inputs!B2</f>
        <v>-0.013</v>
      </c>
      <c r="E531" s="13" t="n">
        <f aca="false">4*Inputs!B2*Inputs!B4*Inputs!B3/10000</f>
        <v>0.001</v>
      </c>
      <c r="F531" s="13" t="n">
        <f aca="false">Inputs!B2*Inputs!B5/Inputs!B6</f>
        <v>0.000833333333333333</v>
      </c>
      <c r="G531" s="13" t="n">
        <f aca="false">D531-E531-F531</f>
        <v>-0.0148333333333333</v>
      </c>
      <c r="H531" s="4" t="n">
        <f aca="false">(1+G531)*H530</f>
        <v>14.035337325237</v>
      </c>
      <c r="I531" s="4" t="n">
        <f aca="false">MAX(1,H$2:H531)</f>
        <v>21.5349661371851</v>
      </c>
      <c r="J531" s="13" t="n">
        <f aca="false">H531/I531-1</f>
        <v>-0.348253568831865</v>
      </c>
      <c r="K531" s="13" t="n">
        <f aca="false">Data!L531</f>
        <v>-0.0131</v>
      </c>
    </row>
    <row r="532" customFormat="false" ht="30" hidden="false" customHeight="true" outlineLevel="0" collapsed="false">
      <c r="A532" s="5" t="str">
        <f aca="false">Data!A532</f>
        <v>2007-03</v>
      </c>
      <c r="B532" s="12" t="n">
        <f aca="false">Data!K532</f>
        <v>0.0214</v>
      </c>
      <c r="C532" s="12" t="n">
        <f aca="false">Data!B532</f>
        <v>-0.0123</v>
      </c>
      <c r="D532" s="12" t="n">
        <f aca="false">(B532-C532)*Inputs!B2</f>
        <v>0.01685</v>
      </c>
      <c r="E532" s="12" t="n">
        <f aca="false">4*Inputs!B2*Inputs!B4*Inputs!B3/10000</f>
        <v>0.001</v>
      </c>
      <c r="F532" s="12" t="n">
        <f aca="false">Inputs!B2*Inputs!B5/Inputs!B6</f>
        <v>0.000833333333333333</v>
      </c>
      <c r="G532" s="12" t="n">
        <f aca="false">D532-E532-F532</f>
        <v>0.0150166666666667</v>
      </c>
      <c r="H532" s="5" t="n">
        <f aca="false">(1+G532)*H531</f>
        <v>14.2461013074043</v>
      </c>
      <c r="I532" s="5" t="n">
        <f aca="false">MAX(1,H$2:H532)</f>
        <v>21.5349661371851</v>
      </c>
      <c r="J532" s="12" t="n">
        <f aca="false">H532/I532-1</f>
        <v>-0.338466509923823</v>
      </c>
      <c r="K532" s="12" t="n">
        <f aca="false">Data!L532</f>
        <v>0.0259</v>
      </c>
    </row>
    <row r="533" customFormat="false" ht="30" hidden="false" customHeight="true" outlineLevel="0" collapsed="false">
      <c r="A533" s="4" t="str">
        <f aca="false">Data!A533</f>
        <v>2007-04</v>
      </c>
      <c r="B533" s="13" t="n">
        <f aca="false">Data!K533</f>
        <v>0.0214</v>
      </c>
      <c r="C533" s="13" t="n">
        <f aca="false">Data!B533</f>
        <v>0.0388</v>
      </c>
      <c r="D533" s="13" t="n">
        <f aca="false">(B533-C533)*Inputs!B2</f>
        <v>-0.0087</v>
      </c>
      <c r="E533" s="13" t="n">
        <f aca="false">4*Inputs!B2*Inputs!B4*Inputs!B3/10000</f>
        <v>0.001</v>
      </c>
      <c r="F533" s="13" t="n">
        <f aca="false">Inputs!B2*Inputs!B5/Inputs!B6</f>
        <v>0.000833333333333333</v>
      </c>
      <c r="G533" s="13" t="n">
        <f aca="false">D533-E533-F533</f>
        <v>-0.0105333333333333</v>
      </c>
      <c r="H533" s="4" t="n">
        <f aca="false">(1+G533)*H532</f>
        <v>14.096042373633</v>
      </c>
      <c r="I533" s="4" t="n">
        <f aca="false">MAX(1,H$2:H533)</f>
        <v>21.5349661371851</v>
      </c>
      <c r="J533" s="13" t="n">
        <f aca="false">H533/I533-1</f>
        <v>-0.345434662685959</v>
      </c>
      <c r="K533" s="13" t="n">
        <f aca="false">Data!L533</f>
        <v>-0.0021</v>
      </c>
    </row>
    <row r="534" customFormat="false" ht="30" hidden="false" customHeight="true" outlineLevel="0" collapsed="false">
      <c r="A534" s="5" t="str">
        <f aca="false">Data!A534</f>
        <v>2007-05</v>
      </c>
      <c r="B534" s="12" t="n">
        <f aca="false">Data!K534</f>
        <v>0.0538</v>
      </c>
      <c r="C534" s="12" t="n">
        <f aca="false">Data!B534</f>
        <v>0.0324</v>
      </c>
      <c r="D534" s="12" t="n">
        <f aca="false">(B534-C534)*Inputs!B2</f>
        <v>0.0107</v>
      </c>
      <c r="E534" s="12" t="n">
        <f aca="false">4*Inputs!B2*Inputs!B4*Inputs!B3/10000</f>
        <v>0.001</v>
      </c>
      <c r="F534" s="12" t="n">
        <f aca="false">Inputs!B2*Inputs!B5/Inputs!B6</f>
        <v>0.000833333333333333</v>
      </c>
      <c r="G534" s="12" t="n">
        <f aca="false">D534-E534-F534</f>
        <v>0.00886666666666666</v>
      </c>
      <c r="H534" s="5" t="n">
        <f aca="false">(1+G534)*H533</f>
        <v>14.2210272826792</v>
      </c>
      <c r="I534" s="5" t="n">
        <f aca="false">MAX(1,H$2:H534)</f>
        <v>21.5349661371851</v>
      </c>
      <c r="J534" s="12" t="n">
        <f aca="false">H534/I534-1</f>
        <v>-0.339630850028441</v>
      </c>
      <c r="K534" s="12" t="n">
        <f aca="false">Data!L534</f>
        <v>-0.0034</v>
      </c>
    </row>
    <row r="535" customFormat="false" ht="30" hidden="false" customHeight="true" outlineLevel="0" collapsed="false">
      <c r="A535" s="4" t="str">
        <f aca="false">Data!A535</f>
        <v>2007-06</v>
      </c>
      <c r="B535" s="13" t="n">
        <f aca="false">Data!K535</f>
        <v>-0.0118</v>
      </c>
      <c r="C535" s="13" t="n">
        <f aca="false">Data!B535</f>
        <v>-0.0298</v>
      </c>
      <c r="D535" s="13" t="n">
        <f aca="false">(B535-C535)*Inputs!B2</f>
        <v>0.009</v>
      </c>
      <c r="E535" s="13" t="n">
        <f aca="false">4*Inputs!B2*Inputs!B4*Inputs!B3/10000</f>
        <v>0.001</v>
      </c>
      <c r="F535" s="13" t="n">
        <f aca="false">Inputs!B2*Inputs!B5/Inputs!B6</f>
        <v>0.000833333333333333</v>
      </c>
      <c r="G535" s="13" t="n">
        <f aca="false">D535-E535-F535</f>
        <v>0.00716666666666667</v>
      </c>
      <c r="H535" s="4" t="n">
        <f aca="false">(1+G535)*H534</f>
        <v>14.3229446448717</v>
      </c>
      <c r="I535" s="4" t="n">
        <f aca="false">MAX(1,H$2:H535)</f>
        <v>21.5349661371851</v>
      </c>
      <c r="J535" s="13" t="n">
        <f aca="false">H535/I535-1</f>
        <v>-0.334898204453645</v>
      </c>
      <c r="K535" s="13" t="n">
        <f aca="false">Data!L535</f>
        <v>0.0047</v>
      </c>
    </row>
    <row r="536" customFormat="false" ht="30" hidden="false" customHeight="true" outlineLevel="0" collapsed="false">
      <c r="A536" s="5" t="str">
        <f aca="false">Data!A536</f>
        <v>2007-07</v>
      </c>
      <c r="B536" s="12" t="n">
        <f aca="false">Data!K536</f>
        <v>-0.0149</v>
      </c>
      <c r="C536" s="12" t="n">
        <f aca="false">Data!B536</f>
        <v>-0.0448</v>
      </c>
      <c r="D536" s="12" t="n">
        <f aca="false">(B536-C536)*Inputs!B2</f>
        <v>0.01495</v>
      </c>
      <c r="E536" s="12" t="n">
        <f aca="false">4*Inputs!B2*Inputs!B4*Inputs!B3/10000</f>
        <v>0.001</v>
      </c>
      <c r="F536" s="12" t="n">
        <f aca="false">Inputs!B2*Inputs!B5/Inputs!B6</f>
        <v>0.000833333333333333</v>
      </c>
      <c r="G536" s="12" t="n">
        <f aca="false">D536-E536-F536</f>
        <v>0.0131166666666667</v>
      </c>
      <c r="H536" s="5" t="n">
        <f aca="false">(1+G536)*H535</f>
        <v>14.5108139354637</v>
      </c>
      <c r="I536" s="5" t="n">
        <f aca="false">MAX(1,H$2:H536)</f>
        <v>21.5349661371851</v>
      </c>
      <c r="J536" s="12" t="n">
        <f aca="false">H536/I536-1</f>
        <v>-0.326174285902062</v>
      </c>
      <c r="K536" s="12" t="n">
        <f aca="false">Data!L536</f>
        <v>0.0294</v>
      </c>
    </row>
    <row r="537" customFormat="false" ht="30" hidden="false" customHeight="true" outlineLevel="0" collapsed="false">
      <c r="A537" s="4" t="str">
        <f aca="false">Data!A537</f>
        <v>2007-08</v>
      </c>
      <c r="B537" s="13" t="n">
        <f aca="false">Data!K537</f>
        <v>0.0188</v>
      </c>
      <c r="C537" s="13" t="n">
        <f aca="false">Data!B537</f>
        <v>-0.011</v>
      </c>
      <c r="D537" s="13" t="n">
        <f aca="false">(B537-C537)*Inputs!B2</f>
        <v>0.0149</v>
      </c>
      <c r="E537" s="13" t="n">
        <f aca="false">4*Inputs!B2*Inputs!B4*Inputs!B3/10000</f>
        <v>0.001</v>
      </c>
      <c r="F537" s="13" t="n">
        <f aca="false">Inputs!B2*Inputs!B5/Inputs!B6</f>
        <v>0.000833333333333333</v>
      </c>
      <c r="G537" s="13" t="n">
        <f aca="false">D537-E537-F537</f>
        <v>0.0130666666666667</v>
      </c>
      <c r="H537" s="4" t="n">
        <f aca="false">(1+G537)*H536</f>
        <v>14.7004219042204</v>
      </c>
      <c r="I537" s="4" t="n">
        <f aca="false">MAX(1,H$2:H537)</f>
        <v>21.5349661371851</v>
      </c>
      <c r="J537" s="13" t="n">
        <f aca="false">H537/I537-1</f>
        <v>-0.317369629904515</v>
      </c>
      <c r="K537" s="13" t="n">
        <f aca="false">Data!L537</f>
        <v>-0.0002</v>
      </c>
    </row>
    <row r="538" customFormat="false" ht="30" hidden="false" customHeight="true" outlineLevel="0" collapsed="false">
      <c r="A538" s="5" t="str">
        <f aca="false">Data!A538</f>
        <v>2007-09</v>
      </c>
      <c r="B538" s="12" t="n">
        <f aca="false">Data!K538</f>
        <v>0.0776</v>
      </c>
      <c r="C538" s="12" t="n">
        <f aca="false">Data!B538</f>
        <v>0.0165</v>
      </c>
      <c r="D538" s="12" t="n">
        <f aca="false">(B538-C538)*Inputs!B2</f>
        <v>0.03055</v>
      </c>
      <c r="E538" s="12" t="n">
        <f aca="false">4*Inputs!B2*Inputs!B4*Inputs!B3/10000</f>
        <v>0.001</v>
      </c>
      <c r="F538" s="12" t="n">
        <f aca="false">Inputs!B2*Inputs!B5/Inputs!B6</f>
        <v>0.000833333333333333</v>
      </c>
      <c r="G538" s="12" t="n">
        <f aca="false">D538-E538-F538</f>
        <v>0.0287166666666667</v>
      </c>
      <c r="H538" s="5" t="n">
        <f aca="false">(1+G538)*H537</f>
        <v>15.1225690199032</v>
      </c>
      <c r="I538" s="5" t="n">
        <f aca="false">MAX(1,H$2:H538)</f>
        <v>21.5349661371851</v>
      </c>
      <c r="J538" s="12" t="n">
        <f aca="false">H538/I538-1</f>
        <v>-0.29776676110994</v>
      </c>
      <c r="K538" s="12" t="n">
        <f aca="false">Data!L538</f>
        <v>0.0444</v>
      </c>
    </row>
    <row r="539" customFormat="false" ht="30" hidden="false" customHeight="true" outlineLevel="0" collapsed="false">
      <c r="A539" s="4" t="str">
        <f aca="false">Data!A539</f>
        <v>2007-10</v>
      </c>
      <c r="B539" s="13" t="n">
        <f aca="false">Data!K539</f>
        <v>0.0766</v>
      </c>
      <c r="C539" s="13" t="n">
        <f aca="false">Data!B539</f>
        <v>-0.0106</v>
      </c>
      <c r="D539" s="13" t="n">
        <f aca="false">(B539-C539)*Inputs!B2</f>
        <v>0.0436</v>
      </c>
      <c r="E539" s="13" t="n">
        <f aca="false">4*Inputs!B2*Inputs!B4*Inputs!B3/10000</f>
        <v>0.001</v>
      </c>
      <c r="F539" s="13" t="n">
        <f aca="false">Inputs!B2*Inputs!B5/Inputs!B6</f>
        <v>0.000833333333333333</v>
      </c>
      <c r="G539" s="13" t="n">
        <f aca="false">D539-E539-F539</f>
        <v>0.0417666666666667</v>
      </c>
      <c r="H539" s="4" t="n">
        <f aca="false">(1+G539)*H538</f>
        <v>15.7541883193012</v>
      </c>
      <c r="I539" s="4" t="n">
        <f aca="false">MAX(1,H$2:H539)</f>
        <v>21.5349661371851</v>
      </c>
      <c r="J539" s="13" t="n">
        <f aca="false">H539/I539-1</f>
        <v>-0.268436819498965</v>
      </c>
      <c r="K539" s="13" t="n">
        <f aca="false">Data!L539</f>
        <v>0.0498</v>
      </c>
    </row>
    <row r="540" customFormat="false" ht="30" hidden="false" customHeight="true" outlineLevel="0" collapsed="false">
      <c r="A540" s="5" t="str">
        <f aca="false">Data!A540</f>
        <v>2007-11</v>
      </c>
      <c r="B540" s="12" t="n">
        <f aca="false">Data!K540</f>
        <v>-0.0597</v>
      </c>
      <c r="C540" s="12" t="n">
        <f aca="false">Data!B540</f>
        <v>-0.1339</v>
      </c>
      <c r="D540" s="12" t="n">
        <f aca="false">(B540-C540)*Inputs!B2</f>
        <v>0.0371</v>
      </c>
      <c r="E540" s="12" t="n">
        <f aca="false">4*Inputs!B2*Inputs!B4*Inputs!B3/10000</f>
        <v>0.001</v>
      </c>
      <c r="F540" s="12" t="n">
        <f aca="false">Inputs!B2*Inputs!B5/Inputs!B6</f>
        <v>0.000833333333333333</v>
      </c>
      <c r="G540" s="12" t="n">
        <f aca="false">D540-E540-F540</f>
        <v>0.0352666666666667</v>
      </c>
      <c r="H540" s="5" t="n">
        <f aca="false">(1+G540)*H539</f>
        <v>16.3097860273619</v>
      </c>
      <c r="I540" s="5" t="n">
        <f aca="false">MAX(1,H$2:H540)</f>
        <v>21.5349661371851</v>
      </c>
      <c r="J540" s="12" t="n">
        <f aca="false">H540/I540-1</f>
        <v>-0.242637024666629</v>
      </c>
      <c r="K540" s="12" t="n">
        <f aca="false">Data!L540</f>
        <v>0.0109</v>
      </c>
    </row>
    <row r="541" customFormat="false" ht="30" hidden="false" customHeight="true" outlineLevel="0" collapsed="false">
      <c r="A541" s="4" t="str">
        <f aca="false">Data!A541</f>
        <v>2007-12</v>
      </c>
      <c r="B541" s="13" t="n">
        <f aca="false">Data!K541</f>
        <v>0.0431</v>
      </c>
      <c r="C541" s="13" t="n">
        <f aca="false">Data!B541</f>
        <v>-0.0694</v>
      </c>
      <c r="D541" s="13" t="n">
        <f aca="false">(B541-C541)*Inputs!B2</f>
        <v>0.05625</v>
      </c>
      <c r="E541" s="13" t="n">
        <f aca="false">4*Inputs!B2*Inputs!B4*Inputs!B3/10000</f>
        <v>0.001</v>
      </c>
      <c r="F541" s="13" t="n">
        <f aca="false">Inputs!B2*Inputs!B5/Inputs!B6</f>
        <v>0.000833333333333333</v>
      </c>
      <c r="G541" s="13" t="n">
        <f aca="false">D541-E541-F541</f>
        <v>0.0544166666666667</v>
      </c>
      <c r="H541" s="4" t="n">
        <f aca="false">(1+G541)*H540</f>
        <v>17.1973102170175</v>
      </c>
      <c r="I541" s="4" t="n">
        <f aca="false">MAX(1,H$2:H541)</f>
        <v>21.5349661371851</v>
      </c>
      <c r="J541" s="13" t="n">
        <f aca="false">H541/I541-1</f>
        <v>-0.201423856092238</v>
      </c>
      <c r="K541" s="13" t="n">
        <f aca="false">Data!L541</f>
        <v>0.0657</v>
      </c>
    </row>
    <row r="542" customFormat="false" ht="30" hidden="false" customHeight="true" outlineLevel="0" collapsed="false">
      <c r="A542" s="5" t="str">
        <f aca="false">Data!A542</f>
        <v>2008-01</v>
      </c>
      <c r="B542" s="12" t="n">
        <f aca="false">Data!K542</f>
        <v>-0.1318</v>
      </c>
      <c r="C542" s="12" t="n">
        <f aca="false">Data!B542</f>
        <v>0.0383</v>
      </c>
      <c r="D542" s="12" t="n">
        <f aca="false">(B542-C542)*Inputs!B2</f>
        <v>-0.08505</v>
      </c>
      <c r="E542" s="12" t="n">
        <f aca="false">4*Inputs!B2*Inputs!B4*Inputs!B3/10000</f>
        <v>0.001</v>
      </c>
      <c r="F542" s="12" t="n">
        <f aca="false">Inputs!B2*Inputs!B5/Inputs!B6</f>
        <v>0.000833333333333333</v>
      </c>
      <c r="G542" s="12" t="n">
        <f aca="false">D542-E542-F542</f>
        <v>-0.0868833333333333</v>
      </c>
      <c r="H542" s="5" t="n">
        <f aca="false">(1+G542)*H541</f>
        <v>15.7031505809956</v>
      </c>
      <c r="I542" s="5" t="n">
        <f aca="false">MAX(1,H$2:H542)</f>
        <v>21.5349661371851</v>
      </c>
      <c r="J542" s="12" t="n">
        <f aca="false">H542/I542-1</f>
        <v>-0.270806813395424</v>
      </c>
      <c r="K542" s="12" t="n">
        <f aca="false">Data!L542</f>
        <v>-0.0778</v>
      </c>
    </row>
    <row r="543" customFormat="false" ht="30" hidden="false" customHeight="true" outlineLevel="0" collapsed="false">
      <c r="A543" s="4" t="str">
        <f aca="false">Data!A543</f>
        <v>2008-02</v>
      </c>
      <c r="B543" s="13" t="n">
        <f aca="false">Data!K543</f>
        <v>0.0205</v>
      </c>
      <c r="C543" s="13" t="n">
        <f aca="false">Data!B543</f>
        <v>-0.1248</v>
      </c>
      <c r="D543" s="13" t="n">
        <f aca="false">(B543-C543)*Inputs!B2</f>
        <v>0.07265</v>
      </c>
      <c r="E543" s="13" t="n">
        <f aca="false">4*Inputs!B2*Inputs!B4*Inputs!B3/10000</f>
        <v>0.001</v>
      </c>
      <c r="F543" s="13" t="n">
        <f aca="false">Inputs!B2*Inputs!B5/Inputs!B6</f>
        <v>0.000833333333333333</v>
      </c>
      <c r="G543" s="13" t="n">
        <f aca="false">D543-E543-F543</f>
        <v>0.0708166666666667</v>
      </c>
      <c r="H543" s="4" t="n">
        <f aca="false">(1+G543)*H542</f>
        <v>16.8151953613065</v>
      </c>
      <c r="I543" s="4" t="n">
        <f aca="false">MAX(1,H$2:H543)</f>
        <v>21.5349661371851</v>
      </c>
      <c r="J543" s="13" t="n">
        <f aca="false">H543/I543-1</f>
        <v>-0.219167782564043</v>
      </c>
      <c r="K543" s="13" t="n">
        <f aca="false">Data!L543</f>
        <v>0.0613</v>
      </c>
    </row>
    <row r="544" customFormat="false" ht="30" hidden="false" customHeight="true" outlineLevel="0" collapsed="false">
      <c r="A544" s="5" t="str">
        <f aca="false">Data!A544</f>
        <v>2008-03</v>
      </c>
      <c r="B544" s="12" t="n">
        <f aca="false">Data!K544</f>
        <v>-0.0067</v>
      </c>
      <c r="C544" s="12" t="n">
        <f aca="false">Data!B544</f>
        <v>-0.1007</v>
      </c>
      <c r="D544" s="12" t="n">
        <f aca="false">(B544-C544)*Inputs!B2</f>
        <v>0.047</v>
      </c>
      <c r="E544" s="12" t="n">
        <f aca="false">4*Inputs!B2*Inputs!B4*Inputs!B3/10000</f>
        <v>0.001</v>
      </c>
      <c r="F544" s="12" t="n">
        <f aca="false">Inputs!B2*Inputs!B5/Inputs!B6</f>
        <v>0.000833333333333333</v>
      </c>
      <c r="G544" s="12" t="n">
        <f aca="false">D544-E544-F544</f>
        <v>0.0451666666666667</v>
      </c>
      <c r="H544" s="5" t="n">
        <f aca="false">(1+G544)*H543</f>
        <v>17.5746816851255</v>
      </c>
      <c r="I544" s="5" t="n">
        <f aca="false">MAX(1,H$2:H544)</f>
        <v>21.5349661371851</v>
      </c>
      <c r="J544" s="12" t="n">
        <f aca="false">H544/I544-1</f>
        <v>-0.183900194076519</v>
      </c>
      <c r="K544" s="12" t="n">
        <f aca="false">Data!L544</f>
        <v>0.0425</v>
      </c>
    </row>
    <row r="545" customFormat="false" ht="30" hidden="false" customHeight="true" outlineLevel="0" collapsed="false">
      <c r="A545" s="4" t="str">
        <f aca="false">Data!A545</f>
        <v>2008-04</v>
      </c>
      <c r="B545" s="13" t="n">
        <f aca="false">Data!K545</f>
        <v>0.0968</v>
      </c>
      <c r="C545" s="13" t="n">
        <f aca="false">Data!B545</f>
        <v>0.0809</v>
      </c>
      <c r="D545" s="13" t="n">
        <f aca="false">(B545-C545)*Inputs!B2</f>
        <v>0.00795</v>
      </c>
      <c r="E545" s="13" t="n">
        <f aca="false">4*Inputs!B2*Inputs!B4*Inputs!B3/10000</f>
        <v>0.001</v>
      </c>
      <c r="F545" s="13" t="n">
        <f aca="false">Inputs!B2*Inputs!B5/Inputs!B6</f>
        <v>0.000833333333333333</v>
      </c>
      <c r="G545" s="13" t="n">
        <f aca="false">D545-E545-F545</f>
        <v>0.00611666666666667</v>
      </c>
      <c r="H545" s="4" t="n">
        <f aca="false">(1+G545)*H544</f>
        <v>17.6821801547662</v>
      </c>
      <c r="I545" s="4" t="n">
        <f aca="false">MAX(1,H$2:H545)</f>
        <v>21.5349661371851</v>
      </c>
      <c r="J545" s="13" t="n">
        <f aca="false">H545/I545-1</f>
        <v>-0.178908383596954</v>
      </c>
      <c r="K545" s="13" t="n">
        <f aca="false">Data!L545</f>
        <v>-0.0031</v>
      </c>
    </row>
    <row r="546" customFormat="false" ht="30" hidden="false" customHeight="true" outlineLevel="0" collapsed="false">
      <c r="A546" s="5" t="str">
        <f aca="false">Data!A546</f>
        <v>2008-05</v>
      </c>
      <c r="B546" s="12" t="n">
        <f aca="false">Data!K546</f>
        <v>0.0692</v>
      </c>
      <c r="C546" s="12" t="n">
        <f aca="false">Data!B546</f>
        <v>-0.0259</v>
      </c>
      <c r="D546" s="12" t="n">
        <f aca="false">(B546-C546)*Inputs!B2</f>
        <v>0.04755</v>
      </c>
      <c r="E546" s="12" t="n">
        <f aca="false">4*Inputs!B2*Inputs!B4*Inputs!B3/10000</f>
        <v>0.001</v>
      </c>
      <c r="F546" s="12" t="n">
        <f aca="false">Inputs!B2*Inputs!B5/Inputs!B6</f>
        <v>0.000833333333333333</v>
      </c>
      <c r="G546" s="12" t="n">
        <f aca="false">D546-E546-F546</f>
        <v>0.0457166666666667</v>
      </c>
      <c r="H546" s="5" t="n">
        <f aca="false">(1+G546)*H545</f>
        <v>18.4905504908416</v>
      </c>
      <c r="I546" s="5" t="n">
        <f aca="false">MAX(1,H$2:H546)</f>
        <v>21.5349661371851</v>
      </c>
      <c r="J546" s="12" t="n">
        <f aca="false">H546/I546-1</f>
        <v>-0.141370811867061</v>
      </c>
      <c r="K546" s="12" t="n">
        <f aca="false">Data!L546</f>
        <v>0.0338</v>
      </c>
    </row>
    <row r="547" customFormat="false" ht="30" hidden="false" customHeight="true" outlineLevel="0" collapsed="false">
      <c r="A547" s="4" t="str">
        <f aca="false">Data!A547</f>
        <v>2008-06</v>
      </c>
      <c r="B547" s="13" t="n">
        <f aca="false">Data!K547</f>
        <v>-0.0047</v>
      </c>
      <c r="C547" s="13" t="n">
        <f aca="false">Data!B547</f>
        <v>-0.1941</v>
      </c>
      <c r="D547" s="13" t="n">
        <f aca="false">(B547-C547)*Inputs!B2</f>
        <v>0.0947</v>
      </c>
      <c r="E547" s="13" t="n">
        <f aca="false">4*Inputs!B2*Inputs!B4*Inputs!B3/10000</f>
        <v>0.001</v>
      </c>
      <c r="F547" s="13" t="n">
        <f aca="false">Inputs!B2*Inputs!B5/Inputs!B6</f>
        <v>0.000833333333333333</v>
      </c>
      <c r="G547" s="13" t="n">
        <f aca="false">D547-E547-F547</f>
        <v>0.0928666666666667</v>
      </c>
      <c r="H547" s="4" t="n">
        <f aca="false">(1+G547)*H546</f>
        <v>20.2077062797577</v>
      </c>
      <c r="I547" s="4" t="n">
        <f aca="false">MAX(1,H$2:H547)</f>
        <v>21.5349661371851</v>
      </c>
      <c r="J547" s="13" t="n">
        <f aca="false">H547/I547-1</f>
        <v>-0.0616327812624489</v>
      </c>
      <c r="K547" s="13" t="n">
        <f aca="false">Data!L547</f>
        <v>0.1273</v>
      </c>
    </row>
    <row r="548" customFormat="false" ht="30" hidden="false" customHeight="true" outlineLevel="0" collapsed="false">
      <c r="A548" s="5" t="str">
        <f aca="false">Data!A548</f>
        <v>2008-07</v>
      </c>
      <c r="B548" s="12" t="n">
        <f aca="false">Data!K548</f>
        <v>-0.0936</v>
      </c>
      <c r="C548" s="12" t="n">
        <f aca="false">Data!B548</f>
        <v>0.0041</v>
      </c>
      <c r="D548" s="12" t="n">
        <f aca="false">(B548-C548)*Inputs!B2</f>
        <v>-0.04885</v>
      </c>
      <c r="E548" s="12" t="n">
        <f aca="false">4*Inputs!B2*Inputs!B4*Inputs!B3/10000</f>
        <v>0.001</v>
      </c>
      <c r="F548" s="12" t="n">
        <f aca="false">Inputs!B2*Inputs!B5/Inputs!B6</f>
        <v>0.000833333333333333</v>
      </c>
      <c r="G548" s="12" t="n">
        <f aca="false">D548-E548-F548</f>
        <v>-0.0506833333333333</v>
      </c>
      <c r="H548" s="5" t="n">
        <f aca="false">(1+G548)*H547</f>
        <v>19.1835123664787</v>
      </c>
      <c r="I548" s="5" t="n">
        <f aca="false">MAX(1,H$2:H548)</f>
        <v>21.5349661371851</v>
      </c>
      <c r="J548" s="12" t="n">
        <f aca="false">H548/I548-1</f>
        <v>-0.109192359798797</v>
      </c>
      <c r="K548" s="12" t="n">
        <f aca="false">Data!L548</f>
        <v>-0.0502</v>
      </c>
    </row>
    <row r="549" customFormat="false" ht="30" hidden="false" customHeight="true" outlineLevel="0" collapsed="false">
      <c r="A549" s="4" t="str">
        <f aca="false">Data!A549</f>
        <v>2008-08</v>
      </c>
      <c r="B549" s="13" t="n">
        <f aca="false">Data!K549</f>
        <v>-0.0288</v>
      </c>
      <c r="C549" s="13" t="n">
        <f aca="false">Data!B549</f>
        <v>-0.0224</v>
      </c>
      <c r="D549" s="13" t="n">
        <f aca="false">(B549-C549)*Inputs!B2</f>
        <v>-0.0032</v>
      </c>
      <c r="E549" s="13" t="n">
        <f aca="false">4*Inputs!B2*Inputs!B4*Inputs!B3/10000</f>
        <v>0.001</v>
      </c>
      <c r="F549" s="13" t="n">
        <f aca="false">Inputs!B2*Inputs!B5/Inputs!B6</f>
        <v>0.000833333333333333</v>
      </c>
      <c r="G549" s="13" t="n">
        <f aca="false">D549-E549-F549</f>
        <v>-0.00503333333333333</v>
      </c>
      <c r="H549" s="4" t="n">
        <f aca="false">(1+G549)*H548</f>
        <v>19.086955354234</v>
      </c>
      <c r="I549" s="4" t="n">
        <f aca="false">MAX(1,H$2:H549)</f>
        <v>21.5349661371851</v>
      </c>
      <c r="J549" s="13" t="n">
        <f aca="false">H549/I549-1</f>
        <v>-0.11367609158781</v>
      </c>
      <c r="K549" s="13" t="n">
        <f aca="false">Data!L549</f>
        <v>-0.045</v>
      </c>
    </row>
    <row r="550" customFormat="false" ht="30" hidden="false" customHeight="true" outlineLevel="0" collapsed="false">
      <c r="A550" s="5" t="str">
        <f aca="false">Data!A550</f>
        <v>2008-09</v>
      </c>
      <c r="B550" s="12" t="n">
        <f aca="false">Data!K550</f>
        <v>-0.1523</v>
      </c>
      <c r="C550" s="12" t="n">
        <f aca="false">Data!B550</f>
        <v>-0.2606</v>
      </c>
      <c r="D550" s="12" t="n">
        <f aca="false">(B550-C550)*Inputs!B2</f>
        <v>0.05415</v>
      </c>
      <c r="E550" s="12" t="n">
        <f aca="false">4*Inputs!B2*Inputs!B4*Inputs!B3/10000</f>
        <v>0.001</v>
      </c>
      <c r="F550" s="12" t="n">
        <f aca="false">Inputs!B2*Inputs!B5/Inputs!B6</f>
        <v>0.000833333333333333</v>
      </c>
      <c r="G550" s="12" t="n">
        <f aca="false">D550-E550-F550</f>
        <v>0.0523166666666667</v>
      </c>
      <c r="H550" s="5" t="n">
        <f aca="false">(1+G550)*H549</f>
        <v>20.085521235183</v>
      </c>
      <c r="I550" s="5" t="n">
        <f aca="false">MAX(1,H$2:H550)</f>
        <v>21.5349661371851</v>
      </c>
      <c r="J550" s="12" t="n">
        <f aca="false">H550/I550-1</f>
        <v>-0.0673065791127122</v>
      </c>
      <c r="K550" s="12" t="n">
        <f aca="false">Data!L550</f>
        <v>0.0078</v>
      </c>
    </row>
    <row r="551" customFormat="false" ht="30" hidden="false" customHeight="true" outlineLevel="0" collapsed="false">
      <c r="A551" s="4" t="str">
        <f aca="false">Data!A551</f>
        <v>2008-10</v>
      </c>
      <c r="B551" s="13" t="n">
        <f aca="false">Data!K551</f>
        <v>-0.152</v>
      </c>
      <c r="C551" s="13" t="n">
        <f aca="false">Data!B551</f>
        <v>-0.2591</v>
      </c>
      <c r="D551" s="13" t="n">
        <f aca="false">(B551-C551)*Inputs!B2</f>
        <v>0.05355</v>
      </c>
      <c r="E551" s="13" t="n">
        <f aca="false">4*Inputs!B2*Inputs!B4*Inputs!B3/10000</f>
        <v>0.001</v>
      </c>
      <c r="F551" s="13" t="n">
        <f aca="false">Inputs!B2*Inputs!B5/Inputs!B6</f>
        <v>0.000833333333333333</v>
      </c>
      <c r="G551" s="13" t="n">
        <f aca="false">D551-E551-F551</f>
        <v>0.0517166666666667</v>
      </c>
      <c r="H551" s="4" t="n">
        <f aca="false">(1+G551)*H550</f>
        <v>21.1242774417293</v>
      </c>
      <c r="I551" s="4" t="n">
        <f aca="false">MAX(1,H$2:H551)</f>
        <v>21.5349661371851</v>
      </c>
      <c r="J551" s="13" t="n">
        <f aca="false">H551/I551-1</f>
        <v>-0.0190707843624912</v>
      </c>
      <c r="K551" s="13" t="n">
        <f aca="false">Data!L551</f>
        <v>0.0784</v>
      </c>
    </row>
    <row r="552" customFormat="false" ht="30" hidden="false" customHeight="true" outlineLevel="0" collapsed="false">
      <c r="A552" s="5" t="str">
        <f aca="false">Data!A552</f>
        <v>2008-11</v>
      </c>
      <c r="B552" s="12" t="n">
        <f aca="false">Data!K552</f>
        <v>-0.0762</v>
      </c>
      <c r="C552" s="12" t="n">
        <f aca="false">Data!B552</f>
        <v>-0.2025</v>
      </c>
      <c r="D552" s="12" t="n">
        <f aca="false">(B552-C552)*Inputs!B2</f>
        <v>0.06315</v>
      </c>
      <c r="E552" s="12" t="n">
        <f aca="false">4*Inputs!B2*Inputs!B4*Inputs!B3/10000</f>
        <v>0.001</v>
      </c>
      <c r="F552" s="12" t="n">
        <f aca="false">Inputs!B2*Inputs!B5/Inputs!B6</f>
        <v>0.000833333333333333</v>
      </c>
      <c r="G552" s="12" t="n">
        <f aca="false">D552-E552-F552</f>
        <v>0.0613166666666667</v>
      </c>
      <c r="H552" s="5" t="n">
        <f aca="false">(1+G552)*H551</f>
        <v>22.419547720198</v>
      </c>
      <c r="I552" s="5" t="n">
        <f aca="false">MAX(1,H$2:H552)</f>
        <v>22.419547720198</v>
      </c>
      <c r="J552" s="12" t="n">
        <f aca="false">H552/I552-1</f>
        <v>0</v>
      </c>
      <c r="K552" s="12" t="n">
        <f aca="false">Data!L552</f>
        <v>0.0726</v>
      </c>
    </row>
    <row r="553" customFormat="false" ht="30" hidden="false" customHeight="true" outlineLevel="0" collapsed="false">
      <c r="A553" s="4" t="str">
        <f aca="false">Data!A553</f>
        <v>2008-12</v>
      </c>
      <c r="B553" s="13" t="n">
        <f aca="false">Data!K553</f>
        <v>0.008</v>
      </c>
      <c r="C553" s="13" t="n">
        <f aca="false">Data!B553</f>
        <v>0.0423</v>
      </c>
      <c r="D553" s="13" t="n">
        <f aca="false">(B553-C553)*Inputs!B2</f>
        <v>-0.01715</v>
      </c>
      <c r="E553" s="13" t="n">
        <f aca="false">4*Inputs!B2*Inputs!B4*Inputs!B3/10000</f>
        <v>0.001</v>
      </c>
      <c r="F553" s="13" t="n">
        <f aca="false">Inputs!B2*Inputs!B5/Inputs!B6</f>
        <v>0.000833333333333333</v>
      </c>
      <c r="G553" s="13" t="n">
        <f aca="false">D553-E553-F553</f>
        <v>-0.0189833333333333</v>
      </c>
      <c r="H553" s="4" t="n">
        <f aca="false">(1+G553)*H552</f>
        <v>21.9939499726429</v>
      </c>
      <c r="I553" s="4" t="n">
        <f aca="false">MAX(1,H$2:H553)</f>
        <v>22.419547720198</v>
      </c>
      <c r="J553" s="13" t="n">
        <f aca="false">H553/I553-1</f>
        <v>-0.0189833333333334</v>
      </c>
      <c r="K553" s="13" t="n">
        <f aca="false">Data!L553</f>
        <v>-0.0508</v>
      </c>
    </row>
    <row r="554" customFormat="false" ht="30" hidden="false" customHeight="true" outlineLevel="0" collapsed="false">
      <c r="A554" s="5" t="str">
        <f aca="false">Data!A554</f>
        <v>2009-01</v>
      </c>
      <c r="B554" s="12" t="n">
        <f aca="false">Data!K554</f>
        <v>-0.1205</v>
      </c>
      <c r="C554" s="12" t="n">
        <f aca="false">Data!B554</f>
        <v>-0.0935</v>
      </c>
      <c r="D554" s="12" t="n">
        <f aca="false">(B554-C554)*Inputs!B2</f>
        <v>-0.0135</v>
      </c>
      <c r="E554" s="12" t="n">
        <f aca="false">4*Inputs!B2*Inputs!B4*Inputs!B3/10000</f>
        <v>0.001</v>
      </c>
      <c r="F554" s="12" t="n">
        <f aca="false">Inputs!B2*Inputs!B5/Inputs!B6</f>
        <v>0.000833333333333333</v>
      </c>
      <c r="G554" s="12" t="n">
        <f aca="false">D554-E554-F554</f>
        <v>-0.0153333333333333</v>
      </c>
      <c r="H554" s="5" t="n">
        <f aca="false">(1+G554)*H553</f>
        <v>21.6567094063957</v>
      </c>
      <c r="I554" s="5" t="n">
        <f aca="false">MAX(1,H$2:H554)</f>
        <v>22.419547720198</v>
      </c>
      <c r="J554" s="12" t="n">
        <f aca="false">H554/I554-1</f>
        <v>-0.0340255888888889</v>
      </c>
      <c r="K554" s="12" t="n">
        <f aca="false">Data!L554</f>
        <v>-0.0216</v>
      </c>
    </row>
    <row r="555" customFormat="false" ht="30" hidden="false" customHeight="true" outlineLevel="0" collapsed="false">
      <c r="A555" s="4" t="str">
        <f aca="false">Data!A555</f>
        <v>2009-02</v>
      </c>
      <c r="B555" s="13" t="n">
        <f aca="false">Data!K555</f>
        <v>-0.0558</v>
      </c>
      <c r="C555" s="13" t="n">
        <f aca="false">Data!B555</f>
        <v>-0.259</v>
      </c>
      <c r="D555" s="13" t="n">
        <f aca="false">(B555-C555)*Inputs!B2</f>
        <v>0.1016</v>
      </c>
      <c r="E555" s="13" t="n">
        <f aca="false">4*Inputs!B2*Inputs!B4*Inputs!B3/10000</f>
        <v>0.001</v>
      </c>
      <c r="F555" s="13" t="n">
        <f aca="false">Inputs!B2*Inputs!B5/Inputs!B6</f>
        <v>0.000833333333333333</v>
      </c>
      <c r="G555" s="13" t="n">
        <f aca="false">D555-E555-F555</f>
        <v>0.0997666666666667</v>
      </c>
      <c r="H555" s="4" t="n">
        <f aca="false">(1+G555)*H554</f>
        <v>23.8173271148404</v>
      </c>
      <c r="I555" s="4" t="n">
        <f aca="false">MAX(1,H$2:H555)</f>
        <v>23.8173271148404</v>
      </c>
      <c r="J555" s="13" t="n">
        <f aca="false">H555/I555-1</f>
        <v>0</v>
      </c>
      <c r="K555" s="13" t="n">
        <f aca="false">Data!L555</f>
        <v>0.0434</v>
      </c>
    </row>
    <row r="556" customFormat="false" ht="30" hidden="false" customHeight="true" outlineLevel="0" collapsed="false">
      <c r="A556" s="5" t="str">
        <f aca="false">Data!A556</f>
        <v>2009-03</v>
      </c>
      <c r="B556" s="12" t="n">
        <f aca="false">Data!K556</f>
        <v>0.0547</v>
      </c>
      <c r="C556" s="12" t="n">
        <f aca="false">Data!B556</f>
        <v>0.4466</v>
      </c>
      <c r="D556" s="12" t="n">
        <f aca="false">(B556-C556)*Inputs!B2</f>
        <v>-0.19595</v>
      </c>
      <c r="E556" s="12" t="n">
        <f aca="false">4*Inputs!B2*Inputs!B4*Inputs!B3/10000</f>
        <v>0.001</v>
      </c>
      <c r="F556" s="12" t="n">
        <f aca="false">Inputs!B2*Inputs!B5/Inputs!B6</f>
        <v>0.000833333333333333</v>
      </c>
      <c r="G556" s="12" t="n">
        <f aca="false">D556-E556-F556</f>
        <v>-0.197783333333333</v>
      </c>
      <c r="H556" s="5" t="n">
        <f aca="false">(1+G556)*H555</f>
        <v>19.1066567669769</v>
      </c>
      <c r="I556" s="5" t="n">
        <f aca="false">MAX(1,H$2:H556)</f>
        <v>23.8173271148404</v>
      </c>
      <c r="J556" s="12" t="n">
        <f aca="false">H556/I556-1</f>
        <v>-0.197783333333333</v>
      </c>
      <c r="K556" s="12" t="n">
        <f aca="false">Data!L556</f>
        <v>-0.118</v>
      </c>
    </row>
    <row r="557" customFormat="false" ht="30" hidden="false" customHeight="true" outlineLevel="0" collapsed="false">
      <c r="A557" s="4" t="str">
        <f aca="false">Data!A557</f>
        <v>2009-04</v>
      </c>
      <c r="B557" s="13" t="n">
        <f aca="false">Data!K557</f>
        <v>-0.0012</v>
      </c>
      <c r="C557" s="13" t="n">
        <f aca="false">Data!B557</f>
        <v>0.4506</v>
      </c>
      <c r="D557" s="13" t="n">
        <f aca="false">(B557-C557)*Inputs!B2</f>
        <v>-0.2259</v>
      </c>
      <c r="E557" s="13" t="n">
        <f aca="false">4*Inputs!B2*Inputs!B4*Inputs!B3/10000</f>
        <v>0.001</v>
      </c>
      <c r="F557" s="13" t="n">
        <f aca="false">Inputs!B2*Inputs!B5/Inputs!B6</f>
        <v>0.000833333333333333</v>
      </c>
      <c r="G557" s="13" t="n">
        <f aca="false">D557-E557-F557</f>
        <v>-0.227733333333333</v>
      </c>
      <c r="H557" s="4" t="n">
        <f aca="false">(1+G557)*H556</f>
        <v>14.7554341325774</v>
      </c>
      <c r="I557" s="4" t="n">
        <f aca="false">MAX(1,H$2:H557)</f>
        <v>23.8173271148404</v>
      </c>
      <c r="J557" s="13" t="n">
        <f aca="false">H557/I557-1</f>
        <v>-0.380474808888889</v>
      </c>
      <c r="K557" s="13" t="n">
        <f aca="false">Data!L557</f>
        <v>-0.3436</v>
      </c>
    </row>
    <row r="558" customFormat="false" ht="30" hidden="false" customHeight="true" outlineLevel="0" collapsed="false">
      <c r="A558" s="5" t="str">
        <f aca="false">Data!A558</f>
        <v>2009-05</v>
      </c>
      <c r="B558" s="12" t="n">
        <f aca="false">Data!K558</f>
        <v>0.0177</v>
      </c>
      <c r="C558" s="12" t="n">
        <f aca="false">Data!B558</f>
        <v>0.2321</v>
      </c>
      <c r="D558" s="12" t="n">
        <f aca="false">(B558-C558)*Inputs!B2</f>
        <v>-0.1072</v>
      </c>
      <c r="E558" s="12" t="n">
        <f aca="false">4*Inputs!B2*Inputs!B4*Inputs!B3/10000</f>
        <v>0.001</v>
      </c>
      <c r="F558" s="12" t="n">
        <f aca="false">Inputs!B2*Inputs!B5/Inputs!B6</f>
        <v>0.000833333333333333</v>
      </c>
      <c r="G558" s="12" t="n">
        <f aca="false">D558-E558-F558</f>
        <v>-0.109033333333333</v>
      </c>
      <c r="H558" s="5" t="n">
        <f aca="false">(1+G558)*H557</f>
        <v>13.146599964322</v>
      </c>
      <c r="I558" s="5" t="n">
        <f aca="false">MAX(1,H$2:H558)</f>
        <v>23.8173271148404</v>
      </c>
      <c r="J558" s="12" t="n">
        <f aca="false">H558/I558-1</f>
        <v>-0.448023705559704</v>
      </c>
      <c r="K558" s="12" t="n">
        <f aca="false">Data!L558</f>
        <v>-0.1254</v>
      </c>
    </row>
    <row r="559" customFormat="false" ht="30" hidden="false" customHeight="true" outlineLevel="0" collapsed="false">
      <c r="A559" s="4" t="str">
        <f aca="false">Data!A559</f>
        <v>2009-06</v>
      </c>
      <c r="B559" s="13" t="n">
        <f aca="false">Data!K559</f>
        <v>0.0306</v>
      </c>
      <c r="C559" s="13" t="n">
        <f aca="false">Data!B559</f>
        <v>-0.0611</v>
      </c>
      <c r="D559" s="13" t="n">
        <f aca="false">(B559-C559)*Inputs!B2</f>
        <v>0.04585</v>
      </c>
      <c r="E559" s="13" t="n">
        <f aca="false">4*Inputs!B2*Inputs!B4*Inputs!B3/10000</f>
        <v>0.001</v>
      </c>
      <c r="F559" s="13" t="n">
        <f aca="false">Inputs!B2*Inputs!B5/Inputs!B6</f>
        <v>0.000833333333333333</v>
      </c>
      <c r="G559" s="13" t="n">
        <f aca="false">D559-E559-F559</f>
        <v>0.0440166666666667</v>
      </c>
      <c r="H559" s="4" t="n">
        <f aca="false">(1+G559)*H558</f>
        <v>13.7252694727516</v>
      </c>
      <c r="I559" s="4" t="n">
        <f aca="false">MAX(1,H$2:H559)</f>
        <v>23.8173271148404</v>
      </c>
      <c r="J559" s="13" t="n">
        <f aca="false">H559/I559-1</f>
        <v>-0.423727548999423</v>
      </c>
      <c r="K559" s="13" t="n">
        <f aca="false">Data!L559</f>
        <v>0.054</v>
      </c>
    </row>
    <row r="560" customFormat="false" ht="30" hidden="false" customHeight="true" outlineLevel="0" collapsed="false">
      <c r="A560" s="5" t="str">
        <f aca="false">Data!A560</f>
        <v>2009-07</v>
      </c>
      <c r="B560" s="12" t="n">
        <f aca="false">Data!K560</f>
        <v>0.0563</v>
      </c>
      <c r="C560" s="12" t="n">
        <f aca="false">Data!B560</f>
        <v>0.1245</v>
      </c>
      <c r="D560" s="12" t="n">
        <f aca="false">(B560-C560)*Inputs!B2</f>
        <v>-0.0341</v>
      </c>
      <c r="E560" s="12" t="n">
        <f aca="false">4*Inputs!B2*Inputs!B4*Inputs!B3/10000</f>
        <v>0.001</v>
      </c>
      <c r="F560" s="12" t="n">
        <f aca="false">Inputs!B2*Inputs!B5/Inputs!B6</f>
        <v>0.000833333333333333</v>
      </c>
      <c r="G560" s="12" t="n">
        <f aca="false">D560-E560-F560</f>
        <v>-0.0359333333333333</v>
      </c>
      <c r="H560" s="5" t="n">
        <f aca="false">(1+G560)*H559</f>
        <v>13.2320747896974</v>
      </c>
      <c r="I560" s="5" t="n">
        <f aca="false">MAX(1,H$2:H560)</f>
        <v>23.8173271148404</v>
      </c>
      <c r="J560" s="12" t="n">
        <f aca="false">H560/I560-1</f>
        <v>-0.444434939072044</v>
      </c>
      <c r="K560" s="12" t="n">
        <f aca="false">Data!L560</f>
        <v>-0.0561</v>
      </c>
    </row>
    <row r="561" customFormat="false" ht="30" hidden="false" customHeight="true" outlineLevel="0" collapsed="false">
      <c r="A561" s="4" t="str">
        <f aca="false">Data!A561</f>
        <v>2009-08</v>
      </c>
      <c r="B561" s="13" t="n">
        <f aca="false">Data!K561</f>
        <v>0.002</v>
      </c>
      <c r="C561" s="13" t="n">
        <f aca="false">Data!B561</f>
        <v>0.2513</v>
      </c>
      <c r="D561" s="13" t="n">
        <f aca="false">(B561-C561)*Inputs!B2</f>
        <v>-0.12465</v>
      </c>
      <c r="E561" s="13" t="n">
        <f aca="false">4*Inputs!B2*Inputs!B4*Inputs!B3/10000</f>
        <v>0.001</v>
      </c>
      <c r="F561" s="13" t="n">
        <f aca="false">Inputs!B2*Inputs!B5/Inputs!B6</f>
        <v>0.000833333333333333</v>
      </c>
      <c r="G561" s="13" t="n">
        <f aca="false">D561-E561-F561</f>
        <v>-0.126483333333333</v>
      </c>
      <c r="H561" s="4" t="n">
        <f aca="false">(1+G561)*H560</f>
        <v>11.5584378633805</v>
      </c>
      <c r="I561" s="4" t="n">
        <f aca="false">MAX(1,H$2:H561)</f>
        <v>23.8173271148404</v>
      </c>
      <c r="J561" s="13" t="n">
        <f aca="false">H561/I561-1</f>
        <v>-0.514704659861748</v>
      </c>
      <c r="K561" s="13" t="n">
        <f aca="false">Data!L561</f>
        <v>-0.0911</v>
      </c>
    </row>
    <row r="562" customFormat="false" ht="30" hidden="false" customHeight="true" outlineLevel="0" collapsed="false">
      <c r="A562" s="5" t="str">
        <f aca="false">Data!A562</f>
        <v>2009-09</v>
      </c>
      <c r="B562" s="12" t="n">
        <f aca="false">Data!K562</f>
        <v>0.0468</v>
      </c>
      <c r="C562" s="12" t="n">
        <f aca="false">Data!B562</f>
        <v>0.0888</v>
      </c>
      <c r="D562" s="12" t="n">
        <f aca="false">(B562-C562)*Inputs!B2</f>
        <v>-0.021</v>
      </c>
      <c r="E562" s="12" t="n">
        <f aca="false">4*Inputs!B2*Inputs!B4*Inputs!B3/10000</f>
        <v>0.001</v>
      </c>
      <c r="F562" s="12" t="n">
        <f aca="false">Inputs!B2*Inputs!B5/Inputs!B6</f>
        <v>0.000833333333333333</v>
      </c>
      <c r="G562" s="12" t="n">
        <f aca="false">D562-E562-F562</f>
        <v>-0.0228333333333333</v>
      </c>
      <c r="H562" s="5" t="n">
        <f aca="false">(1+G562)*H561</f>
        <v>11.2945201988333</v>
      </c>
      <c r="I562" s="5" t="n">
        <f aca="false">MAX(1,H$2:H562)</f>
        <v>23.8173271148404</v>
      </c>
      <c r="J562" s="12" t="n">
        <f aca="false">H562/I562-1</f>
        <v>-0.525785570128238</v>
      </c>
      <c r="K562" s="12" t="n">
        <f aca="false">Data!L562</f>
        <v>-0.0483</v>
      </c>
    </row>
    <row r="563" customFormat="false" ht="30" hidden="false" customHeight="true" outlineLevel="0" collapsed="false">
      <c r="A563" s="4" t="str">
        <f aca="false">Data!A563</f>
        <v>2009-10</v>
      </c>
      <c r="B563" s="13" t="n">
        <f aca="false">Data!K563</f>
        <v>-0.0383</v>
      </c>
      <c r="C563" s="13" t="n">
        <f aca="false">Data!B563</f>
        <v>-0.1333</v>
      </c>
      <c r="D563" s="13" t="n">
        <f aca="false">(B563-C563)*Inputs!B2</f>
        <v>0.0475</v>
      </c>
      <c r="E563" s="13" t="n">
        <f aca="false">4*Inputs!B2*Inputs!B4*Inputs!B3/10000</f>
        <v>0.001</v>
      </c>
      <c r="F563" s="13" t="n">
        <f aca="false">Inputs!B2*Inputs!B5/Inputs!B6</f>
        <v>0.000833333333333333</v>
      </c>
      <c r="G563" s="13" t="n">
        <f aca="false">D563-E563-F563</f>
        <v>0.0456666666666667</v>
      </c>
      <c r="H563" s="4" t="n">
        <f aca="false">(1+G563)*H562</f>
        <v>11.8103032879134</v>
      </c>
      <c r="I563" s="4" t="n">
        <f aca="false">MAX(1,H$2:H563)</f>
        <v>23.8173271148404</v>
      </c>
      <c r="J563" s="13" t="n">
        <f aca="false">H563/I563-1</f>
        <v>-0.504129777830761</v>
      </c>
      <c r="K563" s="13" t="n">
        <f aca="false">Data!L563</f>
        <v>0.0258</v>
      </c>
    </row>
    <row r="564" customFormat="false" ht="30" hidden="false" customHeight="true" outlineLevel="0" collapsed="false">
      <c r="A564" s="5" t="str">
        <f aca="false">Data!A564</f>
        <v>2009-11</v>
      </c>
      <c r="B564" s="12" t="n">
        <f aca="false">Data!K564</f>
        <v>0.0649</v>
      </c>
      <c r="C564" s="12" t="n">
        <f aca="false">Data!B564</f>
        <v>0.0492</v>
      </c>
      <c r="D564" s="12" t="n">
        <f aca="false">(B564-C564)*Inputs!B2</f>
        <v>0.00785</v>
      </c>
      <c r="E564" s="12" t="n">
        <f aca="false">4*Inputs!B2*Inputs!B4*Inputs!B3/10000</f>
        <v>0.001</v>
      </c>
      <c r="F564" s="12" t="n">
        <f aca="false">Inputs!B2*Inputs!B5/Inputs!B6</f>
        <v>0.000833333333333333</v>
      </c>
      <c r="G564" s="12" t="n">
        <f aca="false">D564-E564-F564</f>
        <v>0.00601666666666667</v>
      </c>
      <c r="H564" s="5" t="n">
        <f aca="false">(1+G564)*H563</f>
        <v>11.881361946029</v>
      </c>
      <c r="I564" s="5" t="n">
        <f aca="false">MAX(1,H$2:H564)</f>
        <v>23.8173271148404</v>
      </c>
      <c r="J564" s="12" t="n">
        <f aca="false">H564/I564-1</f>
        <v>-0.501146291994043</v>
      </c>
      <c r="K564" s="12" t="n">
        <f aca="false">Data!L564</f>
        <v>0.0039</v>
      </c>
    </row>
    <row r="565" customFormat="false" ht="30" hidden="false" customHeight="true" outlineLevel="0" collapsed="false">
      <c r="A565" s="4" t="str">
        <f aca="false">Data!A565</f>
        <v>2009-12</v>
      </c>
      <c r="B565" s="13" t="n">
        <f aca="false">Data!K565</f>
        <v>0.0536</v>
      </c>
      <c r="C565" s="13" t="n">
        <f aca="false">Data!B565</f>
        <v>0.0129</v>
      </c>
      <c r="D565" s="13" t="n">
        <f aca="false">(B565-C565)*Inputs!B2</f>
        <v>0.02035</v>
      </c>
      <c r="E565" s="13" t="n">
        <f aca="false">4*Inputs!B2*Inputs!B4*Inputs!B3/10000</f>
        <v>0.001</v>
      </c>
      <c r="F565" s="13" t="n">
        <f aca="false">Inputs!B2*Inputs!B5/Inputs!B6</f>
        <v>0.000833333333333333</v>
      </c>
      <c r="G565" s="13" t="n">
        <f aca="false">D565-E565-F565</f>
        <v>0.0185166666666667</v>
      </c>
      <c r="H565" s="4" t="n">
        <f aca="false">(1+G565)*H564</f>
        <v>12.1013651647296</v>
      </c>
      <c r="I565" s="4" t="n">
        <f aca="false">MAX(1,H$2:H565)</f>
        <v>23.8173271148404</v>
      </c>
      <c r="J565" s="13" t="n">
        <f aca="false">H565/I565-1</f>
        <v>-0.491909184167466</v>
      </c>
      <c r="K565" s="13" t="n">
        <f aca="false">Data!L565</f>
        <v>0.0297</v>
      </c>
    </row>
    <row r="566" customFormat="false" ht="30" hidden="false" customHeight="true" outlineLevel="0" collapsed="false">
      <c r="A566" s="5" t="str">
        <f aca="false">Data!A566</f>
        <v>2010-01</v>
      </c>
      <c r="B566" s="12" t="n">
        <f aca="false">Data!K566</f>
        <v>-0.0664</v>
      </c>
      <c r="C566" s="12" t="n">
        <f aca="false">Data!B566</f>
        <v>0.0211</v>
      </c>
      <c r="D566" s="12" t="n">
        <f aca="false">(B566-C566)*Inputs!B2</f>
        <v>-0.04375</v>
      </c>
      <c r="E566" s="12" t="n">
        <f aca="false">4*Inputs!B2*Inputs!B4*Inputs!B3/10000</f>
        <v>0.001</v>
      </c>
      <c r="F566" s="12" t="n">
        <f aca="false">Inputs!B2*Inputs!B5/Inputs!B6</f>
        <v>0.000833333333333333</v>
      </c>
      <c r="G566" s="12" t="n">
        <f aca="false">D566-E566-F566</f>
        <v>-0.0455833333333333</v>
      </c>
      <c r="H566" s="5" t="n">
        <f aca="false">(1+G566)*H565</f>
        <v>11.5497446026373</v>
      </c>
      <c r="I566" s="5" t="n">
        <f aca="false">MAX(1,H$2:H566)</f>
        <v>23.8173271148404</v>
      </c>
      <c r="J566" s="12" t="n">
        <f aca="false">H566/I566-1</f>
        <v>-0.515069657189166</v>
      </c>
      <c r="K566" s="12" t="n">
        <f aca="false">Data!L566</f>
        <v>-0.0531</v>
      </c>
    </row>
    <row r="567" customFormat="false" ht="30" hidden="false" customHeight="true" outlineLevel="0" collapsed="false">
      <c r="A567" s="4" t="str">
        <f aca="false">Data!A567</f>
        <v>2010-02</v>
      </c>
      <c r="B567" s="13" t="n">
        <f aca="false">Data!K567</f>
        <v>0.0845</v>
      </c>
      <c r="C567" s="13" t="n">
        <f aca="false">Data!B567</f>
        <v>0.0143</v>
      </c>
      <c r="D567" s="13" t="n">
        <f aca="false">(B567-C567)*Inputs!B2</f>
        <v>0.0351</v>
      </c>
      <c r="E567" s="13" t="n">
        <f aca="false">4*Inputs!B2*Inputs!B4*Inputs!B3/10000</f>
        <v>0.001</v>
      </c>
      <c r="F567" s="13" t="n">
        <f aca="false">Inputs!B2*Inputs!B5/Inputs!B6</f>
        <v>0.000833333333333333</v>
      </c>
      <c r="G567" s="13" t="n">
        <f aca="false">D567-E567-F567</f>
        <v>0.0332666666666667</v>
      </c>
      <c r="H567" s="4" t="n">
        <f aca="false">(1+G567)*H566</f>
        <v>11.9339661064184</v>
      </c>
      <c r="I567" s="4" t="n">
        <f aca="false">MAX(1,H$2:H567)</f>
        <v>23.8173271148404</v>
      </c>
      <c r="J567" s="13" t="n">
        <f aca="false">H567/I567-1</f>
        <v>-0.498937641118325</v>
      </c>
      <c r="K567" s="13" t="n">
        <f aca="false">Data!L567</f>
        <v>0.037</v>
      </c>
    </row>
    <row r="568" customFormat="false" ht="30" hidden="false" customHeight="true" outlineLevel="0" collapsed="false">
      <c r="A568" s="5" t="str">
        <f aca="false">Data!A568</f>
        <v>2010-03</v>
      </c>
      <c r="B568" s="12" t="n">
        <f aca="false">Data!K568</f>
        <v>0.0864</v>
      </c>
      <c r="C568" s="12" t="n">
        <f aca="false">Data!B568</f>
        <v>0.0495</v>
      </c>
      <c r="D568" s="12" t="n">
        <f aca="false">(B568-C568)*Inputs!B2</f>
        <v>0.01845</v>
      </c>
      <c r="E568" s="12" t="n">
        <f aca="false">4*Inputs!B2*Inputs!B4*Inputs!B3/10000</f>
        <v>0.001</v>
      </c>
      <c r="F568" s="12" t="n">
        <f aca="false">Inputs!B2*Inputs!B5/Inputs!B6</f>
        <v>0.000833333333333333</v>
      </c>
      <c r="G568" s="12" t="n">
        <f aca="false">D568-E568-F568</f>
        <v>0.0166166666666667</v>
      </c>
      <c r="H568" s="5" t="n">
        <f aca="false">(1+G568)*H567</f>
        <v>12.1322688432201</v>
      </c>
      <c r="I568" s="5" t="n">
        <f aca="false">MAX(1,H$2:H568)</f>
        <v>23.8173271148404</v>
      </c>
      <c r="J568" s="12" t="n">
        <f aca="false">H568/I568-1</f>
        <v>-0.490611654921575</v>
      </c>
      <c r="K568" s="12" t="n">
        <f aca="false">Data!L568</f>
        <v>0.0358</v>
      </c>
    </row>
    <row r="569" customFormat="false" ht="30" hidden="false" customHeight="true" outlineLevel="0" collapsed="false">
      <c r="A569" s="4" t="str">
        <f aca="false">Data!A569</f>
        <v>2010-04</v>
      </c>
      <c r="B569" s="13" t="n">
        <f aca="false">Data!K569</f>
        <v>0.0684</v>
      </c>
      <c r="C569" s="13" t="n">
        <f aca="false">Data!B569</f>
        <v>0.0069</v>
      </c>
      <c r="D569" s="13" t="n">
        <f aca="false">(B569-C569)*Inputs!B2</f>
        <v>0.03075</v>
      </c>
      <c r="E569" s="13" t="n">
        <f aca="false">4*Inputs!B2*Inputs!B4*Inputs!B3/10000</f>
        <v>0.001</v>
      </c>
      <c r="F569" s="13" t="n">
        <f aca="false">Inputs!B2*Inputs!B5/Inputs!B6</f>
        <v>0.000833333333333333</v>
      </c>
      <c r="G569" s="13" t="n">
        <f aca="false">D569-E569-F569</f>
        <v>0.0289166666666667</v>
      </c>
      <c r="H569" s="4" t="n">
        <f aca="false">(1+G569)*H568</f>
        <v>12.4830936172698</v>
      </c>
      <c r="I569" s="4" t="n">
        <f aca="false">MAX(1,H$2:H569)</f>
        <v>23.8173271148404</v>
      </c>
      <c r="J569" s="13" t="n">
        <f aca="false">H569/I569-1</f>
        <v>-0.475881841943057</v>
      </c>
      <c r="K569" s="13" t="n">
        <f aca="false">Data!L569</f>
        <v>0.0319</v>
      </c>
    </row>
    <row r="570" customFormat="false" ht="30" hidden="false" customHeight="true" outlineLevel="0" collapsed="false">
      <c r="A570" s="5" t="str">
        <f aca="false">Data!A570</f>
        <v>2010-05</v>
      </c>
      <c r="B570" s="12" t="n">
        <f aca="false">Data!K570</f>
        <v>-0.0991</v>
      </c>
      <c r="C570" s="12" t="n">
        <f aca="false">Data!B570</f>
        <v>-0.0862</v>
      </c>
      <c r="D570" s="12" t="n">
        <f aca="false">(B570-C570)*Inputs!B2</f>
        <v>-0.00645</v>
      </c>
      <c r="E570" s="12" t="n">
        <f aca="false">4*Inputs!B2*Inputs!B4*Inputs!B3/10000</f>
        <v>0.001</v>
      </c>
      <c r="F570" s="12" t="n">
        <f aca="false">Inputs!B2*Inputs!B5/Inputs!B6</f>
        <v>0.000833333333333333</v>
      </c>
      <c r="G570" s="12" t="n">
        <f aca="false">D570-E570-F570</f>
        <v>-0.00828333333333334</v>
      </c>
      <c r="H570" s="5" t="n">
        <f aca="false">(1+G570)*H569</f>
        <v>12.3796919918068</v>
      </c>
      <c r="I570" s="5" t="n">
        <f aca="false">MAX(1,H$2:H570)</f>
        <v>23.8173271148404</v>
      </c>
      <c r="J570" s="12" t="n">
        <f aca="false">H570/I570-1</f>
        <v>-0.480223287352295</v>
      </c>
      <c r="K570" s="12" t="n">
        <f aca="false">Data!L570</f>
        <v>-0.0018</v>
      </c>
    </row>
    <row r="571" customFormat="false" ht="30" hidden="false" customHeight="true" outlineLevel="0" collapsed="false">
      <c r="A571" s="4" t="str">
        <f aca="false">Data!A571</f>
        <v>2010-06</v>
      </c>
      <c r="B571" s="13" t="n">
        <f aca="false">Data!K571</f>
        <v>-0.1099</v>
      </c>
      <c r="C571" s="13" t="n">
        <f aca="false">Data!B571</f>
        <v>-0.0647</v>
      </c>
      <c r="D571" s="13" t="n">
        <f aca="false">(B571-C571)*Inputs!B2</f>
        <v>-0.0226</v>
      </c>
      <c r="E571" s="13" t="n">
        <f aca="false">4*Inputs!B2*Inputs!B4*Inputs!B3/10000</f>
        <v>0.001</v>
      </c>
      <c r="F571" s="13" t="n">
        <f aca="false">Inputs!B2*Inputs!B5/Inputs!B6</f>
        <v>0.000833333333333333</v>
      </c>
      <c r="G571" s="13" t="n">
        <f aca="false">D571-E571-F571</f>
        <v>-0.0244333333333333</v>
      </c>
      <c r="H571" s="4" t="n">
        <f aca="false">(1+G571)*H570</f>
        <v>12.077214850807</v>
      </c>
      <c r="I571" s="4" t="n">
        <f aca="false">MAX(1,H$2:H571)</f>
        <v>23.8173271148404</v>
      </c>
      <c r="J571" s="13" t="n">
        <f aca="false">H571/I571-1</f>
        <v>-0.492923165031321</v>
      </c>
      <c r="K571" s="13" t="n">
        <f aca="false">Data!L571</f>
        <v>-0.027</v>
      </c>
    </row>
    <row r="572" customFormat="false" ht="30" hidden="false" customHeight="true" outlineLevel="0" collapsed="false">
      <c r="A572" s="5" t="str">
        <f aca="false">Data!A572</f>
        <v>2010-07</v>
      </c>
      <c r="B572" s="12" t="n">
        <f aca="false">Data!K572</f>
        <v>0.1021</v>
      </c>
      <c r="C572" s="12" t="n">
        <f aca="false">Data!B572</f>
        <v>0.0694</v>
      </c>
      <c r="D572" s="12" t="n">
        <f aca="false">(B572-C572)*Inputs!B2</f>
        <v>0.01635</v>
      </c>
      <c r="E572" s="12" t="n">
        <f aca="false">4*Inputs!B2*Inputs!B4*Inputs!B3/10000</f>
        <v>0.001</v>
      </c>
      <c r="F572" s="12" t="n">
        <f aca="false">Inputs!B2*Inputs!B5/Inputs!B6</f>
        <v>0.000833333333333333</v>
      </c>
      <c r="G572" s="12" t="n">
        <f aca="false">D572-E572-F572</f>
        <v>0.0145166666666667</v>
      </c>
      <c r="H572" s="5" t="n">
        <f aca="false">(1+G572)*H571</f>
        <v>12.2525357530579</v>
      </c>
      <c r="I572" s="5" t="n">
        <f aca="false">MAX(1,H$2:H572)</f>
        <v>23.8173271148404</v>
      </c>
      <c r="J572" s="12" t="n">
        <f aca="false">H572/I572-1</f>
        <v>-0.485562099643692</v>
      </c>
      <c r="K572" s="12" t="n">
        <f aca="false">Data!L572</f>
        <v>0.0177</v>
      </c>
    </row>
    <row r="573" customFormat="false" ht="30" hidden="false" customHeight="true" outlineLevel="0" collapsed="false">
      <c r="A573" s="4" t="str">
        <f aca="false">Data!A573</f>
        <v>2010-08</v>
      </c>
      <c r="B573" s="13" t="n">
        <f aca="false">Data!K573</f>
        <v>-0.0555</v>
      </c>
      <c r="C573" s="13" t="n">
        <f aca="false">Data!B573</f>
        <v>-0.0428</v>
      </c>
      <c r="D573" s="13" t="n">
        <f aca="false">(B573-C573)*Inputs!B2</f>
        <v>-0.00635</v>
      </c>
      <c r="E573" s="13" t="n">
        <f aca="false">4*Inputs!B2*Inputs!B4*Inputs!B3/10000</f>
        <v>0.001</v>
      </c>
      <c r="F573" s="13" t="n">
        <f aca="false">Inputs!B2*Inputs!B5/Inputs!B6</f>
        <v>0.000833333333333333</v>
      </c>
      <c r="G573" s="13" t="n">
        <f aca="false">D573-E573-F573</f>
        <v>-0.00818333333333333</v>
      </c>
      <c r="H573" s="4" t="n">
        <f aca="false">(1+G573)*H572</f>
        <v>12.152269168812</v>
      </c>
      <c r="I573" s="4" t="n">
        <f aca="false">MAX(1,H$2:H573)</f>
        <v>23.8173271148404</v>
      </c>
      <c r="J573" s="13" t="n">
        <f aca="false">H573/I573-1</f>
        <v>-0.489771916461608</v>
      </c>
      <c r="K573" s="13" t="n">
        <f aca="false">Data!L573</f>
        <v>-0.0006</v>
      </c>
    </row>
    <row r="574" customFormat="false" ht="30" hidden="false" customHeight="true" outlineLevel="0" collapsed="false">
      <c r="A574" s="5" t="str">
        <f aca="false">Data!A574</f>
        <v>2010-09</v>
      </c>
      <c r="B574" s="12" t="n">
        <f aca="false">Data!K574</f>
        <v>0.1366</v>
      </c>
      <c r="C574" s="12" t="n">
        <f aca="false">Data!B574</f>
        <v>0.1098</v>
      </c>
      <c r="D574" s="12" t="n">
        <f aca="false">(B574-C574)*Inputs!B2</f>
        <v>0.0134</v>
      </c>
      <c r="E574" s="12" t="n">
        <f aca="false">4*Inputs!B2*Inputs!B4*Inputs!B3/10000</f>
        <v>0.001</v>
      </c>
      <c r="F574" s="12" t="n">
        <f aca="false">Inputs!B2*Inputs!B5/Inputs!B6</f>
        <v>0.000833333333333333</v>
      </c>
      <c r="G574" s="12" t="n">
        <f aca="false">D574-E574-F574</f>
        <v>0.0115666666666667</v>
      </c>
      <c r="H574" s="5" t="n">
        <f aca="false">(1+G574)*H573</f>
        <v>12.2928304155313</v>
      </c>
      <c r="I574" s="5" t="n">
        <f aca="false">MAX(1,H$2:H574)</f>
        <v>23.8173271148404</v>
      </c>
      <c r="J574" s="12" t="n">
        <f aca="false">H574/I574-1</f>
        <v>-0.483870278295347</v>
      </c>
      <c r="K574" s="12" t="n">
        <f aca="false">Data!L574</f>
        <v>0.0135</v>
      </c>
    </row>
    <row r="575" customFormat="false" ht="30" hidden="false" customHeight="true" outlineLevel="0" collapsed="false">
      <c r="A575" s="4" t="str">
        <f aca="false">Data!A575</f>
        <v>2010-10</v>
      </c>
      <c r="B575" s="13" t="n">
        <f aca="false">Data!K575</f>
        <v>0.0546</v>
      </c>
      <c r="C575" s="13" t="n">
        <f aca="false">Data!B575</f>
        <v>0.0396</v>
      </c>
      <c r="D575" s="13" t="n">
        <f aca="false">(B575-C575)*Inputs!B2</f>
        <v>0.0075</v>
      </c>
      <c r="E575" s="13" t="n">
        <f aca="false">4*Inputs!B2*Inputs!B4*Inputs!B3/10000</f>
        <v>0.001</v>
      </c>
      <c r="F575" s="13" t="n">
        <f aca="false">Inputs!B2*Inputs!B5/Inputs!B6</f>
        <v>0.000833333333333333</v>
      </c>
      <c r="G575" s="13" t="n">
        <f aca="false">D575-E575-F575</f>
        <v>0.00566666666666667</v>
      </c>
      <c r="H575" s="4" t="n">
        <f aca="false">(1+G575)*H574</f>
        <v>12.3624897878859</v>
      </c>
      <c r="I575" s="4" t="n">
        <f aca="false">MAX(1,H$2:H575)</f>
        <v>23.8173271148404</v>
      </c>
      <c r="J575" s="13" t="n">
        <f aca="false">H575/I575-1</f>
        <v>-0.480945543205688</v>
      </c>
      <c r="K575" s="13" t="n">
        <f aca="false">Data!L575</f>
        <v>0.015</v>
      </c>
    </row>
    <row r="576" customFormat="false" ht="30" hidden="false" customHeight="true" outlineLevel="0" collapsed="false">
      <c r="A576" s="5" t="str">
        <f aca="false">Data!A576</f>
        <v>2010-11</v>
      </c>
      <c r="B576" s="12" t="n">
        <f aca="false">Data!K576</f>
        <v>0.0617</v>
      </c>
      <c r="C576" s="12" t="n">
        <f aca="false">Data!B576</f>
        <v>-0.0112</v>
      </c>
      <c r="D576" s="12" t="n">
        <f aca="false">(B576-C576)*Inputs!B2</f>
        <v>0.03645</v>
      </c>
      <c r="E576" s="12" t="n">
        <f aca="false">4*Inputs!B2*Inputs!B4*Inputs!B3/10000</f>
        <v>0.001</v>
      </c>
      <c r="F576" s="12" t="n">
        <f aca="false">Inputs!B2*Inputs!B5/Inputs!B6</f>
        <v>0.000833333333333333</v>
      </c>
      <c r="G576" s="12" t="n">
        <f aca="false">D576-E576-F576</f>
        <v>0.0346166666666667</v>
      </c>
      <c r="H576" s="5" t="n">
        <f aca="false">(1+G576)*H575</f>
        <v>12.7904379760433</v>
      </c>
      <c r="I576" s="5" t="n">
        <f aca="false">MAX(1,H$2:H576)</f>
        <v>23.8173271148404</v>
      </c>
      <c r="J576" s="12" t="n">
        <f aca="false">H576/I576-1</f>
        <v>-0.462977608092991</v>
      </c>
      <c r="K576" s="12" t="n">
        <f aca="false">Data!L576</f>
        <v>0.0271</v>
      </c>
    </row>
    <row r="577" customFormat="false" ht="30" hidden="false" customHeight="true" outlineLevel="0" collapsed="false">
      <c r="A577" s="4" t="str">
        <f aca="false">Data!A577</f>
        <v>2010-12</v>
      </c>
      <c r="B577" s="13" t="n">
        <f aca="false">Data!K577</f>
        <v>0.0435</v>
      </c>
      <c r="C577" s="13" t="n">
        <f aca="false">Data!B577</f>
        <v>0.1389</v>
      </c>
      <c r="D577" s="13" t="n">
        <f aca="false">(B577-C577)*Inputs!B2</f>
        <v>-0.0477</v>
      </c>
      <c r="E577" s="13" t="n">
        <f aca="false">4*Inputs!B2*Inputs!B4*Inputs!B3/10000</f>
        <v>0.001</v>
      </c>
      <c r="F577" s="13" t="n">
        <f aca="false">Inputs!B2*Inputs!B5/Inputs!B6</f>
        <v>0.000833333333333333</v>
      </c>
      <c r="G577" s="13" t="n">
        <f aca="false">D577-E577-F577</f>
        <v>-0.0495333333333333</v>
      </c>
      <c r="H577" s="4" t="n">
        <f aca="false">(1+G577)*H576</f>
        <v>12.1568849482966</v>
      </c>
      <c r="I577" s="4" t="n">
        <f aca="false">MAX(1,H$2:H577)</f>
        <v>23.8173271148404</v>
      </c>
      <c r="J577" s="13" t="n">
        <f aca="false">H577/I577-1</f>
        <v>-0.489578117238785</v>
      </c>
      <c r="K577" s="13" t="n">
        <f aca="false">Data!L577</f>
        <v>-0.03</v>
      </c>
    </row>
    <row r="578" customFormat="false" ht="30" hidden="false" customHeight="true" outlineLevel="0" collapsed="false">
      <c r="A578" s="5" t="str">
        <f aca="false">Data!A578</f>
        <v>2011-01</v>
      </c>
      <c r="B578" s="12" t="n">
        <f aca="false">Data!K578</f>
        <v>0.0063</v>
      </c>
      <c r="C578" s="12" t="n">
        <f aca="false">Data!B578</f>
        <v>0.041</v>
      </c>
      <c r="D578" s="12" t="n">
        <f aca="false">(B578-C578)*Inputs!B2</f>
        <v>-0.01735</v>
      </c>
      <c r="E578" s="12" t="n">
        <f aca="false">4*Inputs!B2*Inputs!B4*Inputs!B3/10000</f>
        <v>0.001</v>
      </c>
      <c r="F578" s="12" t="n">
        <f aca="false">Inputs!B2*Inputs!B5/Inputs!B6</f>
        <v>0.000833333333333333</v>
      </c>
      <c r="G578" s="12" t="n">
        <f aca="false">D578-E578-F578</f>
        <v>-0.0191833333333333</v>
      </c>
      <c r="H578" s="5" t="n">
        <f aca="false">(1+G578)*H577</f>
        <v>11.9236753720384</v>
      </c>
      <c r="I578" s="5" t="n">
        <f aca="false">MAX(1,H$2:H578)</f>
        <v>23.8173271148404</v>
      </c>
      <c r="J578" s="12" t="n">
        <f aca="false">H578/I578-1</f>
        <v>-0.499369710356421</v>
      </c>
      <c r="K578" s="12" t="n">
        <f aca="false">Data!L578</f>
        <v>-0.003</v>
      </c>
    </row>
    <row r="579" customFormat="false" ht="30" hidden="false" customHeight="true" outlineLevel="0" collapsed="false">
      <c r="A579" s="4" t="str">
        <f aca="false">Data!A579</f>
        <v>2011-02</v>
      </c>
      <c r="B579" s="13" t="n">
        <f aca="false">Data!K579</f>
        <v>0.0399</v>
      </c>
      <c r="C579" s="13" t="n">
        <f aca="false">Data!B579</f>
        <v>0.0115</v>
      </c>
      <c r="D579" s="13" t="n">
        <f aca="false">(B579-C579)*Inputs!B2</f>
        <v>0.0142</v>
      </c>
      <c r="E579" s="13" t="n">
        <f aca="false">4*Inputs!B2*Inputs!B4*Inputs!B3/10000</f>
        <v>0.001</v>
      </c>
      <c r="F579" s="13" t="n">
        <f aca="false">Inputs!B2*Inputs!B5/Inputs!B6</f>
        <v>0.000833333333333333</v>
      </c>
      <c r="G579" s="13" t="n">
        <f aca="false">D579-E579-F579</f>
        <v>0.0123666666666667</v>
      </c>
      <c r="H579" s="4" t="n">
        <f aca="false">(1+G579)*H578</f>
        <v>12.071131490806</v>
      </c>
      <c r="I579" s="4" t="n">
        <f aca="false">MAX(1,H$2:H579)</f>
        <v>23.8173271148404</v>
      </c>
      <c r="J579" s="13" t="n">
        <f aca="false">H579/I579-1</f>
        <v>-0.493178582441162</v>
      </c>
      <c r="K579" s="13" t="n">
        <f aca="false">Data!L579</f>
        <v>0.0189</v>
      </c>
    </row>
    <row r="580" customFormat="false" ht="30" hidden="false" customHeight="true" outlineLevel="0" collapsed="false">
      <c r="A580" s="5" t="str">
        <f aca="false">Data!A580</f>
        <v>2011-03</v>
      </c>
      <c r="B580" s="12" t="n">
        <f aca="false">Data!K580</f>
        <v>0.0293</v>
      </c>
      <c r="C580" s="12" t="n">
        <f aca="false">Data!B580</f>
        <v>-0.0172</v>
      </c>
      <c r="D580" s="12" t="n">
        <f aca="false">(B580-C580)*Inputs!B2</f>
        <v>0.02325</v>
      </c>
      <c r="E580" s="12" t="n">
        <f aca="false">4*Inputs!B2*Inputs!B4*Inputs!B3/10000</f>
        <v>0.001</v>
      </c>
      <c r="F580" s="12" t="n">
        <f aca="false">Inputs!B2*Inputs!B5/Inputs!B6</f>
        <v>0.000833333333333333</v>
      </c>
      <c r="G580" s="12" t="n">
        <f aca="false">D580-E580-F580</f>
        <v>0.0214166666666667</v>
      </c>
      <c r="H580" s="5" t="n">
        <f aca="false">(1+G580)*H579</f>
        <v>12.3296548902341</v>
      </c>
      <c r="I580" s="5" t="n">
        <f aca="false">MAX(1,H$2:H580)</f>
        <v>23.8173271148404</v>
      </c>
      <c r="J580" s="12" t="n">
        <f aca="false">H580/I580-1</f>
        <v>-0.482324157081777</v>
      </c>
      <c r="K580" s="12" t="n">
        <f aca="false">Data!L580</f>
        <v>0.0342</v>
      </c>
    </row>
    <row r="581" customFormat="false" ht="30" hidden="false" customHeight="true" outlineLevel="0" collapsed="false">
      <c r="A581" s="4" t="str">
        <f aca="false">Data!A581</f>
        <v>2011-04</v>
      </c>
      <c r="B581" s="13" t="n">
        <f aca="false">Data!K581</f>
        <v>0.0326</v>
      </c>
      <c r="C581" s="13" t="n">
        <f aca="false">Data!B581</f>
        <v>-0.0013</v>
      </c>
      <c r="D581" s="13" t="n">
        <f aca="false">(B581-C581)*Inputs!B2</f>
        <v>0.01695</v>
      </c>
      <c r="E581" s="13" t="n">
        <f aca="false">4*Inputs!B2*Inputs!B4*Inputs!B3/10000</f>
        <v>0.001</v>
      </c>
      <c r="F581" s="13" t="n">
        <f aca="false">Inputs!B2*Inputs!B5/Inputs!B6</f>
        <v>0.000833333333333333</v>
      </c>
      <c r="G581" s="13" t="n">
        <f aca="false">D581-E581-F581</f>
        <v>0.0151166666666667</v>
      </c>
      <c r="H581" s="4" t="n">
        <f aca="false">(1+G581)*H580</f>
        <v>12.5160381733248</v>
      </c>
      <c r="I581" s="4" t="n">
        <f aca="false">MAX(1,H$2:H581)</f>
        <v>23.8173271148404</v>
      </c>
      <c r="J581" s="13" t="n">
        <f aca="false">H581/I581-1</f>
        <v>-0.474498623922996</v>
      </c>
      <c r="K581" s="13" t="n">
        <f aca="false">Data!L581</f>
        <v>0.0006</v>
      </c>
    </row>
    <row r="582" customFormat="false" ht="30" hidden="false" customHeight="true" outlineLevel="0" collapsed="false">
      <c r="A582" s="5" t="str">
        <f aca="false">Data!A582</f>
        <v>2011-05</v>
      </c>
      <c r="B582" s="12" t="n">
        <f aca="false">Data!K582</f>
        <v>-0.029</v>
      </c>
      <c r="C582" s="12" t="n">
        <f aca="false">Data!B582</f>
        <v>-0.0359</v>
      </c>
      <c r="D582" s="12" t="n">
        <f aca="false">(B582-C582)*Inputs!B2</f>
        <v>0.00345</v>
      </c>
      <c r="E582" s="12" t="n">
        <f aca="false">4*Inputs!B2*Inputs!B4*Inputs!B3/10000</f>
        <v>0.001</v>
      </c>
      <c r="F582" s="12" t="n">
        <f aca="false">Inputs!B2*Inputs!B5/Inputs!B6</f>
        <v>0.000833333333333333</v>
      </c>
      <c r="G582" s="12" t="n">
        <f aca="false">D582-E582-F582</f>
        <v>0.00161666666666667</v>
      </c>
      <c r="H582" s="5" t="n">
        <f aca="false">(1+G582)*H581</f>
        <v>12.5362724350383</v>
      </c>
      <c r="I582" s="5" t="n">
        <f aca="false">MAX(1,H$2:H582)</f>
        <v>23.8173271148404</v>
      </c>
      <c r="J582" s="12" t="n">
        <f aca="false">H582/I582-1</f>
        <v>-0.473649063365005</v>
      </c>
      <c r="K582" s="12" t="n">
        <f aca="false">Data!L582</f>
        <v>-0.0058</v>
      </c>
    </row>
    <row r="583" customFormat="false" ht="30" hidden="false" customHeight="true" outlineLevel="0" collapsed="false">
      <c r="A583" s="4" t="str">
        <f aca="false">Data!A583</f>
        <v>2011-06</v>
      </c>
      <c r="B583" s="13" t="n">
        <f aca="false">Data!K583</f>
        <v>-0.0001</v>
      </c>
      <c r="C583" s="13" t="n">
        <f aca="false">Data!B583</f>
        <v>-0.0528</v>
      </c>
      <c r="D583" s="13" t="n">
        <f aca="false">(B583-C583)*Inputs!B2</f>
        <v>0.02635</v>
      </c>
      <c r="E583" s="13" t="n">
        <f aca="false">4*Inputs!B2*Inputs!B4*Inputs!B3/10000</f>
        <v>0.001</v>
      </c>
      <c r="F583" s="13" t="n">
        <f aca="false">Inputs!B2*Inputs!B5/Inputs!B6</f>
        <v>0.000833333333333333</v>
      </c>
      <c r="G583" s="13" t="n">
        <f aca="false">D583-E583-F583</f>
        <v>0.0245166666666667</v>
      </c>
      <c r="H583" s="4" t="n">
        <f aca="false">(1+G583)*H582</f>
        <v>12.8436200475707</v>
      </c>
      <c r="I583" s="4" t="n">
        <f aca="false">MAX(1,H$2:H583)</f>
        <v>23.8173271148404</v>
      </c>
      <c r="J583" s="13" t="n">
        <f aca="false">H583/I583-1</f>
        <v>-0.460744692901837</v>
      </c>
      <c r="K583" s="13" t="n">
        <f aca="false">Data!L583</f>
        <v>0.0182</v>
      </c>
    </row>
    <row r="584" customFormat="false" ht="30" hidden="false" customHeight="true" outlineLevel="0" collapsed="false">
      <c r="A584" s="5" t="str">
        <f aca="false">Data!A584</f>
        <v>2011-07</v>
      </c>
      <c r="B584" s="12" t="n">
        <f aca="false">Data!K584</f>
        <v>-0.0157</v>
      </c>
      <c r="C584" s="12" t="n">
        <f aca="false">Data!B584</f>
        <v>-0.0417</v>
      </c>
      <c r="D584" s="12" t="n">
        <f aca="false">(B584-C584)*Inputs!B2</f>
        <v>0.013</v>
      </c>
      <c r="E584" s="12" t="n">
        <f aca="false">4*Inputs!B2*Inputs!B4*Inputs!B3/10000</f>
        <v>0.001</v>
      </c>
      <c r="F584" s="12" t="n">
        <f aca="false">Inputs!B2*Inputs!B5/Inputs!B6</f>
        <v>0.000833333333333333</v>
      </c>
      <c r="G584" s="12" t="n">
        <f aca="false">D584-E584-F584</f>
        <v>0.0111666666666667</v>
      </c>
      <c r="H584" s="5" t="n">
        <f aca="false">(1+G584)*H583</f>
        <v>12.9870404714352</v>
      </c>
      <c r="I584" s="5" t="n">
        <f aca="false">MAX(1,H$2:H584)</f>
        <v>23.8173271148404</v>
      </c>
      <c r="J584" s="12" t="n">
        <f aca="false">H584/I584-1</f>
        <v>-0.454723008639241</v>
      </c>
      <c r="K584" s="12" t="n">
        <f aca="false">Data!L584</f>
        <v>0.0017</v>
      </c>
    </row>
    <row r="585" customFormat="false" ht="30" hidden="false" customHeight="true" outlineLevel="0" collapsed="false">
      <c r="A585" s="4" t="str">
        <f aca="false">Data!A585</f>
        <v>2011-08</v>
      </c>
      <c r="B585" s="13" t="n">
        <f aca="false">Data!K585</f>
        <v>-0.0863</v>
      </c>
      <c r="C585" s="13" t="n">
        <f aca="false">Data!B585</f>
        <v>-0.139</v>
      </c>
      <c r="D585" s="13" t="n">
        <f aca="false">(B585-C585)*Inputs!B2</f>
        <v>0.02635</v>
      </c>
      <c r="E585" s="13" t="n">
        <f aca="false">4*Inputs!B2*Inputs!B4*Inputs!B3/10000</f>
        <v>0.001</v>
      </c>
      <c r="F585" s="13" t="n">
        <f aca="false">Inputs!B2*Inputs!B5/Inputs!B6</f>
        <v>0.000833333333333333</v>
      </c>
      <c r="G585" s="13" t="n">
        <f aca="false">D585-E585-F585</f>
        <v>0.0245166666666667</v>
      </c>
      <c r="H585" s="4" t="n">
        <f aca="false">(1+G585)*H584</f>
        <v>13.3054394136599</v>
      </c>
      <c r="I585" s="4" t="n">
        <f aca="false">MAX(1,H$2:H585)</f>
        <v>23.8173271148404</v>
      </c>
      <c r="J585" s="13" t="n">
        <f aca="false">H585/I585-1</f>
        <v>-0.441354634401046</v>
      </c>
      <c r="K585" s="13" t="n">
        <f aca="false">Data!L585</f>
        <v>-0.0026</v>
      </c>
    </row>
    <row r="586" customFormat="false" ht="30" hidden="false" customHeight="true" outlineLevel="0" collapsed="false">
      <c r="A586" s="5" t="str">
        <f aca="false">Data!A586</f>
        <v>2011-09</v>
      </c>
      <c r="B586" s="12" t="n">
        <f aca="false">Data!K586</f>
        <v>-0.1566</v>
      </c>
      <c r="C586" s="12" t="n">
        <f aca="false">Data!B586</f>
        <v>-0.1183</v>
      </c>
      <c r="D586" s="12" t="n">
        <f aca="false">(B586-C586)*Inputs!B2</f>
        <v>-0.01915</v>
      </c>
      <c r="E586" s="12" t="n">
        <f aca="false">4*Inputs!B2*Inputs!B4*Inputs!B3/10000</f>
        <v>0.001</v>
      </c>
      <c r="F586" s="12" t="n">
        <f aca="false">Inputs!B2*Inputs!B5/Inputs!B6</f>
        <v>0.000833333333333333</v>
      </c>
      <c r="G586" s="12" t="n">
        <f aca="false">D586-E586-F586</f>
        <v>-0.0209833333333333</v>
      </c>
      <c r="H586" s="5" t="n">
        <f aca="false">(1+G586)*H585</f>
        <v>13.0262469432966</v>
      </c>
      <c r="I586" s="5" t="n">
        <f aca="false">MAX(1,H$2:H586)</f>
        <v>23.8173271148404</v>
      </c>
      <c r="J586" s="12" t="n">
        <f aca="false">H586/I586-1</f>
        <v>-0.453076876322531</v>
      </c>
      <c r="K586" s="12" t="n">
        <f aca="false">Data!L586</f>
        <v>-0.0236</v>
      </c>
    </row>
    <row r="587" customFormat="false" ht="30" hidden="false" customHeight="true" outlineLevel="0" collapsed="false">
      <c r="A587" s="4" t="str">
        <f aca="false">Data!A587</f>
        <v>2011-10</v>
      </c>
      <c r="B587" s="13" t="n">
        <f aca="false">Data!K587</f>
        <v>0.1444</v>
      </c>
      <c r="C587" s="13" t="n">
        <f aca="false">Data!B587</f>
        <v>0.1584</v>
      </c>
      <c r="D587" s="13" t="n">
        <f aca="false">(B587-C587)*Inputs!B2</f>
        <v>-0.00700000000000001</v>
      </c>
      <c r="E587" s="13" t="n">
        <f aca="false">4*Inputs!B2*Inputs!B4*Inputs!B3/10000</f>
        <v>0.001</v>
      </c>
      <c r="F587" s="13" t="n">
        <f aca="false">Inputs!B2*Inputs!B5/Inputs!B6</f>
        <v>0.000833333333333333</v>
      </c>
      <c r="G587" s="13" t="n">
        <f aca="false">D587-E587-F587</f>
        <v>-0.00883333333333334</v>
      </c>
      <c r="H587" s="4" t="n">
        <f aca="false">(1+G587)*H586</f>
        <v>12.9111817619642</v>
      </c>
      <c r="I587" s="4" t="n">
        <f aca="false">MAX(1,H$2:H587)</f>
        <v>23.8173271148404</v>
      </c>
      <c r="J587" s="13" t="n">
        <f aca="false">H587/I587-1</f>
        <v>-0.457908030581682</v>
      </c>
      <c r="K587" s="13" t="n">
        <f aca="false">Data!L587</f>
        <v>-0.0145</v>
      </c>
    </row>
    <row r="588" customFormat="false" ht="30" hidden="false" customHeight="true" outlineLevel="0" collapsed="false">
      <c r="A588" s="5" t="str">
        <f aca="false">Data!A588</f>
        <v>2011-11</v>
      </c>
      <c r="B588" s="12" t="n">
        <f aca="false">Data!K588</f>
        <v>-0.0136</v>
      </c>
      <c r="C588" s="12" t="n">
        <f aca="false">Data!B588</f>
        <v>-0.077</v>
      </c>
      <c r="D588" s="12" t="n">
        <f aca="false">(B588-C588)*Inputs!B2</f>
        <v>0.0317</v>
      </c>
      <c r="E588" s="12" t="n">
        <f aca="false">4*Inputs!B2*Inputs!B4*Inputs!B3/10000</f>
        <v>0.001</v>
      </c>
      <c r="F588" s="12" t="n">
        <f aca="false">Inputs!B2*Inputs!B5/Inputs!B6</f>
        <v>0.000833333333333333</v>
      </c>
      <c r="G588" s="12" t="n">
        <f aca="false">D588-E588-F588</f>
        <v>0.0298666666666667</v>
      </c>
      <c r="H588" s="5" t="n">
        <f aca="false">(1+G588)*H587</f>
        <v>13.2967957239215</v>
      </c>
      <c r="I588" s="5" t="n">
        <f aca="false">MAX(1,H$2:H588)</f>
        <v>23.8173271148404</v>
      </c>
      <c r="J588" s="12" t="n">
        <f aca="false">H588/I588-1</f>
        <v>-0.441717550428388</v>
      </c>
      <c r="K588" s="12" t="n">
        <f aca="false">Data!L588</f>
        <v>0.0385</v>
      </c>
    </row>
    <row r="589" customFormat="false" ht="30" hidden="false" customHeight="true" outlineLevel="0" collapsed="false">
      <c r="A589" s="4" t="str">
        <f aca="false">Data!A589</f>
        <v>2011-12</v>
      </c>
      <c r="B589" s="13" t="n">
        <f aca="false">Data!K589</f>
        <v>-0.0118</v>
      </c>
      <c r="C589" s="13" t="n">
        <f aca="false">Data!B589</f>
        <v>-0.0312</v>
      </c>
      <c r="D589" s="13" t="n">
        <f aca="false">(B589-C589)*Inputs!B2</f>
        <v>0.0097</v>
      </c>
      <c r="E589" s="13" t="n">
        <f aca="false">4*Inputs!B2*Inputs!B4*Inputs!B3/10000</f>
        <v>0.001</v>
      </c>
      <c r="F589" s="13" t="n">
        <f aca="false">Inputs!B2*Inputs!B5/Inputs!B6</f>
        <v>0.000833333333333333</v>
      </c>
      <c r="G589" s="13" t="n">
        <f aca="false">D589-E589-F589</f>
        <v>0.00786666666666667</v>
      </c>
      <c r="H589" s="4" t="n">
        <f aca="false">(1+G589)*H588</f>
        <v>13.4013971836163</v>
      </c>
      <c r="I589" s="4" t="n">
        <f aca="false">MAX(1,H$2:H589)</f>
        <v>23.8173271148404</v>
      </c>
      <c r="J589" s="13" t="n">
        <f aca="false">H589/I589-1</f>
        <v>-0.437325728491758</v>
      </c>
      <c r="K589" s="13" t="n">
        <f aca="false">Data!L589</f>
        <v>0.0183</v>
      </c>
    </row>
    <row r="590" customFormat="false" ht="30" hidden="false" customHeight="true" outlineLevel="0" collapsed="false">
      <c r="A590" s="5" t="str">
        <f aca="false">Data!A590</f>
        <v>2012-01</v>
      </c>
      <c r="B590" s="12" t="n">
        <f aca="false">Data!K590</f>
        <v>0.0263</v>
      </c>
      <c r="C590" s="12" t="n">
        <f aca="false">Data!B590</f>
        <v>0.1845</v>
      </c>
      <c r="D590" s="12" t="n">
        <f aca="false">(B590-C590)*Inputs!B2</f>
        <v>-0.0791</v>
      </c>
      <c r="E590" s="12" t="n">
        <f aca="false">4*Inputs!B2*Inputs!B4*Inputs!B3/10000</f>
        <v>0.001</v>
      </c>
      <c r="F590" s="12" t="n">
        <f aca="false">Inputs!B2*Inputs!B5/Inputs!B6</f>
        <v>0.000833333333333333</v>
      </c>
      <c r="G590" s="12" t="n">
        <f aca="false">D590-E590-F590</f>
        <v>-0.0809333333333333</v>
      </c>
      <c r="H590" s="5" t="n">
        <f aca="false">(1+G590)*H589</f>
        <v>12.3167774382223</v>
      </c>
      <c r="I590" s="5" t="n">
        <f aca="false">MAX(1,H$2:H590)</f>
        <v>23.8173271148404</v>
      </c>
      <c r="J590" s="12" t="n">
        <f aca="false">H590/I590-1</f>
        <v>-0.482864832865825</v>
      </c>
      <c r="K590" s="12" t="n">
        <f aca="false">Data!L590</f>
        <v>-0.0801</v>
      </c>
    </row>
    <row r="591" customFormat="false" ht="30" hidden="false" customHeight="true" outlineLevel="0" collapsed="false">
      <c r="A591" s="4" t="str">
        <f aca="false">Data!A591</f>
        <v>2012-02</v>
      </c>
      <c r="B591" s="13" t="n">
        <f aca="false">Data!K591</f>
        <v>0.058</v>
      </c>
      <c r="C591" s="13" t="n">
        <f aca="false">Data!B591</f>
        <v>0.0638</v>
      </c>
      <c r="D591" s="13" t="n">
        <f aca="false">(B591-C591)*Inputs!B2</f>
        <v>-0.0029</v>
      </c>
      <c r="E591" s="13" t="n">
        <f aca="false">4*Inputs!B2*Inputs!B4*Inputs!B3/10000</f>
        <v>0.001</v>
      </c>
      <c r="F591" s="13" t="n">
        <f aca="false">Inputs!B2*Inputs!B5/Inputs!B6</f>
        <v>0.000833333333333333</v>
      </c>
      <c r="G591" s="13" t="n">
        <f aca="false">D591-E591-F591</f>
        <v>-0.00473333333333333</v>
      </c>
      <c r="H591" s="4" t="n">
        <f aca="false">(1+G591)*H590</f>
        <v>12.2584780250147</v>
      </c>
      <c r="I591" s="4" t="n">
        <f aca="false">MAX(1,H$2:H591)</f>
        <v>23.8173271148404</v>
      </c>
      <c r="J591" s="13" t="n">
        <f aca="false">H591/I591-1</f>
        <v>-0.48531260599026</v>
      </c>
      <c r="K591" s="13" t="n">
        <f aca="false">Data!L591</f>
        <v>-0.0026</v>
      </c>
    </row>
    <row r="592" customFormat="false" ht="30" hidden="false" customHeight="true" outlineLevel="0" collapsed="false">
      <c r="A592" s="5" t="str">
        <f aca="false">Data!A592</f>
        <v>2012-03</v>
      </c>
      <c r="B592" s="12" t="n">
        <f aca="false">Data!K592</f>
        <v>0.0508</v>
      </c>
      <c r="C592" s="12" t="n">
        <f aca="false">Data!B592</f>
        <v>0.0415</v>
      </c>
      <c r="D592" s="12" t="n">
        <f aca="false">(B592-C592)*Inputs!B2</f>
        <v>0.00465</v>
      </c>
      <c r="E592" s="12" t="n">
        <f aca="false">4*Inputs!B2*Inputs!B4*Inputs!B3/10000</f>
        <v>0.001</v>
      </c>
      <c r="F592" s="12" t="n">
        <f aca="false">Inputs!B2*Inputs!B5/Inputs!B6</f>
        <v>0.000833333333333333</v>
      </c>
      <c r="G592" s="12" t="n">
        <f aca="false">D592-E592-F592</f>
        <v>0.00281666666666666</v>
      </c>
      <c r="H592" s="5" t="n">
        <f aca="false">(1+G592)*H591</f>
        <v>12.2930060714519</v>
      </c>
      <c r="I592" s="5" t="n">
        <f aca="false">MAX(1,H$2:H592)</f>
        <v>23.8173271148404</v>
      </c>
      <c r="J592" s="12" t="n">
        <f aca="false">H592/I592-1</f>
        <v>-0.4838629031638</v>
      </c>
      <c r="K592" s="12" t="n">
        <f aca="false">Data!L592</f>
        <v>0.0132</v>
      </c>
    </row>
    <row r="593" customFormat="false" ht="30" hidden="false" customHeight="true" outlineLevel="0" collapsed="false">
      <c r="A593" s="4" t="str">
        <f aca="false">Data!A593</f>
        <v>2012-04</v>
      </c>
      <c r="B593" s="13" t="n">
        <f aca="false">Data!K593</f>
        <v>0.0037</v>
      </c>
      <c r="C593" s="13" t="n">
        <f aca="false">Data!B593</f>
        <v>-0.0632</v>
      </c>
      <c r="D593" s="13" t="n">
        <f aca="false">(B593-C593)*Inputs!B2</f>
        <v>0.03345</v>
      </c>
      <c r="E593" s="13" t="n">
        <f aca="false">4*Inputs!B2*Inputs!B4*Inputs!B3/10000</f>
        <v>0.001</v>
      </c>
      <c r="F593" s="13" t="n">
        <f aca="false">Inputs!B2*Inputs!B5/Inputs!B6</f>
        <v>0.000833333333333333</v>
      </c>
      <c r="G593" s="13" t="n">
        <f aca="false">D593-E593-F593</f>
        <v>0.0316166666666667</v>
      </c>
      <c r="H593" s="4" t="n">
        <f aca="false">(1+G593)*H592</f>
        <v>12.6816699467443</v>
      </c>
      <c r="I593" s="4" t="n">
        <f aca="false">MAX(1,H$2:H593)</f>
        <v>23.8173271148404</v>
      </c>
      <c r="J593" s="13" t="n">
        <f aca="false">H593/I593-1</f>
        <v>-0.467544368618829</v>
      </c>
      <c r="K593" s="13" t="n">
        <f aca="false">Data!L593</f>
        <v>0.0378</v>
      </c>
    </row>
    <row r="594" customFormat="false" ht="30" hidden="false" customHeight="true" outlineLevel="0" collapsed="false">
      <c r="A594" s="5" t="str">
        <f aca="false">Data!A594</f>
        <v>2012-05</v>
      </c>
      <c r="B594" s="12" t="n">
        <f aca="false">Data!K594</f>
        <v>-0.0479</v>
      </c>
      <c r="C594" s="12" t="n">
        <f aca="false">Data!B594</f>
        <v>-0.1302</v>
      </c>
      <c r="D594" s="12" t="n">
        <f aca="false">(B594-C594)*Inputs!B2</f>
        <v>0.04115</v>
      </c>
      <c r="E594" s="12" t="n">
        <f aca="false">4*Inputs!B2*Inputs!B4*Inputs!B3/10000</f>
        <v>0.001</v>
      </c>
      <c r="F594" s="12" t="n">
        <f aca="false">Inputs!B2*Inputs!B5/Inputs!B6</f>
        <v>0.000833333333333333</v>
      </c>
      <c r="G594" s="12" t="n">
        <f aca="false">D594-E594-F594</f>
        <v>0.0393166666666667</v>
      </c>
      <c r="H594" s="5" t="n">
        <f aca="false">(1+G594)*H593</f>
        <v>13.1802709368171</v>
      </c>
      <c r="I594" s="5" t="n">
        <f aca="false">MAX(1,H$2:H594)</f>
        <v>23.8173271148404</v>
      </c>
      <c r="J594" s="12" t="n">
        <f aca="false">H594/I594-1</f>
        <v>-0.446609988045025</v>
      </c>
      <c r="K594" s="12" t="n">
        <f aca="false">Data!L594</f>
        <v>0.0645</v>
      </c>
    </row>
    <row r="595" customFormat="false" ht="30" hidden="false" customHeight="true" outlineLevel="0" collapsed="false">
      <c r="A595" s="4" t="str">
        <f aca="false">Data!A595</f>
        <v>2012-06</v>
      </c>
      <c r="B595" s="13" t="n">
        <f aca="false">Data!K595</f>
        <v>0.0193</v>
      </c>
      <c r="C595" s="13" t="n">
        <f aca="false">Data!B595</f>
        <v>0.0355</v>
      </c>
      <c r="D595" s="13" t="n">
        <f aca="false">(B595-C595)*Inputs!B2</f>
        <v>-0.0081</v>
      </c>
      <c r="E595" s="13" t="n">
        <f aca="false">4*Inputs!B2*Inputs!B4*Inputs!B3/10000</f>
        <v>0.001</v>
      </c>
      <c r="F595" s="13" t="n">
        <f aca="false">Inputs!B2*Inputs!B5/Inputs!B6</f>
        <v>0.000833333333333333</v>
      </c>
      <c r="G595" s="13" t="n">
        <f aca="false">D595-E595-F595</f>
        <v>-0.00993333333333333</v>
      </c>
      <c r="H595" s="4" t="n">
        <f aca="false">(1+G595)*H594</f>
        <v>13.049346912178</v>
      </c>
      <c r="I595" s="4" t="n">
        <f aca="false">MAX(1,H$2:H595)</f>
        <v>23.8173271148404</v>
      </c>
      <c r="J595" s="13" t="n">
        <f aca="false">H595/I595-1</f>
        <v>-0.452106995497112</v>
      </c>
      <c r="K595" s="13" t="n">
        <f aca="false">Data!L595</f>
        <v>-0.0111</v>
      </c>
    </row>
    <row r="596" customFormat="false" ht="30" hidden="false" customHeight="true" outlineLevel="0" collapsed="false">
      <c r="A596" s="5" t="str">
        <f aca="false">Data!A596</f>
        <v>2012-07</v>
      </c>
      <c r="B596" s="12" t="n">
        <f aca="false">Data!K596</f>
        <v>0.0251</v>
      </c>
      <c r="C596" s="12" t="n">
        <f aca="false">Data!B596</f>
        <v>-0.0199</v>
      </c>
      <c r="D596" s="12" t="n">
        <f aca="false">(B596-C596)*Inputs!B2</f>
        <v>0.0225</v>
      </c>
      <c r="E596" s="12" t="n">
        <f aca="false">4*Inputs!B2*Inputs!B4*Inputs!B3/10000</f>
        <v>0.001</v>
      </c>
      <c r="F596" s="12" t="n">
        <f aca="false">Inputs!B2*Inputs!B5/Inputs!B6</f>
        <v>0.000833333333333333</v>
      </c>
      <c r="G596" s="12" t="n">
        <f aca="false">D596-E596-F596</f>
        <v>0.0206666666666667</v>
      </c>
      <c r="H596" s="5" t="n">
        <f aca="false">(1+G596)*H595</f>
        <v>13.3190334150297</v>
      </c>
      <c r="I596" s="5" t="n">
        <f aca="false">MAX(1,H$2:H596)</f>
        <v>23.8173271148404</v>
      </c>
      <c r="J596" s="12" t="n">
        <f aca="false">H596/I596-1</f>
        <v>-0.440783873404052</v>
      </c>
      <c r="K596" s="12" t="n">
        <f aca="false">Data!L596</f>
        <v>0.03</v>
      </c>
    </row>
    <row r="597" customFormat="false" ht="30" hidden="false" customHeight="true" outlineLevel="0" collapsed="false">
      <c r="A597" s="4" t="str">
        <f aca="false">Data!A597</f>
        <v>2012-08</v>
      </c>
      <c r="B597" s="13" t="n">
        <f aca="false">Data!K597</f>
        <v>0.039</v>
      </c>
      <c r="C597" s="13" t="n">
        <f aca="false">Data!B597</f>
        <v>0.0221</v>
      </c>
      <c r="D597" s="13" t="n">
        <f aca="false">(B597-C597)*Inputs!B2</f>
        <v>0.00845</v>
      </c>
      <c r="E597" s="13" t="n">
        <f aca="false">4*Inputs!B2*Inputs!B4*Inputs!B3/10000</f>
        <v>0.001</v>
      </c>
      <c r="F597" s="13" t="n">
        <f aca="false">Inputs!B2*Inputs!B5/Inputs!B6</f>
        <v>0.000833333333333333</v>
      </c>
      <c r="G597" s="13" t="n">
        <f aca="false">D597-E597-F597</f>
        <v>0.00661666666666667</v>
      </c>
      <c r="H597" s="4" t="n">
        <f aca="false">(1+G597)*H596</f>
        <v>13.4071610194592</v>
      </c>
      <c r="I597" s="4" t="n">
        <f aca="false">MAX(1,H$2:H597)</f>
        <v>23.8173271148404</v>
      </c>
      <c r="J597" s="13" t="n">
        <f aca="false">H597/I597-1</f>
        <v>-0.437083726699742</v>
      </c>
      <c r="K597" s="13" t="n">
        <f aca="false">Data!L597</f>
        <v>-0.0234</v>
      </c>
    </row>
    <row r="598" customFormat="false" ht="30" hidden="false" customHeight="true" outlineLevel="0" collapsed="false">
      <c r="A598" s="5" t="str">
        <f aca="false">Data!A598</f>
        <v>2012-09</v>
      </c>
      <c r="B598" s="12" t="n">
        <f aca="false">Data!K598</f>
        <v>0.0221</v>
      </c>
      <c r="C598" s="12" t="n">
        <f aca="false">Data!B598</f>
        <v>0.0354</v>
      </c>
      <c r="D598" s="12" t="n">
        <f aca="false">(B598-C598)*Inputs!B2</f>
        <v>-0.00665</v>
      </c>
      <c r="E598" s="12" t="n">
        <f aca="false">4*Inputs!B2*Inputs!B4*Inputs!B3/10000</f>
        <v>0.001</v>
      </c>
      <c r="F598" s="12" t="n">
        <f aca="false">Inputs!B2*Inputs!B5/Inputs!B6</f>
        <v>0.000833333333333333</v>
      </c>
      <c r="G598" s="12" t="n">
        <f aca="false">D598-E598-F598</f>
        <v>-0.00848333333333333</v>
      </c>
      <c r="H598" s="5" t="n">
        <f aca="false">(1+G598)*H597</f>
        <v>13.2934236034774</v>
      </c>
      <c r="I598" s="5" t="n">
        <f aca="false">MAX(1,H$2:H598)</f>
        <v>23.8173271148404</v>
      </c>
      <c r="J598" s="12" t="n">
        <f aca="false">H598/I598-1</f>
        <v>-0.441859133084906</v>
      </c>
      <c r="K598" s="12" t="n">
        <f aca="false">Data!L598</f>
        <v>-0.0114</v>
      </c>
    </row>
    <row r="599" customFormat="false" ht="30" hidden="false" customHeight="true" outlineLevel="0" collapsed="false">
      <c r="A599" s="4" t="str">
        <f aca="false">Data!A599</f>
        <v>2012-10</v>
      </c>
      <c r="B599" s="13" t="n">
        <f aca="false">Data!K599</f>
        <v>-0.0593</v>
      </c>
      <c r="C599" s="13" t="n">
        <f aca="false">Data!B599</f>
        <v>-0.0405</v>
      </c>
      <c r="D599" s="13" t="n">
        <f aca="false">(B599-C599)*Inputs!B2</f>
        <v>-0.0094</v>
      </c>
      <c r="E599" s="13" t="n">
        <f aca="false">4*Inputs!B2*Inputs!B4*Inputs!B3/10000</f>
        <v>0.001</v>
      </c>
      <c r="F599" s="13" t="n">
        <f aca="false">Inputs!B2*Inputs!B5/Inputs!B6</f>
        <v>0.000833333333333333</v>
      </c>
      <c r="G599" s="13" t="n">
        <f aca="false">D599-E599-F599</f>
        <v>-0.0112333333333333</v>
      </c>
      <c r="H599" s="4" t="n">
        <f aca="false">(1+G599)*H598</f>
        <v>13.1440941449984</v>
      </c>
      <c r="I599" s="4" t="n">
        <f aca="false">MAX(1,H$2:H599)</f>
        <v>23.8173271148404</v>
      </c>
      <c r="J599" s="13" t="n">
        <f aca="false">H599/I599-1</f>
        <v>-0.448128915489919</v>
      </c>
      <c r="K599" s="13" t="n">
        <f aca="false">Data!L599</f>
        <v>0.0007</v>
      </c>
    </row>
    <row r="600" customFormat="false" ht="30" hidden="false" customHeight="true" outlineLevel="0" collapsed="false">
      <c r="A600" s="5" t="str">
        <f aca="false">Data!A600</f>
        <v>2012-11</v>
      </c>
      <c r="B600" s="12" t="n">
        <f aca="false">Data!K600</f>
        <v>0.0167</v>
      </c>
      <c r="C600" s="12" t="n">
        <f aca="false">Data!B600</f>
        <v>-0.0165</v>
      </c>
      <c r="D600" s="12" t="n">
        <f aca="false">(B600-C600)*Inputs!B2</f>
        <v>0.0166</v>
      </c>
      <c r="E600" s="12" t="n">
        <f aca="false">4*Inputs!B2*Inputs!B4*Inputs!B3/10000</f>
        <v>0.001</v>
      </c>
      <c r="F600" s="12" t="n">
        <f aca="false">Inputs!B2*Inputs!B5/Inputs!B6</f>
        <v>0.000833333333333333</v>
      </c>
      <c r="G600" s="12" t="n">
        <f aca="false">D600-E600-F600</f>
        <v>0.0147666666666667</v>
      </c>
      <c r="H600" s="5" t="n">
        <f aca="false">(1+G600)*H599</f>
        <v>13.3381886018728</v>
      </c>
      <c r="I600" s="5" t="n">
        <f aca="false">MAX(1,H$2:H600)</f>
        <v>23.8173271148404</v>
      </c>
      <c r="J600" s="12" t="n">
        <f aca="false">H600/I600-1</f>
        <v>-0.439979619141986</v>
      </c>
      <c r="K600" s="12" t="n">
        <f aca="false">Data!L600</f>
        <v>0.0053</v>
      </c>
    </row>
    <row r="601" customFormat="false" ht="30" hidden="false" customHeight="true" outlineLevel="0" collapsed="false">
      <c r="A601" s="4" t="str">
        <f aca="false">Data!A601</f>
        <v>2012-12</v>
      </c>
      <c r="B601" s="13" t="n">
        <f aca="false">Data!K601</f>
        <v>0.019</v>
      </c>
      <c r="C601" s="13" t="n">
        <f aca="false">Data!B601</f>
        <v>0.0623</v>
      </c>
      <c r="D601" s="13" t="n">
        <f aca="false">(B601-C601)*Inputs!B2</f>
        <v>-0.02165</v>
      </c>
      <c r="E601" s="13" t="n">
        <f aca="false">4*Inputs!B2*Inputs!B4*Inputs!B3/10000</f>
        <v>0.001</v>
      </c>
      <c r="F601" s="13" t="n">
        <f aca="false">Inputs!B2*Inputs!B5/Inputs!B6</f>
        <v>0.000833333333333333</v>
      </c>
      <c r="G601" s="13" t="n">
        <f aca="false">D601-E601-F601</f>
        <v>-0.0234833333333333</v>
      </c>
      <c r="H601" s="4" t="n">
        <f aca="false">(1+G601)*H600</f>
        <v>13.0249634728722</v>
      </c>
      <c r="I601" s="4" t="n">
        <f aca="false">MAX(1,H$2:H601)</f>
        <v>23.8173271148404</v>
      </c>
      <c r="J601" s="13" t="n">
        <f aca="false">H601/I601-1</f>
        <v>-0.453130764419135</v>
      </c>
      <c r="K601" s="13" t="n">
        <f aca="false">Data!L601</f>
        <v>-0.0293</v>
      </c>
    </row>
    <row r="602" customFormat="false" ht="30" hidden="false" customHeight="true" outlineLevel="0" collapsed="false">
      <c r="A602" s="5" t="str">
        <f aca="false">Data!A602</f>
        <v>2013-01</v>
      </c>
      <c r="B602" s="12" t="n">
        <f aca="false">Data!K602</f>
        <v>0.0591</v>
      </c>
      <c r="C602" s="12" t="n">
        <f aca="false">Data!B602</f>
        <v>0.0925</v>
      </c>
      <c r="D602" s="12" t="n">
        <f aca="false">(B602-C602)*Inputs!B2</f>
        <v>-0.0167</v>
      </c>
      <c r="E602" s="12" t="n">
        <f aca="false">4*Inputs!B2*Inputs!B4*Inputs!B3/10000</f>
        <v>0.001</v>
      </c>
      <c r="F602" s="12" t="n">
        <f aca="false">Inputs!B2*Inputs!B5/Inputs!B6</f>
        <v>0.000833333333333333</v>
      </c>
      <c r="G602" s="12" t="n">
        <f aca="false">D602-E602-F602</f>
        <v>-0.0185333333333333</v>
      </c>
      <c r="H602" s="5" t="n">
        <f aca="false">(1+G602)*H601</f>
        <v>12.783567483175</v>
      </c>
      <c r="I602" s="5" t="n">
        <f aca="false">MAX(1,H$2:H602)</f>
        <v>23.8173271148404</v>
      </c>
      <c r="J602" s="12" t="n">
        <f aca="false">H602/I602-1</f>
        <v>-0.463266074251901</v>
      </c>
      <c r="K602" s="12" t="n">
        <f aca="false">Data!L602</f>
        <v>-0.0177</v>
      </c>
    </row>
    <row r="603" customFormat="false" ht="30" hidden="false" customHeight="true" outlineLevel="0" collapsed="false">
      <c r="A603" s="4" t="str">
        <f aca="false">Data!A603</f>
        <v>2013-02</v>
      </c>
      <c r="B603" s="13" t="n">
        <f aca="false">Data!K603</f>
        <v>0.019</v>
      </c>
      <c r="C603" s="13" t="n">
        <f aca="false">Data!B603</f>
        <v>-0.0076</v>
      </c>
      <c r="D603" s="13" t="n">
        <f aca="false">(B603-C603)*Inputs!B2</f>
        <v>0.0133</v>
      </c>
      <c r="E603" s="13" t="n">
        <f aca="false">4*Inputs!B2*Inputs!B4*Inputs!B3/10000</f>
        <v>0.001</v>
      </c>
      <c r="F603" s="13" t="n">
        <f aca="false">Inputs!B2*Inputs!B5/Inputs!B6</f>
        <v>0.000833333333333333</v>
      </c>
      <c r="G603" s="13" t="n">
        <f aca="false">D603-E603-F603</f>
        <v>0.0114666666666667</v>
      </c>
      <c r="H603" s="4" t="n">
        <f aca="false">(1+G603)*H602</f>
        <v>12.9301523903154</v>
      </c>
      <c r="I603" s="4" t="n">
        <f aca="false">MAX(1,H$2:H603)</f>
        <v>23.8173271148404</v>
      </c>
      <c r="J603" s="13" t="n">
        <f aca="false">H603/I603-1</f>
        <v>-0.457111525236656</v>
      </c>
      <c r="K603" s="13" t="n">
        <f aca="false">Data!L603</f>
        <v>0.0124</v>
      </c>
    </row>
    <row r="604" customFormat="false" ht="30" hidden="false" customHeight="true" outlineLevel="0" collapsed="false">
      <c r="A604" s="5" t="str">
        <f aca="false">Data!A604</f>
        <v>2013-03</v>
      </c>
      <c r="B604" s="12" t="n">
        <f aca="false">Data!K604</f>
        <v>0.0543</v>
      </c>
      <c r="C604" s="12" t="n">
        <f aca="false">Data!B604</f>
        <v>0.0589</v>
      </c>
      <c r="D604" s="12" t="n">
        <f aca="false">(B604-C604)*Inputs!B2</f>
        <v>-0.0023</v>
      </c>
      <c r="E604" s="12" t="n">
        <f aca="false">4*Inputs!B2*Inputs!B4*Inputs!B3/10000</f>
        <v>0.001</v>
      </c>
      <c r="F604" s="12" t="n">
        <f aca="false">Inputs!B2*Inputs!B5/Inputs!B6</f>
        <v>0.000833333333333333</v>
      </c>
      <c r="G604" s="12" t="n">
        <f aca="false">D604-E604-F604</f>
        <v>-0.00413333333333333</v>
      </c>
      <c r="H604" s="5" t="n">
        <f aca="false">(1+G604)*H603</f>
        <v>12.8767077604354</v>
      </c>
      <c r="I604" s="5" t="n">
        <f aca="false">MAX(1,H$2:H604)</f>
        <v>23.8173271148404</v>
      </c>
      <c r="J604" s="12" t="n">
        <f aca="false">H604/I604-1</f>
        <v>-0.459355464265678</v>
      </c>
      <c r="K604" s="12" t="n">
        <f aca="false">Data!L604</f>
        <v>0.0191</v>
      </c>
    </row>
    <row r="605" customFormat="false" ht="30" hidden="false" customHeight="true" outlineLevel="0" collapsed="false">
      <c r="A605" s="4" t="str">
        <f aca="false">Data!A605</f>
        <v>2013-04</v>
      </c>
      <c r="B605" s="13" t="n">
        <f aca="false">Data!K605</f>
        <v>0.0025</v>
      </c>
      <c r="C605" s="13" t="n">
        <f aca="false">Data!B605</f>
        <v>0.0081</v>
      </c>
      <c r="D605" s="13" t="n">
        <f aca="false">(B605-C605)*Inputs!B2</f>
        <v>-0.0028</v>
      </c>
      <c r="E605" s="13" t="n">
        <f aca="false">4*Inputs!B2*Inputs!B4*Inputs!B3/10000</f>
        <v>0.001</v>
      </c>
      <c r="F605" s="13" t="n">
        <f aca="false">Inputs!B2*Inputs!B5/Inputs!B6</f>
        <v>0.000833333333333333</v>
      </c>
      <c r="G605" s="13" t="n">
        <f aca="false">D605-E605-F605</f>
        <v>-0.00463333333333333</v>
      </c>
      <c r="H605" s="4" t="n">
        <f aca="false">(1+G605)*H604</f>
        <v>12.8170456811454</v>
      </c>
      <c r="I605" s="4" t="n">
        <f aca="false">MAX(1,H$2:H605)</f>
        <v>23.8173271148404</v>
      </c>
      <c r="J605" s="13" t="n">
        <f aca="false">H605/I605-1</f>
        <v>-0.46186045061458</v>
      </c>
      <c r="K605" s="13" t="n">
        <f aca="false">Data!L605</f>
        <v>0.0019</v>
      </c>
    </row>
    <row r="606" customFormat="false" ht="30" hidden="false" customHeight="true" outlineLevel="0" collapsed="false">
      <c r="A606" s="5" t="str">
        <f aca="false">Data!A606</f>
        <v>2013-05</v>
      </c>
      <c r="B606" s="12" t="n">
        <f aca="false">Data!K606</f>
        <v>0.0469</v>
      </c>
      <c r="C606" s="12" t="n">
        <f aca="false">Data!B606</f>
        <v>0.0416</v>
      </c>
      <c r="D606" s="12" t="n">
        <f aca="false">(B606-C606)*Inputs!B2</f>
        <v>0.00265</v>
      </c>
      <c r="E606" s="12" t="n">
        <f aca="false">4*Inputs!B2*Inputs!B4*Inputs!B3/10000</f>
        <v>0.001</v>
      </c>
      <c r="F606" s="12" t="n">
        <f aca="false">Inputs!B2*Inputs!B5/Inputs!B6</f>
        <v>0.000833333333333333</v>
      </c>
      <c r="G606" s="12" t="n">
        <f aca="false">D606-E606-F606</f>
        <v>0.000816666666666666</v>
      </c>
      <c r="H606" s="5" t="n">
        <f aca="false">(1+G606)*H605</f>
        <v>12.8275129351183</v>
      </c>
      <c r="I606" s="5" t="n">
        <f aca="false">MAX(1,H$2:H606)</f>
        <v>23.8173271148404</v>
      </c>
      <c r="J606" s="12" t="n">
        <f aca="false">H606/I606-1</f>
        <v>-0.461420969982582</v>
      </c>
      <c r="K606" s="12" t="n">
        <f aca="false">Data!L606</f>
        <v>-0.0201</v>
      </c>
    </row>
    <row r="607" customFormat="false" ht="30" hidden="false" customHeight="true" outlineLevel="0" collapsed="false">
      <c r="A607" s="4" t="str">
        <f aca="false">Data!A607</f>
        <v>2013-06</v>
      </c>
      <c r="B607" s="13" t="n">
        <f aca="false">Data!K607</f>
        <v>-0.0425</v>
      </c>
      <c r="C607" s="13" t="n">
        <f aca="false">Data!B607</f>
        <v>-0.0642</v>
      </c>
      <c r="D607" s="13" t="n">
        <f aca="false">(B607-C607)*Inputs!B2</f>
        <v>0.01085</v>
      </c>
      <c r="E607" s="13" t="n">
        <f aca="false">4*Inputs!B2*Inputs!B4*Inputs!B3/10000</f>
        <v>0.001</v>
      </c>
      <c r="F607" s="13" t="n">
        <f aca="false">Inputs!B2*Inputs!B5/Inputs!B6</f>
        <v>0.000833333333333333</v>
      </c>
      <c r="G607" s="13" t="n">
        <f aca="false">D607-E607-F607</f>
        <v>0.00901666666666666</v>
      </c>
      <c r="H607" s="4" t="n">
        <f aca="false">(1+G607)*H606</f>
        <v>12.9431743434166</v>
      </c>
      <c r="I607" s="4" t="n">
        <f aca="false">MAX(1,H$2:H607)</f>
        <v>23.8173271148404</v>
      </c>
      <c r="J607" s="13" t="n">
        <f aca="false">H607/I607-1</f>
        <v>-0.456564782395258</v>
      </c>
      <c r="K607" s="13" t="n">
        <f aca="false">Data!L607</f>
        <v>0.0058</v>
      </c>
    </row>
    <row r="608" customFormat="false" ht="30" hidden="false" customHeight="true" outlineLevel="0" collapsed="false">
      <c r="A608" s="5" t="str">
        <f aca="false">Data!A608</f>
        <v>2013-07</v>
      </c>
      <c r="B608" s="12" t="n">
        <f aca="false">Data!K608</f>
        <v>0.0997</v>
      </c>
      <c r="C608" s="12" t="n">
        <f aca="false">Data!B608</f>
        <v>0.1198</v>
      </c>
      <c r="D608" s="12" t="n">
        <f aca="false">(B608-C608)*Inputs!B2</f>
        <v>-0.01005</v>
      </c>
      <c r="E608" s="12" t="n">
        <f aca="false">4*Inputs!B2*Inputs!B4*Inputs!B3/10000</f>
        <v>0.001</v>
      </c>
      <c r="F608" s="12" t="n">
        <f aca="false">Inputs!B2*Inputs!B5/Inputs!B6</f>
        <v>0.000833333333333333</v>
      </c>
      <c r="G608" s="12" t="n">
        <f aca="false">D608-E608-F608</f>
        <v>-0.0118833333333333</v>
      </c>
      <c r="H608" s="5" t="n">
        <f aca="false">(1+G608)*H607</f>
        <v>12.7893662883024</v>
      </c>
      <c r="I608" s="5" t="n">
        <f aca="false">MAX(1,H$2:H608)</f>
        <v>23.8173271148404</v>
      </c>
      <c r="J608" s="12" t="n">
        <f aca="false">H608/I608-1</f>
        <v>-0.463022604231128</v>
      </c>
      <c r="K608" s="12" t="n">
        <f aca="false">Data!L608</f>
        <v>0.0175</v>
      </c>
    </row>
    <row r="609" customFormat="false" ht="30" hidden="false" customHeight="true" outlineLevel="0" collapsed="false">
      <c r="A609" s="4" t="str">
        <f aca="false">Data!A609</f>
        <v>2013-08</v>
      </c>
      <c r="B609" s="13" t="n">
        <f aca="false">Data!K609</f>
        <v>-0.0281</v>
      </c>
      <c r="C609" s="13" t="n">
        <f aca="false">Data!B609</f>
        <v>0.0289</v>
      </c>
      <c r="D609" s="13" t="n">
        <f aca="false">(B609-C609)*Inputs!B2</f>
        <v>-0.0285</v>
      </c>
      <c r="E609" s="13" t="n">
        <f aca="false">4*Inputs!B2*Inputs!B4*Inputs!B3/10000</f>
        <v>0.001</v>
      </c>
      <c r="F609" s="13" t="n">
        <f aca="false">Inputs!B2*Inputs!B5/Inputs!B6</f>
        <v>0.000833333333333333</v>
      </c>
      <c r="G609" s="13" t="n">
        <f aca="false">D609-E609-F609</f>
        <v>-0.0303333333333333</v>
      </c>
      <c r="H609" s="4" t="n">
        <f aca="false">(1+G609)*H608</f>
        <v>12.4014221775572</v>
      </c>
      <c r="I609" s="4" t="n">
        <f aca="false">MAX(1,H$2:H609)</f>
        <v>23.8173271148404</v>
      </c>
      <c r="J609" s="13" t="n">
        <f aca="false">H609/I609-1</f>
        <v>-0.47931091856945</v>
      </c>
      <c r="K609" s="13" t="n">
        <f aca="false">Data!L609</f>
        <v>0.0005</v>
      </c>
    </row>
    <row r="610" customFormat="false" ht="30" hidden="false" customHeight="true" outlineLevel="0" collapsed="false">
      <c r="A610" s="5" t="str">
        <f aca="false">Data!A610</f>
        <v>2013-09</v>
      </c>
      <c r="B610" s="12" t="n">
        <f aca="false">Data!K610</f>
        <v>0.0755</v>
      </c>
      <c r="C610" s="12" t="n">
        <f aca="false">Data!B610</f>
        <v>0.0107</v>
      </c>
      <c r="D610" s="12" t="n">
        <f aca="false">(B610-C610)*Inputs!B2</f>
        <v>0.0324</v>
      </c>
      <c r="E610" s="12" t="n">
        <f aca="false">4*Inputs!B2*Inputs!B4*Inputs!B3/10000</f>
        <v>0.001</v>
      </c>
      <c r="F610" s="12" t="n">
        <f aca="false">Inputs!B2*Inputs!B5/Inputs!B6</f>
        <v>0.000833333333333333</v>
      </c>
      <c r="G610" s="12" t="n">
        <f aca="false">D610-E610-F610</f>
        <v>0.0305666666666667</v>
      </c>
      <c r="H610" s="5" t="n">
        <f aca="false">(1+G610)*H609</f>
        <v>12.7804923154512</v>
      </c>
      <c r="I610" s="5" t="n">
        <f aca="false">MAX(1,H$2:H610)</f>
        <v>23.8173271148404</v>
      </c>
      <c r="J610" s="12" t="n">
        <f aca="false">H610/I610-1</f>
        <v>-0.46339518898039</v>
      </c>
      <c r="K610" s="12" t="n">
        <f aca="false">Data!L610</f>
        <v>0.0304</v>
      </c>
    </row>
    <row r="611" customFormat="false" ht="30" hidden="false" customHeight="true" outlineLevel="0" collapsed="false">
      <c r="A611" s="4" t="str">
        <f aca="false">Data!A611</f>
        <v>2013-10</v>
      </c>
      <c r="B611" s="13" t="n">
        <f aca="false">Data!K611</f>
        <v>0.023</v>
      </c>
      <c r="C611" s="13" t="n">
        <f aca="false">Data!B611</f>
        <v>0.0366</v>
      </c>
      <c r="D611" s="13" t="n">
        <f aca="false">(B611-C611)*Inputs!B2</f>
        <v>-0.0068</v>
      </c>
      <c r="E611" s="13" t="n">
        <f aca="false">4*Inputs!B2*Inputs!B4*Inputs!B3/10000</f>
        <v>0.001</v>
      </c>
      <c r="F611" s="13" t="n">
        <f aca="false">Inputs!B2*Inputs!B5/Inputs!B6</f>
        <v>0.000833333333333333</v>
      </c>
      <c r="G611" s="13" t="n">
        <f aca="false">D611-E611-F611</f>
        <v>-0.00863333333333333</v>
      </c>
      <c r="H611" s="4" t="n">
        <f aca="false">(1+G611)*H610</f>
        <v>12.6701540651278</v>
      </c>
      <c r="I611" s="4" t="n">
        <f aca="false">MAX(1,H$2:H611)</f>
        <v>23.8173271148404</v>
      </c>
      <c r="J611" s="13" t="n">
        <f aca="false">H611/I611-1</f>
        <v>-0.468027877182193</v>
      </c>
      <c r="K611" s="13" t="n">
        <f aca="false">Data!L611</f>
        <v>0.0007</v>
      </c>
    </row>
    <row r="612" customFormat="false" ht="30" hidden="false" customHeight="true" outlineLevel="0" collapsed="false">
      <c r="A612" s="5" t="str">
        <f aca="false">Data!A612</f>
        <v>2013-11</v>
      </c>
      <c r="B612" s="12" t="n">
        <f aca="false">Data!K612</f>
        <v>0.0315</v>
      </c>
      <c r="C612" s="12" t="n">
        <f aca="false">Data!B612</f>
        <v>0.0299</v>
      </c>
      <c r="D612" s="12" t="n">
        <f aca="false">(B612-C612)*Inputs!B2</f>
        <v>0.0008</v>
      </c>
      <c r="E612" s="12" t="n">
        <f aca="false">4*Inputs!B2*Inputs!B4*Inputs!B3/10000</f>
        <v>0.001</v>
      </c>
      <c r="F612" s="12" t="n">
        <f aca="false">Inputs!B2*Inputs!B5/Inputs!B6</f>
        <v>0.000833333333333333</v>
      </c>
      <c r="G612" s="12" t="n">
        <f aca="false">D612-E612-F612</f>
        <v>-0.00103333333333333</v>
      </c>
      <c r="H612" s="5" t="n">
        <f aca="false">(1+G612)*H611</f>
        <v>12.6570615725938</v>
      </c>
      <c r="I612" s="5" t="n">
        <f aca="false">MAX(1,H$2:H612)</f>
        <v>23.8173271148404</v>
      </c>
      <c r="J612" s="12" t="n">
        <f aca="false">H612/I612-1</f>
        <v>-0.468577581709104</v>
      </c>
      <c r="K612" s="12" t="n">
        <f aca="false">Data!L612</f>
        <v>0.0036</v>
      </c>
    </row>
    <row r="613" customFormat="false" ht="30" hidden="false" customHeight="true" outlineLevel="0" collapsed="false">
      <c r="A613" s="4" t="str">
        <f aca="false">Data!A613</f>
        <v>2013-12</v>
      </c>
      <c r="B613" s="13" t="n">
        <f aca="false">Data!K613</f>
        <v>0.0312</v>
      </c>
      <c r="C613" s="13" t="n">
        <f aca="false">Data!B613</f>
        <v>0.0288</v>
      </c>
      <c r="D613" s="13" t="n">
        <f aca="false">(B613-C613)*Inputs!B2</f>
        <v>0.0012</v>
      </c>
      <c r="E613" s="13" t="n">
        <f aca="false">4*Inputs!B2*Inputs!B4*Inputs!B3/10000</f>
        <v>0.001</v>
      </c>
      <c r="F613" s="13" t="n">
        <f aca="false">Inputs!B2*Inputs!B5/Inputs!B6</f>
        <v>0.000833333333333333</v>
      </c>
      <c r="G613" s="13" t="n">
        <f aca="false">D613-E613-F613</f>
        <v>-0.000633333333333334</v>
      </c>
      <c r="H613" s="4" t="n">
        <f aca="false">(1+G613)*H612</f>
        <v>12.6490454335978</v>
      </c>
      <c r="I613" s="4" t="n">
        <f aca="false">MAX(1,H$2:H613)</f>
        <v>23.8173271148404</v>
      </c>
      <c r="J613" s="13" t="n">
        <f aca="false">H613/I613-1</f>
        <v>-0.468914149240689</v>
      </c>
      <c r="K613" s="13" t="n">
        <f aca="false">Data!L613</f>
        <v>0.0002</v>
      </c>
    </row>
    <row r="614" customFormat="false" ht="30" hidden="false" customHeight="true" outlineLevel="0" collapsed="false">
      <c r="A614" s="5" t="str">
        <f aca="false">Data!A614</f>
        <v>2014-01</v>
      </c>
      <c r="B614" s="12" t="n">
        <f aca="false">Data!K614</f>
        <v>0.0061</v>
      </c>
      <c r="C614" s="12" t="n">
        <f aca="false">Data!B614</f>
        <v>-0.0395</v>
      </c>
      <c r="D614" s="12" t="n">
        <f aca="false">(B614-C614)*Inputs!B2</f>
        <v>0.0228</v>
      </c>
      <c r="E614" s="12" t="n">
        <f aca="false">4*Inputs!B2*Inputs!B4*Inputs!B3/10000</f>
        <v>0.001</v>
      </c>
      <c r="F614" s="12" t="n">
        <f aca="false">Inputs!B2*Inputs!B5/Inputs!B6</f>
        <v>0.000833333333333333</v>
      </c>
      <c r="G614" s="12" t="n">
        <f aca="false">D614-E614-F614</f>
        <v>0.0209666666666667</v>
      </c>
      <c r="H614" s="5" t="n">
        <f aca="false">(1+G614)*H613</f>
        <v>12.9142537528556</v>
      </c>
      <c r="I614" s="5" t="n">
        <f aca="false">MAX(1,H$2:H614)</f>
        <v>23.8173271148404</v>
      </c>
      <c r="J614" s="12" t="n">
        <f aca="false">H614/I614-1</f>
        <v>-0.457779049236435</v>
      </c>
      <c r="K614" s="12" t="n">
        <f aca="false">Data!L614</f>
        <v>0.0164</v>
      </c>
    </row>
    <row r="615" customFormat="false" ht="30" hidden="false" customHeight="true" outlineLevel="0" collapsed="false">
      <c r="A615" s="4" t="str">
        <f aca="false">Data!A615</f>
        <v>2014-02</v>
      </c>
      <c r="B615" s="13" t="n">
        <f aca="false">Data!K615</f>
        <v>0.0616</v>
      </c>
      <c r="C615" s="13" t="n">
        <f aca="false">Data!B615</f>
        <v>0.0518</v>
      </c>
      <c r="D615" s="13" t="n">
        <f aca="false">(B615-C615)*Inputs!B2</f>
        <v>0.0049</v>
      </c>
      <c r="E615" s="13" t="n">
        <f aca="false">4*Inputs!B2*Inputs!B4*Inputs!B3/10000</f>
        <v>0.001</v>
      </c>
      <c r="F615" s="13" t="n">
        <f aca="false">Inputs!B2*Inputs!B5/Inputs!B6</f>
        <v>0.000833333333333333</v>
      </c>
      <c r="G615" s="13" t="n">
        <f aca="false">D615-E615-F615</f>
        <v>0.00306666666666667</v>
      </c>
      <c r="H615" s="4" t="n">
        <f aca="false">(1+G615)*H614</f>
        <v>12.9538574643644</v>
      </c>
      <c r="I615" s="4" t="n">
        <f aca="false">MAX(1,H$2:H615)</f>
        <v>23.8173271148404</v>
      </c>
      <c r="J615" s="13" t="n">
        <f aca="false">H615/I615-1</f>
        <v>-0.45611623832076</v>
      </c>
      <c r="K615" s="13" t="n">
        <f aca="false">Data!L615</f>
        <v>0.0216</v>
      </c>
    </row>
    <row r="616" customFormat="false" ht="30" hidden="false" customHeight="true" outlineLevel="0" collapsed="false">
      <c r="A616" s="5" t="str">
        <f aca="false">Data!A616</f>
        <v>2014-03</v>
      </c>
      <c r="B616" s="12" t="n">
        <f aca="false">Data!K616</f>
        <v>-0.0598</v>
      </c>
      <c r="C616" s="12" t="n">
        <f aca="false">Data!B616</f>
        <v>0.0158</v>
      </c>
      <c r="D616" s="12" t="n">
        <f aca="false">(B616-C616)*Inputs!B2</f>
        <v>-0.0378</v>
      </c>
      <c r="E616" s="12" t="n">
        <f aca="false">4*Inputs!B2*Inputs!B4*Inputs!B3/10000</f>
        <v>0.001</v>
      </c>
      <c r="F616" s="12" t="n">
        <f aca="false">Inputs!B2*Inputs!B5/Inputs!B6</f>
        <v>0.000833333333333333</v>
      </c>
      <c r="G616" s="12" t="n">
        <f aca="false">D616-E616-F616</f>
        <v>-0.0396333333333333</v>
      </c>
      <c r="H616" s="5" t="n">
        <f aca="false">(1+G616)*H615</f>
        <v>12.4404529135267</v>
      </c>
      <c r="I616" s="5" t="n">
        <f aca="false">MAX(1,H$2:H616)</f>
        <v>23.8173271148404</v>
      </c>
      <c r="J616" s="12" t="n">
        <f aca="false">H616/I616-1</f>
        <v>-0.477672164741981</v>
      </c>
      <c r="K616" s="12" t="n">
        <f aca="false">Data!L616</f>
        <v>-0.0327</v>
      </c>
    </row>
    <row r="617" customFormat="false" ht="30" hidden="false" customHeight="true" outlineLevel="0" collapsed="false">
      <c r="A617" s="4" t="str">
        <f aca="false">Data!A617</f>
        <v>2014-04</v>
      </c>
      <c r="B617" s="13" t="n">
        <f aca="false">Data!K617</f>
        <v>-0.0346</v>
      </c>
      <c r="C617" s="13" t="n">
        <f aca="false">Data!B617</f>
        <v>0.0133</v>
      </c>
      <c r="D617" s="13" t="n">
        <f aca="false">(B617-C617)*Inputs!B2</f>
        <v>-0.02395</v>
      </c>
      <c r="E617" s="13" t="n">
        <f aca="false">4*Inputs!B2*Inputs!B4*Inputs!B3/10000</f>
        <v>0.001</v>
      </c>
      <c r="F617" s="13" t="n">
        <f aca="false">Inputs!B2*Inputs!B5/Inputs!B6</f>
        <v>0.000833333333333333</v>
      </c>
      <c r="G617" s="13" t="n">
        <f aca="false">D617-E617-F617</f>
        <v>-0.0257833333333333</v>
      </c>
      <c r="H617" s="4" t="n">
        <f aca="false">(1+G617)*H616</f>
        <v>12.1196965692396</v>
      </c>
      <c r="I617" s="4" t="n">
        <f aca="false">MAX(1,H$2:H617)</f>
        <v>23.8173271148404</v>
      </c>
      <c r="J617" s="13" t="n">
        <f aca="false">H617/I617-1</f>
        <v>-0.491139517427717</v>
      </c>
      <c r="K617" s="13" t="n">
        <f aca="false">Data!L617</f>
        <v>-0.0389</v>
      </c>
    </row>
    <row r="618" customFormat="false" ht="30" hidden="false" customHeight="true" outlineLevel="0" collapsed="false">
      <c r="A618" s="5" t="str">
        <f aca="false">Data!A618</f>
        <v>2014-05</v>
      </c>
      <c r="B618" s="12" t="n">
        <f aca="false">Data!K618</f>
        <v>0.0383</v>
      </c>
      <c r="C618" s="12" t="n">
        <f aca="false">Data!B618</f>
        <v>0.0037</v>
      </c>
      <c r="D618" s="12" t="n">
        <f aca="false">(B618-C618)*Inputs!B2</f>
        <v>0.0173</v>
      </c>
      <c r="E618" s="12" t="n">
        <f aca="false">4*Inputs!B2*Inputs!B4*Inputs!B3/10000</f>
        <v>0.001</v>
      </c>
      <c r="F618" s="12" t="n">
        <f aca="false">Inputs!B2*Inputs!B5/Inputs!B6</f>
        <v>0.000833333333333333</v>
      </c>
      <c r="G618" s="12" t="n">
        <f aca="false">D618-E618-F618</f>
        <v>0.0154666666666667</v>
      </c>
      <c r="H618" s="5" t="n">
        <f aca="false">(1+G618)*H617</f>
        <v>12.3071478761772</v>
      </c>
      <c r="I618" s="5" t="n">
        <f aca="false">MAX(1,H$2:H618)</f>
        <v>23.8173271148404</v>
      </c>
      <c r="J618" s="12" t="n">
        <f aca="false">H618/I618-1</f>
        <v>-0.483269141963932</v>
      </c>
      <c r="K618" s="12" t="n">
        <f aca="false">Data!L618</f>
        <v>0.0088</v>
      </c>
    </row>
    <row r="619" customFormat="false" ht="30" hidden="false" customHeight="true" outlineLevel="0" collapsed="false">
      <c r="A619" s="4" t="str">
        <f aca="false">Data!A619</f>
        <v>2014-06</v>
      </c>
      <c r="B619" s="13" t="n">
        <f aca="false">Data!K619</f>
        <v>0.0547</v>
      </c>
      <c r="C619" s="13" t="n">
        <f aca="false">Data!B619</f>
        <v>0.06</v>
      </c>
      <c r="D619" s="13" t="n">
        <f aca="false">(B619-C619)*Inputs!B2</f>
        <v>-0.00265</v>
      </c>
      <c r="E619" s="13" t="n">
        <f aca="false">4*Inputs!B2*Inputs!B4*Inputs!B3/10000</f>
        <v>0.001</v>
      </c>
      <c r="F619" s="13" t="n">
        <f aca="false">Inputs!B2*Inputs!B5/Inputs!B6</f>
        <v>0.000833333333333333</v>
      </c>
      <c r="G619" s="13" t="n">
        <f aca="false">D619-E619-F619</f>
        <v>-0.00448333333333333</v>
      </c>
      <c r="H619" s="4" t="n">
        <f aca="false">(1+G619)*H618</f>
        <v>12.2519708298657</v>
      </c>
      <c r="I619" s="4" t="n">
        <f aca="false">MAX(1,H$2:H619)</f>
        <v>23.8173271148404</v>
      </c>
      <c r="J619" s="13" t="n">
        <f aca="false">H619/I619-1</f>
        <v>-0.485585818644127</v>
      </c>
      <c r="K619" s="13" t="n">
        <f aca="false">Data!L619</f>
        <v>0.0065</v>
      </c>
    </row>
    <row r="620" customFormat="false" ht="30" hidden="false" customHeight="true" outlineLevel="0" collapsed="false">
      <c r="A620" s="5" t="str">
        <f aca="false">Data!A620</f>
        <v>2014-07</v>
      </c>
      <c r="B620" s="12" t="n">
        <f aca="false">Data!K620</f>
        <v>-0.0052</v>
      </c>
      <c r="C620" s="12" t="n">
        <f aca="false">Data!B620</f>
        <v>-0.0291</v>
      </c>
      <c r="D620" s="12" t="n">
        <f aca="false">(B620-C620)*Inputs!B2</f>
        <v>0.01195</v>
      </c>
      <c r="E620" s="12" t="n">
        <f aca="false">4*Inputs!B2*Inputs!B4*Inputs!B3/10000</f>
        <v>0.001</v>
      </c>
      <c r="F620" s="12" t="n">
        <f aca="false">Inputs!B2*Inputs!B5/Inputs!B6</f>
        <v>0.000833333333333333</v>
      </c>
      <c r="G620" s="12" t="n">
        <f aca="false">D620-E620-F620</f>
        <v>0.0101166666666667</v>
      </c>
      <c r="H620" s="5" t="n">
        <f aca="false">(1+G620)*H619</f>
        <v>12.3759199347612</v>
      </c>
      <c r="I620" s="5" t="n">
        <f aca="false">MAX(1,H$2:H620)</f>
        <v>23.8173271148404</v>
      </c>
      <c r="J620" s="12" t="n">
        <f aca="false">H620/I620-1</f>
        <v>-0.480381661842743</v>
      </c>
      <c r="K620" s="12" t="n">
        <f aca="false">Data!L620</f>
        <v>-0.002</v>
      </c>
    </row>
    <row r="621" customFormat="false" ht="30" hidden="false" customHeight="true" outlineLevel="0" collapsed="false">
      <c r="A621" s="4" t="str">
        <f aca="false">Data!A621</f>
        <v>2014-08</v>
      </c>
      <c r="B621" s="13" t="n">
        <f aca="false">Data!K621</f>
        <v>0.054</v>
      </c>
      <c r="C621" s="13" t="n">
        <f aca="false">Data!B621</f>
        <v>0.0515</v>
      </c>
      <c r="D621" s="13" t="n">
        <f aca="false">(B621-C621)*Inputs!B2</f>
        <v>0.00125000000000001</v>
      </c>
      <c r="E621" s="13" t="n">
        <f aca="false">4*Inputs!B2*Inputs!B4*Inputs!B3/10000</f>
        <v>0.001</v>
      </c>
      <c r="F621" s="13" t="n">
        <f aca="false">Inputs!B2*Inputs!B5/Inputs!B6</f>
        <v>0.000833333333333333</v>
      </c>
      <c r="G621" s="13" t="n">
        <f aca="false">D621-E621-F621</f>
        <v>-0.000583333333333325</v>
      </c>
      <c r="H621" s="4" t="n">
        <f aca="false">(1+G621)*H620</f>
        <v>12.3687006481325</v>
      </c>
      <c r="I621" s="4" t="n">
        <f aca="false">MAX(1,H$2:H621)</f>
        <v>23.8173271148404</v>
      </c>
      <c r="J621" s="13" t="n">
        <f aca="false">H621/I621-1</f>
        <v>-0.480684772540002</v>
      </c>
      <c r="K621" s="13" t="n">
        <f aca="false">Data!L621</f>
        <v>0.0084</v>
      </c>
    </row>
    <row r="622" customFormat="false" ht="30" hidden="false" customHeight="true" outlineLevel="0" collapsed="false">
      <c r="A622" s="5" t="str">
        <f aca="false">Data!A622</f>
        <v>2014-09</v>
      </c>
      <c r="B622" s="12" t="n">
        <f aca="false">Data!K622</f>
        <v>-0.0239</v>
      </c>
      <c r="C622" s="12" t="n">
        <f aca="false">Data!B622</f>
        <v>-0.0731</v>
      </c>
      <c r="D622" s="12" t="n">
        <f aca="false">(B622-C622)*Inputs!B2</f>
        <v>0.0246</v>
      </c>
      <c r="E622" s="12" t="n">
        <f aca="false">4*Inputs!B2*Inputs!B4*Inputs!B3/10000</f>
        <v>0.001</v>
      </c>
      <c r="F622" s="12" t="n">
        <f aca="false">Inputs!B2*Inputs!B5/Inputs!B6</f>
        <v>0.000833333333333333</v>
      </c>
      <c r="G622" s="12" t="n">
        <f aca="false">D622-E622-F622</f>
        <v>0.0227666666666667</v>
      </c>
      <c r="H622" s="5" t="n">
        <f aca="false">(1+G622)*H621</f>
        <v>12.6502947328884</v>
      </c>
      <c r="I622" s="5" t="n">
        <f aca="false">MAX(1,H$2:H622)</f>
        <v>23.8173271148404</v>
      </c>
      <c r="J622" s="12" t="n">
        <f aca="false">H622/I622-1</f>
        <v>-0.468861695861496</v>
      </c>
      <c r="K622" s="12" t="n">
        <f aca="false">Data!L622</f>
        <v>0.0064</v>
      </c>
    </row>
    <row r="623" customFormat="false" ht="30" hidden="false" customHeight="true" outlineLevel="0" collapsed="false">
      <c r="A623" s="4" t="str">
        <f aca="false">Data!A623</f>
        <v>2014-10</v>
      </c>
      <c r="B623" s="13" t="n">
        <f aca="false">Data!K623</f>
        <v>0.0223</v>
      </c>
      <c r="C623" s="13" t="n">
        <f aca="false">Data!B623</f>
        <v>0.0223</v>
      </c>
      <c r="D623" s="13" t="n">
        <f aca="false">(B623-C623)*Inputs!B2</f>
        <v>0</v>
      </c>
      <c r="E623" s="13" t="n">
        <f aca="false">4*Inputs!B2*Inputs!B4*Inputs!B3/10000</f>
        <v>0.001</v>
      </c>
      <c r="F623" s="13" t="n">
        <f aca="false">Inputs!B2*Inputs!B5/Inputs!B6</f>
        <v>0.000833333333333333</v>
      </c>
      <c r="G623" s="13" t="n">
        <f aca="false">D623-E623-F623</f>
        <v>-0.00183333333333333</v>
      </c>
      <c r="H623" s="4" t="n">
        <f aca="false">(1+G623)*H622</f>
        <v>12.6271025258781</v>
      </c>
      <c r="I623" s="4" t="n">
        <f aca="false">MAX(1,H$2:H623)</f>
        <v>23.8173271148404</v>
      </c>
      <c r="J623" s="13" t="n">
        <f aca="false">H623/I623-1</f>
        <v>-0.469835449419083</v>
      </c>
      <c r="K623" s="13" t="n">
        <f aca="false">Data!L623</f>
        <v>-0.0027</v>
      </c>
    </row>
    <row r="624" customFormat="false" ht="30" hidden="false" customHeight="true" outlineLevel="0" collapsed="false">
      <c r="A624" s="5" t="str">
        <f aca="false">Data!A624</f>
        <v>2014-11</v>
      </c>
      <c r="B624" s="12" t="n">
        <f aca="false">Data!K624</f>
        <v>0.0398</v>
      </c>
      <c r="C624" s="12" t="n">
        <f aca="false">Data!B624</f>
        <v>0.002</v>
      </c>
      <c r="D624" s="12" t="n">
        <f aca="false">(B624-C624)*Inputs!B2</f>
        <v>0.0189</v>
      </c>
      <c r="E624" s="12" t="n">
        <f aca="false">4*Inputs!B2*Inputs!B4*Inputs!B3/10000</f>
        <v>0.001</v>
      </c>
      <c r="F624" s="12" t="n">
        <f aca="false">Inputs!B2*Inputs!B5/Inputs!B6</f>
        <v>0.000833333333333333</v>
      </c>
      <c r="G624" s="12" t="n">
        <f aca="false">D624-E624-F624</f>
        <v>0.0170666666666667</v>
      </c>
      <c r="H624" s="5" t="n">
        <f aca="false">(1+G624)*H623</f>
        <v>12.842605075653</v>
      </c>
      <c r="I624" s="5" t="n">
        <f aca="false">MAX(1,H$2:H624)</f>
        <v>23.8173271148404</v>
      </c>
      <c r="J624" s="12" t="n">
        <f aca="false">H624/I624-1</f>
        <v>-0.460787307755836</v>
      </c>
      <c r="K624" s="12" t="n">
        <f aca="false">Data!L624</f>
        <v>0.0069</v>
      </c>
    </row>
    <row r="625" customFormat="false" ht="30" hidden="false" customHeight="true" outlineLevel="0" collapsed="false">
      <c r="A625" s="4" t="str">
        <f aca="false">Data!A625</f>
        <v>2014-12</v>
      </c>
      <c r="B625" s="13" t="n">
        <f aca="false">Data!K625</f>
        <v>-0.0226</v>
      </c>
      <c r="C625" s="13" t="n">
        <f aca="false">Data!B625</f>
        <v>-0.0138</v>
      </c>
      <c r="D625" s="13" t="n">
        <f aca="false">(B625-C625)*Inputs!B2</f>
        <v>-0.0044</v>
      </c>
      <c r="E625" s="13" t="n">
        <f aca="false">4*Inputs!B2*Inputs!B4*Inputs!B3/10000</f>
        <v>0.001</v>
      </c>
      <c r="F625" s="13" t="n">
        <f aca="false">Inputs!B2*Inputs!B5/Inputs!B6</f>
        <v>0.000833333333333333</v>
      </c>
      <c r="G625" s="13" t="n">
        <f aca="false">D625-E625-F625</f>
        <v>-0.00623333333333333</v>
      </c>
      <c r="H625" s="4" t="n">
        <f aca="false">(1+G625)*H624</f>
        <v>12.7625528373481</v>
      </c>
      <c r="I625" s="4" t="n">
        <f aca="false">MAX(1,H$2:H625)</f>
        <v>23.8173271148404</v>
      </c>
      <c r="J625" s="13" t="n">
        <f aca="false">H625/I625-1</f>
        <v>-0.464148400204158</v>
      </c>
      <c r="K625" s="13" t="n">
        <f aca="false">Data!L625</f>
        <v>0.0105</v>
      </c>
    </row>
    <row r="626" customFormat="false" ht="30" hidden="false" customHeight="true" outlineLevel="0" collapsed="false">
      <c r="A626" s="5" t="str">
        <f aca="false">Data!A626</f>
        <v>2015-01</v>
      </c>
      <c r="B626" s="12" t="n">
        <f aca="false">Data!K626</f>
        <v>0.0064</v>
      </c>
      <c r="C626" s="12" t="n">
        <f aca="false">Data!B626</f>
        <v>-0.0777</v>
      </c>
      <c r="D626" s="12" t="n">
        <f aca="false">(B626-C626)*Inputs!B2</f>
        <v>0.04205</v>
      </c>
      <c r="E626" s="12" t="n">
        <f aca="false">4*Inputs!B2*Inputs!B4*Inputs!B3/10000</f>
        <v>0.001</v>
      </c>
      <c r="F626" s="12" t="n">
        <f aca="false">Inputs!B2*Inputs!B5/Inputs!B6</f>
        <v>0.000833333333333333</v>
      </c>
      <c r="G626" s="12" t="n">
        <f aca="false">D626-E626-F626</f>
        <v>0.0402166666666667</v>
      </c>
      <c r="H626" s="5" t="n">
        <f aca="false">(1+G626)*H625</f>
        <v>13.2758201706235</v>
      </c>
      <c r="I626" s="5" t="n">
        <f aca="false">MAX(1,H$2:H626)</f>
        <v>23.8173271148404</v>
      </c>
      <c r="J626" s="12" t="n">
        <f aca="false">H626/I626-1</f>
        <v>-0.442598235032368</v>
      </c>
      <c r="K626" s="12" t="n">
        <f aca="false">Data!L626</f>
        <v>0.0372</v>
      </c>
    </row>
    <row r="627" customFormat="false" ht="30" hidden="false" customHeight="true" outlineLevel="0" collapsed="false">
      <c r="A627" s="4" t="str">
        <f aca="false">Data!A627</f>
        <v>2015-02</v>
      </c>
      <c r="B627" s="13" t="n">
        <f aca="false">Data!K627</f>
        <v>0.0614</v>
      </c>
      <c r="C627" s="13" t="n">
        <f aca="false">Data!B627</f>
        <v>0.1141</v>
      </c>
      <c r="D627" s="13" t="n">
        <f aca="false">(B627-C627)*Inputs!B2</f>
        <v>-0.02635</v>
      </c>
      <c r="E627" s="13" t="n">
        <f aca="false">4*Inputs!B2*Inputs!B4*Inputs!B3/10000</f>
        <v>0.001</v>
      </c>
      <c r="F627" s="13" t="n">
        <f aca="false">Inputs!B2*Inputs!B5/Inputs!B6</f>
        <v>0.000833333333333333</v>
      </c>
      <c r="G627" s="13" t="n">
        <f aca="false">D627-E627-F627</f>
        <v>-0.0281833333333333</v>
      </c>
      <c r="H627" s="4" t="n">
        <f aca="false">(1+G627)*H626</f>
        <v>12.9016633054814</v>
      </c>
      <c r="I627" s="4" t="n">
        <f aca="false">MAX(1,H$2:H627)</f>
        <v>23.8173271148404</v>
      </c>
      <c r="J627" s="13" t="n">
        <f aca="false">H627/I627-1</f>
        <v>-0.458307674775039</v>
      </c>
      <c r="K627" s="13" t="n">
        <f aca="false">Data!L627</f>
        <v>-0.0287</v>
      </c>
    </row>
    <row r="628" customFormat="false" ht="30" hidden="false" customHeight="true" outlineLevel="0" collapsed="false">
      <c r="A628" s="5" t="str">
        <f aca="false">Data!A628</f>
        <v>2015-03</v>
      </c>
      <c r="B628" s="12" t="n">
        <f aca="false">Data!K628</f>
        <v>-0.0081</v>
      </c>
      <c r="C628" s="12" t="n">
        <f aca="false">Data!B628</f>
        <v>-0.0481</v>
      </c>
      <c r="D628" s="12" t="n">
        <f aca="false">(B628-C628)*Inputs!B2</f>
        <v>0.02</v>
      </c>
      <c r="E628" s="12" t="n">
        <f aca="false">4*Inputs!B2*Inputs!B4*Inputs!B3/10000</f>
        <v>0.001</v>
      </c>
      <c r="F628" s="12" t="n">
        <f aca="false">Inputs!B2*Inputs!B5/Inputs!B6</f>
        <v>0.000833333333333333</v>
      </c>
      <c r="G628" s="12" t="n">
        <f aca="false">D628-E628-F628</f>
        <v>0.0181666666666667</v>
      </c>
      <c r="H628" s="5" t="n">
        <f aca="false">(1+G628)*H627</f>
        <v>13.1360435221977</v>
      </c>
      <c r="I628" s="5" t="n">
        <f aca="false">MAX(1,H$2:H628)</f>
        <v>23.8173271148404</v>
      </c>
      <c r="J628" s="12" t="n">
        <f aca="false">H628/I628-1</f>
        <v>-0.448466930866786</v>
      </c>
      <c r="K628" s="12" t="n">
        <f aca="false">Data!L628</f>
        <v>0.0272</v>
      </c>
    </row>
    <row r="629" customFormat="false" ht="30" hidden="false" customHeight="true" outlineLevel="0" collapsed="false">
      <c r="A629" s="4" t="str">
        <f aca="false">Data!A629</f>
        <v>2015-04</v>
      </c>
      <c r="B629" s="13" t="n">
        <f aca="false">Data!K629</f>
        <v>-0.0245</v>
      </c>
      <c r="C629" s="13" t="n">
        <f aca="false">Data!B629</f>
        <v>0.1048</v>
      </c>
      <c r="D629" s="13" t="n">
        <f aca="false">(B629-C629)*Inputs!B2</f>
        <v>-0.06465</v>
      </c>
      <c r="E629" s="13" t="n">
        <f aca="false">4*Inputs!B2*Inputs!B4*Inputs!B3/10000</f>
        <v>0.001</v>
      </c>
      <c r="F629" s="13" t="n">
        <f aca="false">Inputs!B2*Inputs!B5/Inputs!B6</f>
        <v>0.000833333333333333</v>
      </c>
      <c r="G629" s="13" t="n">
        <f aca="false">D629-E629-F629</f>
        <v>-0.0664833333333333</v>
      </c>
      <c r="H629" s="4" t="n">
        <f aca="false">(1+G629)*H628</f>
        <v>12.2627155620302</v>
      </c>
      <c r="I629" s="4" t="n">
        <f aca="false">MAX(1,H$2:H629)</f>
        <v>23.8173271148404</v>
      </c>
      <c r="J629" s="13" t="n">
        <f aca="false">H629/I629-1</f>
        <v>-0.485134687746326</v>
      </c>
      <c r="K629" s="13" t="n">
        <f aca="false">Data!L629</f>
        <v>-0.0726</v>
      </c>
    </row>
    <row r="630" customFormat="false" ht="30" hidden="false" customHeight="true" outlineLevel="0" collapsed="false">
      <c r="A630" s="5" t="str">
        <f aca="false">Data!A630</f>
        <v>2015-05</v>
      </c>
      <c r="B630" s="12" t="n">
        <f aca="false">Data!K630</f>
        <v>0.0456</v>
      </c>
      <c r="C630" s="12" t="n">
        <f aca="false">Data!B630</f>
        <v>-0.0797</v>
      </c>
      <c r="D630" s="12" t="n">
        <f aca="false">(B630-C630)*Inputs!B2</f>
        <v>0.06265</v>
      </c>
      <c r="E630" s="12" t="n">
        <f aca="false">4*Inputs!B2*Inputs!B4*Inputs!B3/10000</f>
        <v>0.001</v>
      </c>
      <c r="F630" s="12" t="n">
        <f aca="false">Inputs!B2*Inputs!B5/Inputs!B6</f>
        <v>0.000833333333333333</v>
      </c>
      <c r="G630" s="12" t="n">
        <f aca="false">D630-E630-F630</f>
        <v>0.0608166666666667</v>
      </c>
      <c r="H630" s="5" t="n">
        <f aca="false">(1+G630)*H629</f>
        <v>13.0084930467944</v>
      </c>
      <c r="I630" s="5" t="n">
        <f aca="false">MAX(1,H$2:H630)</f>
        <v>23.8173271148404</v>
      </c>
      <c r="J630" s="12" t="n">
        <f aca="false">H630/I630-1</f>
        <v>-0.453822295672765</v>
      </c>
      <c r="K630" s="12" t="n">
        <f aca="false">Data!L630</f>
        <v>0.0576</v>
      </c>
    </row>
    <row r="631" customFormat="false" ht="30" hidden="false" customHeight="true" outlineLevel="0" collapsed="false">
      <c r="A631" s="4" t="str">
        <f aca="false">Data!A631</f>
        <v>2015-06</v>
      </c>
      <c r="B631" s="13" t="n">
        <f aca="false">Data!K631</f>
        <v>-0.0056</v>
      </c>
      <c r="C631" s="13" t="n">
        <f aca="false">Data!B631</f>
        <v>-0.0548</v>
      </c>
      <c r="D631" s="13" t="n">
        <f aca="false">(B631-C631)*Inputs!B2</f>
        <v>0.0246</v>
      </c>
      <c r="E631" s="13" t="n">
        <f aca="false">4*Inputs!B2*Inputs!B4*Inputs!B3/10000</f>
        <v>0.001</v>
      </c>
      <c r="F631" s="13" t="n">
        <f aca="false">Inputs!B2*Inputs!B5/Inputs!B6</f>
        <v>0.000833333333333333</v>
      </c>
      <c r="G631" s="13" t="n">
        <f aca="false">D631-E631-F631</f>
        <v>0.0227666666666667</v>
      </c>
      <c r="H631" s="4" t="n">
        <f aca="false">(1+G631)*H630</f>
        <v>13.3046530718264</v>
      </c>
      <c r="I631" s="4" t="n">
        <f aca="false">MAX(1,H$2:H631)</f>
        <v>23.8173271148404</v>
      </c>
      <c r="J631" s="13" t="n">
        <f aca="false">H631/I631-1</f>
        <v>-0.441387649937581</v>
      </c>
      <c r="K631" s="13" t="n">
        <f aca="false">Data!L631</f>
        <v>0.0301</v>
      </c>
    </row>
    <row r="632" customFormat="false" ht="30" hidden="false" customHeight="true" outlineLevel="0" collapsed="false">
      <c r="A632" s="5" t="str">
        <f aca="false">Data!A632</f>
        <v>2015-07</v>
      </c>
      <c r="B632" s="12" t="n">
        <f aca="false">Data!K632</f>
        <v>0.0196</v>
      </c>
      <c r="C632" s="12" t="n">
        <f aca="false">Data!B632</f>
        <v>-0.1821</v>
      </c>
      <c r="D632" s="12" t="n">
        <f aca="false">(B632-C632)*Inputs!B2</f>
        <v>0.10085</v>
      </c>
      <c r="E632" s="12" t="n">
        <f aca="false">4*Inputs!B2*Inputs!B4*Inputs!B3/10000</f>
        <v>0.001</v>
      </c>
      <c r="F632" s="12" t="n">
        <f aca="false">Inputs!B2*Inputs!B5/Inputs!B6</f>
        <v>0.000833333333333333</v>
      </c>
      <c r="G632" s="12" t="n">
        <f aca="false">D632-E632-F632</f>
        <v>0.0990166666666667</v>
      </c>
      <c r="H632" s="5" t="n">
        <f aca="false">(1+G632)*H631</f>
        <v>14.6220354701551</v>
      </c>
      <c r="I632" s="5" t="n">
        <f aca="false">MAX(1,H$2:H632)</f>
        <v>23.8173271148404</v>
      </c>
      <c r="J632" s="12" t="n">
        <f aca="false">H632/I632-1</f>
        <v>-0.386075717075567</v>
      </c>
      <c r="K632" s="12" t="n">
        <f aca="false">Data!L632</f>
        <v>0.1004</v>
      </c>
    </row>
    <row r="633" customFormat="false" ht="30" hidden="false" customHeight="true" outlineLevel="0" collapsed="false">
      <c r="A633" s="4" t="str">
        <f aca="false">Data!A633</f>
        <v>2015-08</v>
      </c>
      <c r="B633" s="13" t="n">
        <f aca="false">Data!K633</f>
        <v>-0.0629</v>
      </c>
      <c r="C633" s="13" t="n">
        <f aca="false">Data!B633</f>
        <v>-0.0288</v>
      </c>
      <c r="D633" s="13" t="n">
        <f aca="false">(B633-C633)*Inputs!B2</f>
        <v>-0.01705</v>
      </c>
      <c r="E633" s="13" t="n">
        <f aca="false">4*Inputs!B2*Inputs!B4*Inputs!B3/10000</f>
        <v>0.001</v>
      </c>
      <c r="F633" s="13" t="n">
        <f aca="false">Inputs!B2*Inputs!B5/Inputs!B6</f>
        <v>0.000833333333333333</v>
      </c>
      <c r="G633" s="13" t="n">
        <f aca="false">D633-E633-F633</f>
        <v>-0.0188833333333333</v>
      </c>
      <c r="H633" s="4" t="n">
        <f aca="false">(1+G633)*H632</f>
        <v>14.3459227003603</v>
      </c>
      <c r="I633" s="4" t="n">
        <f aca="false">MAX(1,H$2:H633)</f>
        <v>23.8173271148404</v>
      </c>
      <c r="J633" s="13" t="n">
        <f aca="false">H633/I633-1</f>
        <v>-0.397668653951457</v>
      </c>
      <c r="K633" s="13" t="n">
        <f aca="false">Data!L633</f>
        <v>-0.0215</v>
      </c>
    </row>
    <row r="634" customFormat="false" ht="30" hidden="false" customHeight="true" outlineLevel="0" collapsed="false">
      <c r="A634" s="5" t="str">
        <f aca="false">Data!A634</f>
        <v>2015-09</v>
      </c>
      <c r="B634" s="12" t="n">
        <f aca="false">Data!K634</f>
        <v>-0.0319</v>
      </c>
      <c r="C634" s="12" t="n">
        <f aca="false">Data!B634</f>
        <v>-0.1595</v>
      </c>
      <c r="D634" s="12" t="n">
        <f aca="false">(B634-C634)*Inputs!B2</f>
        <v>0.0638</v>
      </c>
      <c r="E634" s="12" t="n">
        <f aca="false">4*Inputs!B2*Inputs!B4*Inputs!B3/10000</f>
        <v>0.001</v>
      </c>
      <c r="F634" s="12" t="n">
        <f aca="false">Inputs!B2*Inputs!B5/Inputs!B6</f>
        <v>0.000833333333333333</v>
      </c>
      <c r="G634" s="12" t="n">
        <f aca="false">D634-E634-F634</f>
        <v>0.0619666666666667</v>
      </c>
      <c r="H634" s="5" t="n">
        <f aca="false">(1+G634)*H633</f>
        <v>15.2348917103593</v>
      </c>
      <c r="I634" s="5" t="n">
        <f aca="false">MAX(1,H$2:H634)</f>
        <v>23.8173271148404</v>
      </c>
      <c r="J634" s="12" t="n">
        <f aca="false">H634/I634-1</f>
        <v>-0.360344188207982</v>
      </c>
      <c r="K634" s="12" t="n">
        <f aca="false">Data!L634</f>
        <v>0.0526</v>
      </c>
    </row>
    <row r="635" customFormat="false" ht="30" hidden="false" customHeight="true" outlineLevel="0" collapsed="false">
      <c r="A635" s="4" t="str">
        <f aca="false">Data!A635</f>
        <v>2015-10</v>
      </c>
      <c r="B635" s="13" t="n">
        <f aca="false">Data!K635</f>
        <v>0.0689</v>
      </c>
      <c r="C635" s="13" t="n">
        <f aca="false">Data!B635</f>
        <v>0.1162</v>
      </c>
      <c r="D635" s="13" t="n">
        <f aca="false">(B635-C635)*Inputs!B2</f>
        <v>-0.02365</v>
      </c>
      <c r="E635" s="13" t="n">
        <f aca="false">4*Inputs!B2*Inputs!B4*Inputs!B3/10000</f>
        <v>0.001</v>
      </c>
      <c r="F635" s="13" t="n">
        <f aca="false">Inputs!B2*Inputs!B5/Inputs!B6</f>
        <v>0.000833333333333333</v>
      </c>
      <c r="G635" s="13" t="n">
        <f aca="false">D635-E635-F635</f>
        <v>-0.0254833333333333</v>
      </c>
      <c r="H635" s="4" t="n">
        <f aca="false">(1+G635)*H634</f>
        <v>14.846655886607</v>
      </c>
      <c r="I635" s="4" t="n">
        <f aca="false">MAX(1,H$2:H635)</f>
        <v>23.8173271148404</v>
      </c>
      <c r="J635" s="13" t="n">
        <f aca="false">H635/I635-1</f>
        <v>-0.376644750478482</v>
      </c>
      <c r="K635" s="13" t="n">
        <f aca="false">Data!L635</f>
        <v>-0.0329</v>
      </c>
    </row>
    <row r="636" customFormat="false" ht="30" hidden="false" customHeight="true" outlineLevel="0" collapsed="false">
      <c r="A636" s="5" t="str">
        <f aca="false">Data!A636</f>
        <v>2015-11</v>
      </c>
      <c r="B636" s="12" t="n">
        <f aca="false">Data!K636</f>
        <v>0.0127</v>
      </c>
      <c r="C636" s="12" t="n">
        <f aca="false">Data!B636</f>
        <v>-0.0411</v>
      </c>
      <c r="D636" s="12" t="n">
        <f aca="false">(B636-C636)*Inputs!B2</f>
        <v>0.0269</v>
      </c>
      <c r="E636" s="12" t="n">
        <f aca="false">4*Inputs!B2*Inputs!B4*Inputs!B3/10000</f>
        <v>0.001</v>
      </c>
      <c r="F636" s="12" t="n">
        <f aca="false">Inputs!B2*Inputs!B5/Inputs!B6</f>
        <v>0.000833333333333333</v>
      </c>
      <c r="G636" s="12" t="n">
        <f aca="false">D636-E636-F636</f>
        <v>0.0250666666666667</v>
      </c>
      <c r="H636" s="5" t="n">
        <f aca="false">(1+G636)*H635</f>
        <v>15.2188120608312</v>
      </c>
      <c r="I636" s="5" t="n">
        <f aca="false">MAX(1,H$2:H636)</f>
        <v>23.8173271148404</v>
      </c>
      <c r="J636" s="12" t="n">
        <f aca="false">H636/I636-1</f>
        <v>-0.36101931222381</v>
      </c>
      <c r="K636" s="12" t="n">
        <f aca="false">Data!L636</f>
        <v>0.023</v>
      </c>
    </row>
    <row r="637" customFormat="false" ht="30" hidden="false" customHeight="true" outlineLevel="0" collapsed="false">
      <c r="A637" s="4" t="str">
        <f aca="false">Data!A637</f>
        <v>2015-12</v>
      </c>
      <c r="B637" s="13" t="n">
        <f aca="false">Data!K637</f>
        <v>-0.0119</v>
      </c>
      <c r="C637" s="13" t="n">
        <f aca="false">Data!B637</f>
        <v>-0.0424</v>
      </c>
      <c r="D637" s="13" t="n">
        <f aca="false">(B637-C637)*Inputs!B2</f>
        <v>0.01525</v>
      </c>
      <c r="E637" s="13" t="n">
        <f aca="false">4*Inputs!B2*Inputs!B4*Inputs!B3/10000</f>
        <v>0.001</v>
      </c>
      <c r="F637" s="13" t="n">
        <f aca="false">Inputs!B2*Inputs!B5/Inputs!B6</f>
        <v>0.000833333333333333</v>
      </c>
      <c r="G637" s="13" t="n">
        <f aca="false">D637-E637-F637</f>
        <v>0.0134166666666667</v>
      </c>
      <c r="H637" s="4" t="n">
        <f aca="false">(1+G637)*H636</f>
        <v>15.4229977893141</v>
      </c>
      <c r="I637" s="4" t="n">
        <f aca="false">MAX(1,H$2:H637)</f>
        <v>23.8173271148404</v>
      </c>
      <c r="J637" s="13" t="n">
        <f aca="false">H637/I637-1</f>
        <v>-0.352446321329479</v>
      </c>
      <c r="K637" s="13" t="n">
        <f aca="false">Data!L637</f>
        <v>0.0333</v>
      </c>
    </row>
    <row r="638" customFormat="false" ht="30" hidden="false" customHeight="true" outlineLevel="0" collapsed="false">
      <c r="A638" s="5" t="str">
        <f aca="false">Data!A638</f>
        <v>2016-01</v>
      </c>
      <c r="B638" s="12" t="n">
        <f aca="false">Data!K638</f>
        <v>-0.0622</v>
      </c>
      <c r="C638" s="12" t="n">
        <f aca="false">Data!B638</f>
        <v>-0.1356</v>
      </c>
      <c r="D638" s="12" t="n">
        <f aca="false">(B638-C638)*Inputs!B2</f>
        <v>0.0367</v>
      </c>
      <c r="E638" s="12" t="n">
        <f aca="false">4*Inputs!B2*Inputs!B4*Inputs!B3/10000</f>
        <v>0.001</v>
      </c>
      <c r="F638" s="12" t="n">
        <f aca="false">Inputs!B2*Inputs!B5/Inputs!B6</f>
        <v>0.000833333333333333</v>
      </c>
      <c r="G638" s="12" t="n">
        <f aca="false">D638-E638-F638</f>
        <v>0.0348666666666667</v>
      </c>
      <c r="H638" s="5" t="n">
        <f aca="false">(1+G638)*H637</f>
        <v>15.9607463122348</v>
      </c>
      <c r="I638" s="5" t="n">
        <f aca="false">MAX(1,H$2:H638)</f>
        <v>23.8173271148404</v>
      </c>
      <c r="J638" s="12" t="n">
        <f aca="false">H638/I638-1</f>
        <v>-0.3298682830665</v>
      </c>
      <c r="K638" s="12" t="n">
        <f aca="false">Data!L638</f>
        <v>0.0148</v>
      </c>
    </row>
    <row r="639" customFormat="false" ht="30" hidden="false" customHeight="true" outlineLevel="0" collapsed="false">
      <c r="A639" s="4" t="str">
        <f aca="false">Data!A639</f>
        <v>2016-02</v>
      </c>
      <c r="B639" s="13" t="n">
        <f aca="false">Data!K639</f>
        <v>-0.0329</v>
      </c>
      <c r="C639" s="13" t="n">
        <f aca="false">Data!B639</f>
        <v>0.0346</v>
      </c>
      <c r="D639" s="13" t="n">
        <f aca="false">(B639-C639)*Inputs!B2</f>
        <v>-0.03375</v>
      </c>
      <c r="E639" s="13" t="n">
        <f aca="false">4*Inputs!B2*Inputs!B4*Inputs!B3/10000</f>
        <v>0.001</v>
      </c>
      <c r="F639" s="13" t="n">
        <f aca="false">Inputs!B2*Inputs!B5/Inputs!B6</f>
        <v>0.000833333333333333</v>
      </c>
      <c r="G639" s="13" t="n">
        <f aca="false">D639-E639-F639</f>
        <v>-0.0355833333333333</v>
      </c>
      <c r="H639" s="4" t="n">
        <f aca="false">(1+G639)*H638</f>
        <v>15.3928097559578</v>
      </c>
      <c r="I639" s="4" t="n">
        <f aca="false">MAX(1,H$2:H639)</f>
        <v>23.8173271148404</v>
      </c>
      <c r="J639" s="13" t="n">
        <f aca="false">H639/I639-1</f>
        <v>-0.353713803327384</v>
      </c>
      <c r="K639" s="13" t="n">
        <f aca="false">Data!L639</f>
        <v>-0.0436</v>
      </c>
    </row>
    <row r="640" customFormat="false" ht="30" hidden="false" customHeight="true" outlineLevel="0" collapsed="false">
      <c r="A640" s="5" t="str">
        <f aca="false">Data!A640</f>
        <v>2016-03</v>
      </c>
      <c r="B640" s="12" t="n">
        <f aca="false">Data!K640</f>
        <v>0.0582</v>
      </c>
      <c r="C640" s="12" t="n">
        <f aca="false">Data!B640</f>
        <v>0.1121</v>
      </c>
      <c r="D640" s="12" t="n">
        <f aca="false">(B640-C640)*Inputs!B2</f>
        <v>-0.02695</v>
      </c>
      <c r="E640" s="12" t="n">
        <f aca="false">4*Inputs!B2*Inputs!B4*Inputs!B3/10000</f>
        <v>0.001</v>
      </c>
      <c r="F640" s="12" t="n">
        <f aca="false">Inputs!B2*Inputs!B5/Inputs!B6</f>
        <v>0.000833333333333333</v>
      </c>
      <c r="G640" s="12" t="n">
        <f aca="false">D640-E640-F640</f>
        <v>-0.0287833333333333</v>
      </c>
      <c r="H640" s="5" t="n">
        <f aca="false">(1+G640)*H639</f>
        <v>14.9497533818155</v>
      </c>
      <c r="I640" s="5" t="n">
        <f aca="false">MAX(1,H$2:H640)</f>
        <v>23.8173271148404</v>
      </c>
      <c r="J640" s="12" t="n">
        <f aca="false">H640/I640-1</f>
        <v>-0.372316074354944</v>
      </c>
      <c r="K640" s="12" t="n">
        <f aca="false">Data!L640</f>
        <v>-0.0504</v>
      </c>
    </row>
    <row r="641" customFormat="false" ht="30" hidden="false" customHeight="true" outlineLevel="0" collapsed="false">
      <c r="A641" s="4" t="str">
        <f aca="false">Data!A641</f>
        <v>2016-04</v>
      </c>
      <c r="B641" s="13" t="n">
        <f aca="false">Data!K641</f>
        <v>-0.0159</v>
      </c>
      <c r="C641" s="13" t="n">
        <f aca="false">Data!B641</f>
        <v>0.1794</v>
      </c>
      <c r="D641" s="13" t="n">
        <f aca="false">(B641-C641)*Inputs!B2</f>
        <v>-0.09765</v>
      </c>
      <c r="E641" s="13" t="n">
        <f aca="false">4*Inputs!B2*Inputs!B4*Inputs!B3/10000</f>
        <v>0.001</v>
      </c>
      <c r="F641" s="13" t="n">
        <f aca="false">Inputs!B2*Inputs!B5/Inputs!B6</f>
        <v>0.000833333333333333</v>
      </c>
      <c r="G641" s="13" t="n">
        <f aca="false">D641-E641-F641</f>
        <v>-0.0994833333333333</v>
      </c>
      <c r="H641" s="4" t="n">
        <f aca="false">(1+G641)*H640</f>
        <v>13.4625020828812</v>
      </c>
      <c r="I641" s="4" t="n">
        <f aca="false">MAX(1,H$2:H641)</f>
        <v>23.8173271148404</v>
      </c>
      <c r="J641" s="13" t="n">
        <f aca="false">H641/I641-1</f>
        <v>-0.434760163557867</v>
      </c>
      <c r="K641" s="13" t="n">
        <f aca="false">Data!L641</f>
        <v>-0.0599</v>
      </c>
    </row>
    <row r="642" customFormat="false" ht="30" hidden="false" customHeight="true" outlineLevel="0" collapsed="false">
      <c r="A642" s="5" t="str">
        <f aca="false">Data!A642</f>
        <v>2016-05</v>
      </c>
      <c r="B642" s="12" t="n">
        <f aca="false">Data!K642</f>
        <v>0.0348</v>
      </c>
      <c r="C642" s="12" t="n">
        <f aca="false">Data!B642</f>
        <v>-0.0182</v>
      </c>
      <c r="D642" s="12" t="n">
        <f aca="false">(B642-C642)*Inputs!B2</f>
        <v>0.0265</v>
      </c>
      <c r="E642" s="12" t="n">
        <f aca="false">4*Inputs!B2*Inputs!B4*Inputs!B3/10000</f>
        <v>0.001</v>
      </c>
      <c r="F642" s="12" t="n">
        <f aca="false">Inputs!B2*Inputs!B5/Inputs!B6</f>
        <v>0.000833333333333333</v>
      </c>
      <c r="G642" s="12" t="n">
        <f aca="false">D642-E642-F642</f>
        <v>0.0246666666666667</v>
      </c>
      <c r="H642" s="5" t="n">
        <f aca="false">(1+G642)*H641</f>
        <v>13.7945771342589</v>
      </c>
      <c r="I642" s="5" t="n">
        <f aca="false">MAX(1,H$2:H642)</f>
        <v>23.8173271148404</v>
      </c>
      <c r="J642" s="12" t="n">
        <f aca="false">H642/I642-1</f>
        <v>-0.420817580925627</v>
      </c>
      <c r="K642" s="12" t="n">
        <f aca="false">Data!L642</f>
        <v>0.0139</v>
      </c>
    </row>
    <row r="643" customFormat="false" ht="30" hidden="false" customHeight="true" outlineLevel="0" collapsed="false">
      <c r="A643" s="4" t="str">
        <f aca="false">Data!A643</f>
        <v>2016-06</v>
      </c>
      <c r="B643" s="13" t="n">
        <f aca="false">Data!K643</f>
        <v>0.0087</v>
      </c>
      <c r="C643" s="13" t="n">
        <f aca="false">Data!B643</f>
        <v>-0.0025</v>
      </c>
      <c r="D643" s="13" t="n">
        <f aca="false">(B643-C643)*Inputs!B2</f>
        <v>0.0056</v>
      </c>
      <c r="E643" s="13" t="n">
        <f aca="false">4*Inputs!B2*Inputs!B4*Inputs!B3/10000</f>
        <v>0.001</v>
      </c>
      <c r="F643" s="13" t="n">
        <f aca="false">Inputs!B2*Inputs!B5/Inputs!B6</f>
        <v>0.000833333333333333</v>
      </c>
      <c r="G643" s="13" t="n">
        <f aca="false">D643-E643-F643</f>
        <v>0.00376666666666667</v>
      </c>
      <c r="H643" s="4" t="n">
        <f aca="false">(1+G643)*H642</f>
        <v>13.8465367081313</v>
      </c>
      <c r="I643" s="4" t="n">
        <f aca="false">MAX(1,H$2:H643)</f>
        <v>23.8173271148404</v>
      </c>
      <c r="J643" s="13" t="n">
        <f aca="false">H643/I643-1</f>
        <v>-0.41863599381378</v>
      </c>
      <c r="K643" s="13" t="n">
        <f aca="false">Data!L643</f>
        <v>0.0414</v>
      </c>
    </row>
    <row r="644" customFormat="false" ht="30" hidden="false" customHeight="true" outlineLevel="0" collapsed="false">
      <c r="A644" s="5" t="str">
        <f aca="false">Data!A644</f>
        <v>2016-07</v>
      </c>
      <c r="B644" s="12" t="n">
        <f aca="false">Data!K644</f>
        <v>0.0422</v>
      </c>
      <c r="C644" s="12" t="n">
        <f aca="false">Data!B644</f>
        <v>0.0797</v>
      </c>
      <c r="D644" s="12" t="n">
        <f aca="false">(B644-C644)*Inputs!B2</f>
        <v>-0.01875</v>
      </c>
      <c r="E644" s="12" t="n">
        <f aca="false">4*Inputs!B2*Inputs!B4*Inputs!B3/10000</f>
        <v>0.001</v>
      </c>
      <c r="F644" s="12" t="n">
        <f aca="false">Inputs!B2*Inputs!B5/Inputs!B6</f>
        <v>0.000833333333333333</v>
      </c>
      <c r="G644" s="12" t="n">
        <f aca="false">D644-E644-F644</f>
        <v>-0.0205833333333333</v>
      </c>
      <c r="H644" s="5" t="n">
        <f aca="false">(1+G644)*H643</f>
        <v>13.5615288275556</v>
      </c>
      <c r="I644" s="5" t="n">
        <f aca="false">MAX(1,H$2:H644)</f>
        <v>23.8173271148404</v>
      </c>
      <c r="J644" s="12" t="n">
        <f aca="false">H644/I644-1</f>
        <v>-0.430602402941113</v>
      </c>
      <c r="K644" s="12" t="n">
        <f aca="false">Data!L644</f>
        <v>-0.0338</v>
      </c>
    </row>
    <row r="645" customFormat="false" ht="30" hidden="false" customHeight="true" outlineLevel="0" collapsed="false">
      <c r="A645" s="4" t="str">
        <f aca="false">Data!A645</f>
        <v>2016-08</v>
      </c>
      <c r="B645" s="13" t="n">
        <f aca="false">Data!K645</f>
        <v>-0.0103</v>
      </c>
      <c r="C645" s="13" t="n">
        <f aca="false">Data!B645</f>
        <v>0.0499</v>
      </c>
      <c r="D645" s="13" t="n">
        <f aca="false">(B645-C645)*Inputs!B2</f>
        <v>-0.0301</v>
      </c>
      <c r="E645" s="13" t="n">
        <f aca="false">4*Inputs!B2*Inputs!B4*Inputs!B3/10000</f>
        <v>0.001</v>
      </c>
      <c r="F645" s="13" t="n">
        <f aca="false">Inputs!B2*Inputs!B5/Inputs!B6</f>
        <v>0.000833333333333333</v>
      </c>
      <c r="G645" s="13" t="n">
        <f aca="false">D645-E645-F645</f>
        <v>-0.0319333333333333</v>
      </c>
      <c r="H645" s="4" t="n">
        <f aca="false">(1+G645)*H644</f>
        <v>13.1284640069957</v>
      </c>
      <c r="I645" s="4" t="n">
        <f aca="false">MAX(1,H$2:H645)</f>
        <v>23.8173271148404</v>
      </c>
      <c r="J645" s="13" t="n">
        <f aca="false">H645/I645-1</f>
        <v>-0.448785166207194</v>
      </c>
      <c r="K645" s="13" t="n">
        <f aca="false">Data!L645</f>
        <v>-0.0346</v>
      </c>
    </row>
    <row r="646" customFormat="false" ht="30" hidden="false" customHeight="true" outlineLevel="0" collapsed="false">
      <c r="A646" s="5" t="str">
        <f aca="false">Data!A646</f>
        <v>2016-09</v>
      </c>
      <c r="B646" s="12" t="n">
        <f aca="false">Data!K646</f>
        <v>0.0309</v>
      </c>
      <c r="C646" s="12" t="n">
        <f aca="false">Data!B646</f>
        <v>0.0482</v>
      </c>
      <c r="D646" s="12" t="n">
        <f aca="false">(B646-C646)*Inputs!B2</f>
        <v>-0.00865</v>
      </c>
      <c r="E646" s="12" t="n">
        <f aca="false">4*Inputs!B2*Inputs!B4*Inputs!B3/10000</f>
        <v>0.001</v>
      </c>
      <c r="F646" s="12" t="n">
        <f aca="false">Inputs!B2*Inputs!B5/Inputs!B6</f>
        <v>0.000833333333333333</v>
      </c>
      <c r="G646" s="12" t="n">
        <f aca="false">D646-E646-F646</f>
        <v>-0.0104833333333333</v>
      </c>
      <c r="H646" s="5" t="n">
        <f aca="false">(1+G646)*H645</f>
        <v>12.9908339426557</v>
      </c>
      <c r="I646" s="5" t="n">
        <f aca="false">MAX(1,H$2:H646)</f>
        <v>23.8173271148404</v>
      </c>
      <c r="J646" s="12" t="n">
        <f aca="false">H646/I646-1</f>
        <v>-0.454563735048122</v>
      </c>
      <c r="K646" s="12" t="n">
        <f aca="false">Data!L646</f>
        <v>0.0023</v>
      </c>
    </row>
    <row r="647" customFormat="false" ht="30" hidden="false" customHeight="true" outlineLevel="0" collapsed="false">
      <c r="A647" s="4" t="str">
        <f aca="false">Data!A647</f>
        <v>2016-10</v>
      </c>
      <c r="B647" s="13" t="n">
        <f aca="false">Data!K647</f>
        <v>-0.0524</v>
      </c>
      <c r="C647" s="13" t="n">
        <f aca="false">Data!B647</f>
        <v>-0.0909</v>
      </c>
      <c r="D647" s="13" t="n">
        <f aca="false">(B647-C647)*Inputs!B2</f>
        <v>0.01925</v>
      </c>
      <c r="E647" s="13" t="n">
        <f aca="false">4*Inputs!B2*Inputs!B4*Inputs!B3/10000</f>
        <v>0.001</v>
      </c>
      <c r="F647" s="13" t="n">
        <f aca="false">Inputs!B2*Inputs!B5/Inputs!B6</f>
        <v>0.000833333333333333</v>
      </c>
      <c r="G647" s="13" t="n">
        <f aca="false">D647-E647-F647</f>
        <v>0.0174166666666667</v>
      </c>
      <c r="H647" s="4" t="n">
        <f aca="false">(1+G647)*H646</f>
        <v>13.2170909671569</v>
      </c>
      <c r="I647" s="4" t="n">
        <f aca="false">MAX(1,H$2:H647)</f>
        <v>23.8173271148404</v>
      </c>
      <c r="J647" s="13" t="n">
        <f aca="false">H647/I647-1</f>
        <v>-0.445064053433543</v>
      </c>
      <c r="K647" s="13" t="n">
        <f aca="false">Data!L647</f>
        <v>0.0062</v>
      </c>
    </row>
    <row r="648" customFormat="false" ht="30" hidden="false" customHeight="true" outlineLevel="0" collapsed="false">
      <c r="A648" s="5" t="str">
        <f aca="false">Data!A648</f>
        <v>2016-11</v>
      </c>
      <c r="B648" s="12" t="n">
        <f aca="false">Data!K648</f>
        <v>0.0749</v>
      </c>
      <c r="C648" s="12" t="n">
        <f aca="false">Data!B648</f>
        <v>0.0867</v>
      </c>
      <c r="D648" s="12" t="n">
        <f aca="false">(B648-C648)*Inputs!B2</f>
        <v>-0.0059</v>
      </c>
      <c r="E648" s="12" t="n">
        <f aca="false">4*Inputs!B2*Inputs!B4*Inputs!B3/10000</f>
        <v>0.001</v>
      </c>
      <c r="F648" s="12" t="n">
        <f aca="false">Inputs!B2*Inputs!B5/Inputs!B6</f>
        <v>0.000833333333333333</v>
      </c>
      <c r="G648" s="12" t="n">
        <f aca="false">D648-E648-F648</f>
        <v>-0.00773333333333333</v>
      </c>
      <c r="H648" s="5" t="n">
        <f aca="false">(1+G648)*H647</f>
        <v>13.1148787970109</v>
      </c>
      <c r="I648" s="5" t="n">
        <f aca="false">MAX(1,H$2:H648)</f>
        <v>23.8173271148404</v>
      </c>
      <c r="J648" s="12" t="n">
        <f aca="false">H648/I648-1</f>
        <v>-0.44935555808699</v>
      </c>
      <c r="K648" s="12" t="n">
        <f aca="false">Data!L648</f>
        <v>-0.0474</v>
      </c>
    </row>
    <row r="649" customFormat="false" ht="30" hidden="false" customHeight="true" outlineLevel="0" collapsed="false">
      <c r="A649" s="4" t="str">
        <f aca="false">Data!A649</f>
        <v>2016-12</v>
      </c>
      <c r="B649" s="13" t="n">
        <f aca="false">Data!K649</f>
        <v>-0.0044</v>
      </c>
      <c r="C649" s="13" t="n">
        <f aca="false">Data!B649</f>
        <v>0</v>
      </c>
      <c r="D649" s="13" t="n">
        <f aca="false">(B649-C649)*Inputs!B2</f>
        <v>-0.0022</v>
      </c>
      <c r="E649" s="13" t="n">
        <f aca="false">4*Inputs!B2*Inputs!B4*Inputs!B3/10000</f>
        <v>0.001</v>
      </c>
      <c r="F649" s="13" t="n">
        <f aca="false">Inputs!B2*Inputs!B5/Inputs!B6</f>
        <v>0.000833333333333333</v>
      </c>
      <c r="G649" s="13" t="n">
        <f aca="false">D649-E649-F649</f>
        <v>-0.00403333333333333</v>
      </c>
      <c r="H649" s="4" t="n">
        <f aca="false">(1+G649)*H648</f>
        <v>13.0619821191963</v>
      </c>
      <c r="I649" s="4" t="n">
        <f aca="false">MAX(1,H$2:H649)</f>
        <v>23.8173271148404</v>
      </c>
      <c r="J649" s="13" t="n">
        <f aca="false">H649/I649-1</f>
        <v>-0.451576490669373</v>
      </c>
      <c r="K649" s="13" t="n">
        <f aca="false">Data!L649</f>
        <v>-0.0026</v>
      </c>
    </row>
    <row r="650" customFormat="false" ht="30" hidden="false" customHeight="true" outlineLevel="0" collapsed="false">
      <c r="A650" s="5" t="str">
        <f aca="false">Data!A650</f>
        <v>2017-01</v>
      </c>
      <c r="B650" s="12" t="n">
        <f aca="false">Data!K650</f>
        <v>0.0367</v>
      </c>
      <c r="C650" s="12" t="n">
        <f aca="false">Data!B650</f>
        <v>0.0362</v>
      </c>
      <c r="D650" s="12" t="n">
        <f aca="false">(B650-C650)*Inputs!B2</f>
        <v>0.00025</v>
      </c>
      <c r="E650" s="12" t="n">
        <f aca="false">4*Inputs!B2*Inputs!B4*Inputs!B3/10000</f>
        <v>0.001</v>
      </c>
      <c r="F650" s="12" t="n">
        <f aca="false">Inputs!B2*Inputs!B5/Inputs!B6</f>
        <v>0.000833333333333333</v>
      </c>
      <c r="G650" s="12" t="n">
        <f aca="false">D650-E650-F650</f>
        <v>-0.00158333333333333</v>
      </c>
      <c r="H650" s="5" t="n">
        <f aca="false">(1+G650)*H649</f>
        <v>13.0413006475076</v>
      </c>
      <c r="I650" s="5" t="n">
        <f aca="false">MAX(1,H$2:H650)</f>
        <v>23.8173271148404</v>
      </c>
      <c r="J650" s="12" t="n">
        <f aca="false">H650/I650-1</f>
        <v>-0.45244482789248</v>
      </c>
      <c r="K650" s="12" t="n">
        <f aca="false">Data!L650</f>
        <v>-0.0092</v>
      </c>
    </row>
    <row r="651" customFormat="false" ht="30" hidden="false" customHeight="true" outlineLevel="0" collapsed="false">
      <c r="A651" s="4" t="str">
        <f aca="false">Data!A651</f>
        <v>2017-02</v>
      </c>
      <c r="B651" s="13" t="n">
        <f aca="false">Data!K651</f>
        <v>0.0001</v>
      </c>
      <c r="C651" s="13" t="n">
        <f aca="false">Data!B651</f>
        <v>0.0257</v>
      </c>
      <c r="D651" s="13" t="n">
        <f aca="false">(B651-C651)*Inputs!B2</f>
        <v>-0.0128</v>
      </c>
      <c r="E651" s="13" t="n">
        <f aca="false">4*Inputs!B2*Inputs!B4*Inputs!B3/10000</f>
        <v>0.001</v>
      </c>
      <c r="F651" s="13" t="n">
        <f aca="false">Inputs!B2*Inputs!B5/Inputs!B6</f>
        <v>0.000833333333333333</v>
      </c>
      <c r="G651" s="13" t="n">
        <f aca="false">D651-E651-F651</f>
        <v>-0.0146333333333333</v>
      </c>
      <c r="H651" s="4" t="n">
        <f aca="false">(1+G651)*H650</f>
        <v>12.8504629480324</v>
      </c>
      <c r="I651" s="4" t="n">
        <f aca="false">MAX(1,H$2:H651)</f>
        <v>23.8173271148404</v>
      </c>
      <c r="J651" s="13" t="n">
        <f aca="false">H651/I651-1</f>
        <v>-0.46045738524432</v>
      </c>
      <c r="K651" s="13" t="n">
        <f aca="false">Data!L651</f>
        <v>-0.0153</v>
      </c>
    </row>
    <row r="652" customFormat="false" ht="30" hidden="false" customHeight="true" outlineLevel="0" collapsed="false">
      <c r="A652" s="5" t="str">
        <f aca="false">Data!A652</f>
        <v>2017-03</v>
      </c>
      <c r="B652" s="12" t="n">
        <f aca="false">Data!K652</f>
        <v>0.0043</v>
      </c>
      <c r="C652" s="12" t="n">
        <f aca="false">Data!B652</f>
        <v>-0.0184</v>
      </c>
      <c r="D652" s="12" t="n">
        <f aca="false">(B652-C652)*Inputs!B2</f>
        <v>0.01135</v>
      </c>
      <c r="E652" s="12" t="n">
        <f aca="false">4*Inputs!B2*Inputs!B4*Inputs!B3/10000</f>
        <v>0.001</v>
      </c>
      <c r="F652" s="12" t="n">
        <f aca="false">Inputs!B2*Inputs!B5/Inputs!B6</f>
        <v>0.000833333333333333</v>
      </c>
      <c r="G652" s="12" t="n">
        <f aca="false">D652-E652-F652</f>
        <v>0.00951666666666667</v>
      </c>
      <c r="H652" s="5" t="n">
        <f aca="false">(1+G652)*H651</f>
        <v>12.9727565204211</v>
      </c>
      <c r="I652" s="5" t="n">
        <f aca="false">MAX(1,H$2:H652)</f>
        <v>23.8173271148404</v>
      </c>
      <c r="J652" s="12" t="n">
        <f aca="false">H652/I652-1</f>
        <v>-0.455322738027228</v>
      </c>
      <c r="K652" s="12" t="n">
        <f aca="false">Data!L652</f>
        <v>-0.0096</v>
      </c>
    </row>
    <row r="653" customFormat="false" ht="30" hidden="false" customHeight="true" outlineLevel="0" collapsed="false">
      <c r="A653" s="4" t="str">
        <f aca="false">Data!A653</f>
        <v>2017-04</v>
      </c>
      <c r="B653" s="13" t="n">
        <f aca="false">Data!K653</f>
        <v>0.0023</v>
      </c>
      <c r="C653" s="13" t="n">
        <f aca="false">Data!B653</f>
        <v>0.0142</v>
      </c>
      <c r="D653" s="13" t="n">
        <f aca="false">(B653-C653)*Inputs!B2</f>
        <v>-0.00595</v>
      </c>
      <c r="E653" s="13" t="n">
        <f aca="false">4*Inputs!B2*Inputs!B4*Inputs!B3/10000</f>
        <v>0.001</v>
      </c>
      <c r="F653" s="13" t="n">
        <f aca="false">Inputs!B2*Inputs!B5/Inputs!B6</f>
        <v>0.000833333333333333</v>
      </c>
      <c r="G653" s="13" t="n">
        <f aca="false">D653-E653-F653</f>
        <v>-0.00778333333333333</v>
      </c>
      <c r="H653" s="4" t="n">
        <f aca="false">(1+G653)*H652</f>
        <v>12.8717852321705</v>
      </c>
      <c r="I653" s="4" t="n">
        <f aca="false">MAX(1,H$2:H653)</f>
        <v>23.8173271148404</v>
      </c>
      <c r="J653" s="13" t="n">
        <f aca="false">H653/I653-1</f>
        <v>-0.45956214271625</v>
      </c>
      <c r="K653" s="13" t="n">
        <f aca="false">Data!L653</f>
        <v>0.0051</v>
      </c>
    </row>
    <row r="654" customFormat="false" ht="30" hidden="false" customHeight="true" outlineLevel="0" collapsed="false">
      <c r="A654" s="5" t="str">
        <f aca="false">Data!A654</f>
        <v>2017-05</v>
      </c>
      <c r="B654" s="12" t="n">
        <f aca="false">Data!K654</f>
        <v>0.035</v>
      </c>
      <c r="C654" s="12" t="n">
        <f aca="false">Data!B654</f>
        <v>-0.0442</v>
      </c>
      <c r="D654" s="12" t="n">
        <f aca="false">(B654-C654)*Inputs!B2</f>
        <v>0.0396</v>
      </c>
      <c r="E654" s="12" t="n">
        <f aca="false">4*Inputs!B2*Inputs!B4*Inputs!B3/10000</f>
        <v>0.001</v>
      </c>
      <c r="F654" s="12" t="n">
        <f aca="false">Inputs!B2*Inputs!B5/Inputs!B6</f>
        <v>0.000833333333333333</v>
      </c>
      <c r="G654" s="12" t="n">
        <f aca="false">D654-E654-F654</f>
        <v>0.0377666666666667</v>
      </c>
      <c r="H654" s="5" t="n">
        <f aca="false">(1+G654)*H653</f>
        <v>13.3579096544388</v>
      </c>
      <c r="I654" s="5" t="n">
        <f aca="false">MAX(1,H$2:H654)</f>
        <v>23.8173271148404</v>
      </c>
      <c r="J654" s="12" t="n">
        <f aca="false">H654/I654-1</f>
        <v>-0.439151606306167</v>
      </c>
      <c r="K654" s="12" t="n">
        <f aca="false">Data!L654</f>
        <v>0.0149</v>
      </c>
    </row>
    <row r="655" customFormat="false" ht="30" hidden="false" customHeight="true" outlineLevel="0" collapsed="false">
      <c r="A655" s="4" t="str">
        <f aca="false">Data!A655</f>
        <v>2017-06</v>
      </c>
      <c r="B655" s="13" t="n">
        <f aca="false">Data!K655</f>
        <v>0.0094</v>
      </c>
      <c r="C655" s="13" t="n">
        <f aca="false">Data!B655</f>
        <v>0.0478</v>
      </c>
      <c r="D655" s="13" t="n">
        <f aca="false">(B655-C655)*Inputs!B2</f>
        <v>-0.0192</v>
      </c>
      <c r="E655" s="13" t="n">
        <f aca="false">4*Inputs!B2*Inputs!B4*Inputs!B3/10000</f>
        <v>0.001</v>
      </c>
      <c r="F655" s="13" t="n">
        <f aca="false">Inputs!B2*Inputs!B5/Inputs!B6</f>
        <v>0.000833333333333333</v>
      </c>
      <c r="G655" s="13" t="n">
        <f aca="false">D655-E655-F655</f>
        <v>-0.0210333333333333</v>
      </c>
      <c r="H655" s="4" t="n">
        <f aca="false">(1+G655)*H654</f>
        <v>13.0769482880405</v>
      </c>
      <c r="I655" s="4" t="n">
        <f aca="false">MAX(1,H$2:H655)</f>
        <v>23.8173271148404</v>
      </c>
      <c r="J655" s="13" t="n">
        <f aca="false">H655/I655-1</f>
        <v>-0.450948117520194</v>
      </c>
      <c r="K655" s="13" t="n">
        <f aca="false">Data!L655</f>
        <v>-0.0011</v>
      </c>
    </row>
    <row r="656" customFormat="false" ht="30" hidden="false" customHeight="true" outlineLevel="0" collapsed="false">
      <c r="A656" s="5" t="str">
        <f aca="false">Data!A656</f>
        <v>2017-07</v>
      </c>
      <c r="B656" s="12" t="n">
        <f aca="false">Data!K656</f>
        <v>0.0299</v>
      </c>
      <c r="C656" s="12" t="n">
        <f aca="false">Data!B656</f>
        <v>0.0093</v>
      </c>
      <c r="D656" s="12" t="n">
        <f aca="false">(B656-C656)*Inputs!B2</f>
        <v>0.0103</v>
      </c>
      <c r="E656" s="12" t="n">
        <f aca="false">4*Inputs!B2*Inputs!B4*Inputs!B3/10000</f>
        <v>0.001</v>
      </c>
      <c r="F656" s="12" t="n">
        <f aca="false">Inputs!B2*Inputs!B5/Inputs!B6</f>
        <v>0.000833333333333333</v>
      </c>
      <c r="G656" s="12" t="n">
        <f aca="false">D656-E656-F656</f>
        <v>0.00846666666666667</v>
      </c>
      <c r="H656" s="5" t="n">
        <f aca="false">(1+G656)*H655</f>
        <v>13.1876664502125</v>
      </c>
      <c r="I656" s="5" t="n">
        <f aca="false">MAX(1,H$2:H656)</f>
        <v>23.8173271148404</v>
      </c>
      <c r="J656" s="12" t="n">
        <f aca="false">H656/I656-1</f>
        <v>-0.446299478248531</v>
      </c>
      <c r="K656" s="12" t="n">
        <f aca="false">Data!L656</f>
        <v>0.0164</v>
      </c>
    </row>
    <row r="657" customFormat="false" ht="30" hidden="false" customHeight="true" outlineLevel="0" collapsed="false">
      <c r="A657" s="4" t="str">
        <f aca="false">Data!A657</f>
        <v>2017-08</v>
      </c>
      <c r="B657" s="13" t="n">
        <f aca="false">Data!K657</f>
        <v>0.0016</v>
      </c>
      <c r="C657" s="13" t="n">
        <f aca="false">Data!B657</f>
        <v>-0.0308</v>
      </c>
      <c r="D657" s="13" t="n">
        <f aca="false">(B657-C657)*Inputs!B2</f>
        <v>0.0162</v>
      </c>
      <c r="E657" s="13" t="n">
        <f aca="false">4*Inputs!B2*Inputs!B4*Inputs!B3/10000</f>
        <v>0.001</v>
      </c>
      <c r="F657" s="13" t="n">
        <f aca="false">Inputs!B2*Inputs!B5/Inputs!B6</f>
        <v>0.000833333333333333</v>
      </c>
      <c r="G657" s="13" t="n">
        <f aca="false">D657-E657-F657</f>
        <v>0.0143666666666667</v>
      </c>
      <c r="H657" s="4" t="n">
        <f aca="false">(1+G657)*H656</f>
        <v>13.3771292582139</v>
      </c>
      <c r="I657" s="4" t="n">
        <f aca="false">MAX(1,H$2:H657)</f>
        <v>23.8173271148404</v>
      </c>
      <c r="J657" s="13" t="n">
        <f aca="false">H657/I657-1</f>
        <v>-0.438344647419369</v>
      </c>
      <c r="K657" s="13" t="n">
        <f aca="false">Data!L657</f>
        <v>0.0336</v>
      </c>
    </row>
    <row r="658" customFormat="false" ht="30" hidden="false" customHeight="true" outlineLevel="0" collapsed="false">
      <c r="A658" s="5" t="str">
        <f aca="false">Data!A658</f>
        <v>2017-09</v>
      </c>
      <c r="B658" s="12" t="n">
        <f aca="false">Data!K658</f>
        <v>0.0422</v>
      </c>
      <c r="C658" s="12" t="n">
        <f aca="false">Data!B658</f>
        <v>0.0703</v>
      </c>
      <c r="D658" s="12" t="n">
        <f aca="false">(B658-C658)*Inputs!B2</f>
        <v>-0.01405</v>
      </c>
      <c r="E658" s="12" t="n">
        <f aca="false">4*Inputs!B2*Inputs!B4*Inputs!B3/10000</f>
        <v>0.001</v>
      </c>
      <c r="F658" s="12" t="n">
        <f aca="false">Inputs!B2*Inputs!B5/Inputs!B6</f>
        <v>0.000833333333333333</v>
      </c>
      <c r="G658" s="12" t="n">
        <f aca="false">D658-E658-F658</f>
        <v>-0.0158833333333333</v>
      </c>
      <c r="H658" s="5" t="n">
        <f aca="false">(1+G658)*H657</f>
        <v>13.1646558551626</v>
      </c>
      <c r="I658" s="5" t="n">
        <f aca="false">MAX(1,H$2:H658)</f>
        <v>23.8173271148404</v>
      </c>
      <c r="J658" s="12" t="n">
        <f aca="false">H658/I658-1</f>
        <v>-0.447265606602858</v>
      </c>
      <c r="K658" s="12" t="n">
        <f aca="false">Data!L658</f>
        <v>-0.0134</v>
      </c>
    </row>
    <row r="659" customFormat="false" ht="30" hidden="false" customHeight="true" outlineLevel="0" collapsed="false">
      <c r="A659" s="4" t="str">
        <f aca="false">Data!A659</f>
        <v>2017-10</v>
      </c>
      <c r="B659" s="13" t="n">
        <f aca="false">Data!K659</f>
        <v>0.0562</v>
      </c>
      <c r="C659" s="13" t="n">
        <f aca="false">Data!B659</f>
        <v>-0.0295</v>
      </c>
      <c r="D659" s="13" t="n">
        <f aca="false">(B659-C659)*Inputs!B2</f>
        <v>0.04285</v>
      </c>
      <c r="E659" s="13" t="n">
        <f aca="false">4*Inputs!B2*Inputs!B4*Inputs!B3/10000</f>
        <v>0.001</v>
      </c>
      <c r="F659" s="13" t="n">
        <f aca="false">Inputs!B2*Inputs!B5/Inputs!B6</f>
        <v>0.000833333333333333</v>
      </c>
      <c r="G659" s="13" t="n">
        <f aca="false">D659-E659-F659</f>
        <v>0.0410166666666667</v>
      </c>
      <c r="H659" s="4" t="n">
        <f aca="false">(1+G659)*H658</f>
        <v>13.7046261561552</v>
      </c>
      <c r="I659" s="4" t="n">
        <f aca="false">MAX(1,H$2:H659)</f>
        <v>23.8173271148404</v>
      </c>
      <c r="J659" s="13" t="n">
        <f aca="false">H659/I659-1</f>
        <v>-0.424594284233685</v>
      </c>
      <c r="K659" s="13" t="n">
        <f aca="false">Data!L659</f>
        <v>0.0424</v>
      </c>
    </row>
    <row r="660" customFormat="false" ht="30" hidden="false" customHeight="true" outlineLevel="0" collapsed="false">
      <c r="A660" s="5" t="str">
        <f aca="false">Data!A660</f>
        <v>2017-11</v>
      </c>
      <c r="B660" s="12" t="n">
        <f aca="false">Data!K660</f>
        <v>0.0299</v>
      </c>
      <c r="C660" s="12" t="n">
        <f aca="false">Data!B660</f>
        <v>0.1104</v>
      </c>
      <c r="D660" s="12" t="n">
        <f aca="false">(B660-C660)*Inputs!B2</f>
        <v>-0.04025</v>
      </c>
      <c r="E660" s="12" t="n">
        <f aca="false">4*Inputs!B2*Inputs!B4*Inputs!B3/10000</f>
        <v>0.001</v>
      </c>
      <c r="F660" s="12" t="n">
        <f aca="false">Inputs!B2*Inputs!B5/Inputs!B6</f>
        <v>0.000833333333333333</v>
      </c>
      <c r="G660" s="12" t="n">
        <f aca="false">D660-E660-F660</f>
        <v>-0.0420833333333333</v>
      </c>
      <c r="H660" s="5" t="n">
        <f aca="false">(1+G660)*H659</f>
        <v>13.127889805417</v>
      </c>
      <c r="I660" s="5" t="n">
        <f aca="false">MAX(1,H$2:H660)</f>
        <v>23.8173271148404</v>
      </c>
      <c r="J660" s="12" t="n">
        <f aca="false">H660/I660-1</f>
        <v>-0.448809274772184</v>
      </c>
      <c r="K660" s="12" t="n">
        <f aca="false">Data!L660</f>
        <v>-0.0091</v>
      </c>
    </row>
    <row r="661" customFormat="false" ht="30" hidden="false" customHeight="true" outlineLevel="0" collapsed="false">
      <c r="A661" s="4" t="str">
        <f aca="false">Data!A661</f>
        <v>2017-12</v>
      </c>
      <c r="B661" s="13" t="n">
        <f aca="false">Data!K661</f>
        <v>-0.006</v>
      </c>
      <c r="C661" s="13" t="n">
        <f aca="false">Data!B661</f>
        <v>0.011</v>
      </c>
      <c r="D661" s="13" t="n">
        <f aca="false">(B661-C661)*Inputs!B2</f>
        <v>-0.0085</v>
      </c>
      <c r="E661" s="13" t="n">
        <f aca="false">4*Inputs!B2*Inputs!B4*Inputs!B3/10000</f>
        <v>0.001</v>
      </c>
      <c r="F661" s="13" t="n">
        <f aca="false">Inputs!B2*Inputs!B5/Inputs!B6</f>
        <v>0.000833333333333333</v>
      </c>
      <c r="G661" s="13" t="n">
        <f aca="false">D661-E661-F661</f>
        <v>-0.0103333333333333</v>
      </c>
      <c r="H661" s="4" t="n">
        <f aca="false">(1+G661)*H660</f>
        <v>12.9922349440944</v>
      </c>
      <c r="I661" s="4" t="n">
        <f aca="false">MAX(1,H$2:H661)</f>
        <v>23.8173271148404</v>
      </c>
      <c r="J661" s="13" t="n">
        <f aca="false">H661/I661-1</f>
        <v>-0.454504912266205</v>
      </c>
      <c r="K661" s="13" t="n">
        <f aca="false">Data!L661</f>
        <v>-0.0157</v>
      </c>
    </row>
    <row r="662" customFormat="false" ht="30" hidden="false" customHeight="true" outlineLevel="0" collapsed="false">
      <c r="A662" s="5" t="str">
        <f aca="false">Data!A662</f>
        <v>2018-01</v>
      </c>
      <c r="B662" s="12" t="n">
        <f aca="false">Data!K662</f>
        <v>0.1184</v>
      </c>
      <c r="C662" s="12" t="n">
        <f aca="false">Data!B662</f>
        <v>-0.0113</v>
      </c>
      <c r="D662" s="12" t="n">
        <f aca="false">(B662-C662)*Inputs!B2</f>
        <v>0.06485</v>
      </c>
      <c r="E662" s="12" t="n">
        <f aca="false">4*Inputs!B2*Inputs!B4*Inputs!B3/10000</f>
        <v>0.001</v>
      </c>
      <c r="F662" s="12" t="n">
        <f aca="false">Inputs!B2*Inputs!B5/Inputs!B6</f>
        <v>0.000833333333333333</v>
      </c>
      <c r="G662" s="12" t="n">
        <f aca="false">D662-E662-F662</f>
        <v>0.0630166666666667</v>
      </c>
      <c r="H662" s="5" t="n">
        <f aca="false">(1+G662)*H661</f>
        <v>13.8109622828214</v>
      </c>
      <c r="I662" s="5" t="n">
        <f aca="false">MAX(1,H$2:H662)</f>
        <v>23.8173271148404</v>
      </c>
      <c r="J662" s="12" t="n">
        <f aca="false">H662/I662-1</f>
        <v>-0.42012963015418</v>
      </c>
      <c r="K662" s="12" t="n">
        <f aca="false">Data!L662</f>
        <v>0.0406</v>
      </c>
    </row>
    <row r="663" customFormat="false" ht="30" hidden="false" customHeight="true" outlineLevel="0" collapsed="false">
      <c r="A663" s="4" t="str">
        <f aca="false">Data!A663</f>
        <v>2018-02</v>
      </c>
      <c r="B663" s="13" t="n">
        <f aca="false">Data!K663</f>
        <v>-0.0304</v>
      </c>
      <c r="C663" s="13" t="n">
        <f aca="false">Data!B663</f>
        <v>-0.0732</v>
      </c>
      <c r="D663" s="13" t="n">
        <f aca="false">(B663-C663)*Inputs!B2</f>
        <v>0.0214</v>
      </c>
      <c r="E663" s="13" t="n">
        <f aca="false">4*Inputs!B2*Inputs!B4*Inputs!B3/10000</f>
        <v>0.001</v>
      </c>
      <c r="F663" s="13" t="n">
        <f aca="false">Inputs!B2*Inputs!B5/Inputs!B6</f>
        <v>0.000833333333333333</v>
      </c>
      <c r="G663" s="13" t="n">
        <f aca="false">D663-E663-F663</f>
        <v>0.0195666666666667</v>
      </c>
      <c r="H663" s="4" t="n">
        <f aca="false">(1+G663)*H662</f>
        <v>14.0811967781553</v>
      </c>
      <c r="I663" s="4" t="n">
        <f aca="false">MAX(1,H$2:H663)</f>
        <v>23.8173271148404</v>
      </c>
      <c r="J663" s="13" t="n">
        <f aca="false">H663/I663-1</f>
        <v>-0.40878349991753</v>
      </c>
      <c r="K663" s="13" t="n">
        <f aca="false">Data!L663</f>
        <v>0.036</v>
      </c>
    </row>
    <row r="664" customFormat="false" ht="30" hidden="false" customHeight="true" outlineLevel="0" collapsed="false">
      <c r="A664" s="5" t="str">
        <f aca="false">Data!A664</f>
        <v>2018-03</v>
      </c>
      <c r="B664" s="12" t="n">
        <f aca="false">Data!K664</f>
        <v>-0.0316</v>
      </c>
      <c r="C664" s="12" t="n">
        <f aca="false">Data!B664</f>
        <v>-0.006</v>
      </c>
      <c r="D664" s="12" t="n">
        <f aca="false">(B664-C664)*Inputs!B2</f>
        <v>-0.0128</v>
      </c>
      <c r="E664" s="12" t="n">
        <f aca="false">4*Inputs!B2*Inputs!B4*Inputs!B3/10000</f>
        <v>0.001</v>
      </c>
      <c r="F664" s="12" t="n">
        <f aca="false">Inputs!B2*Inputs!B5/Inputs!B6</f>
        <v>0.000833333333333333</v>
      </c>
      <c r="G664" s="12" t="n">
        <f aca="false">D664-E664-F664</f>
        <v>-0.0146333333333333</v>
      </c>
      <c r="H664" s="5" t="n">
        <f aca="false">(1+G664)*H663</f>
        <v>13.8751419319683</v>
      </c>
      <c r="I664" s="5" t="n">
        <f aca="false">MAX(1,H$2:H664)</f>
        <v>23.8173271148404</v>
      </c>
      <c r="J664" s="12" t="n">
        <f aca="false">H664/I664-1</f>
        <v>-0.417434968035404</v>
      </c>
      <c r="K664" s="12" t="n">
        <f aca="false">Data!L664</f>
        <v>-0.0121</v>
      </c>
    </row>
    <row r="665" customFormat="false" ht="30" hidden="false" customHeight="true" outlineLevel="0" collapsed="false">
      <c r="A665" s="4" t="str">
        <f aca="false">Data!A665</f>
        <v>2018-04</v>
      </c>
      <c r="B665" s="13" t="n">
        <f aca="false">Data!K665</f>
        <v>0.0139</v>
      </c>
      <c r="C665" s="13" t="n">
        <f aca="false">Data!B665</f>
        <v>0.0292</v>
      </c>
      <c r="D665" s="13" t="n">
        <f aca="false">(B665-C665)*Inputs!B2</f>
        <v>-0.00765</v>
      </c>
      <c r="E665" s="13" t="n">
        <f aca="false">4*Inputs!B2*Inputs!B4*Inputs!B3/10000</f>
        <v>0.001</v>
      </c>
      <c r="F665" s="13" t="n">
        <f aca="false">Inputs!B2*Inputs!B5/Inputs!B6</f>
        <v>0.000833333333333333</v>
      </c>
      <c r="G665" s="13" t="n">
        <f aca="false">D665-E665-F665</f>
        <v>-0.00948333333333334</v>
      </c>
      <c r="H665" s="4" t="n">
        <f aca="false">(1+G665)*H664</f>
        <v>13.7435593359801</v>
      </c>
      <c r="I665" s="4" t="n">
        <f aca="false">MAX(1,H$2:H665)</f>
        <v>23.8173271148404</v>
      </c>
      <c r="J665" s="13" t="n">
        <f aca="false">H665/I665-1</f>
        <v>-0.422959626421868</v>
      </c>
      <c r="K665" s="13" t="n">
        <f aca="false">Data!L665</f>
        <v>0.0045</v>
      </c>
    </row>
    <row r="666" customFormat="false" ht="30" hidden="false" customHeight="true" outlineLevel="0" collapsed="false">
      <c r="A666" s="5" t="str">
        <f aca="false">Data!A666</f>
        <v>2018-05</v>
      </c>
      <c r="B666" s="12" t="n">
        <f aca="false">Data!K666</f>
        <v>0.0731</v>
      </c>
      <c r="C666" s="12" t="n">
        <f aca="false">Data!B666</f>
        <v>0.0092</v>
      </c>
      <c r="D666" s="12" t="n">
        <f aca="false">(B666-C666)*Inputs!B2</f>
        <v>0.03195</v>
      </c>
      <c r="E666" s="12" t="n">
        <f aca="false">4*Inputs!B2*Inputs!B4*Inputs!B3/10000</f>
        <v>0.001</v>
      </c>
      <c r="F666" s="12" t="n">
        <f aca="false">Inputs!B2*Inputs!B5/Inputs!B6</f>
        <v>0.000833333333333333</v>
      </c>
      <c r="G666" s="12" t="n">
        <f aca="false">D666-E666-F666</f>
        <v>0.0301166666666667</v>
      </c>
      <c r="H666" s="5" t="n">
        <f aca="false">(1+G666)*H665</f>
        <v>14.1574695313154</v>
      </c>
      <c r="I666" s="5" t="n">
        <f aca="false">MAX(1,H$2:H666)</f>
        <v>23.8173271148404</v>
      </c>
      <c r="J666" s="12" t="n">
        <f aca="false">H666/I666-1</f>
        <v>-0.405581093837607</v>
      </c>
      <c r="K666" s="12" t="n">
        <f aca="false">Data!L666</f>
        <v>0.0391</v>
      </c>
    </row>
    <row r="667" customFormat="false" ht="30" hidden="false" customHeight="true" outlineLevel="0" collapsed="false">
      <c r="A667" s="4" t="str">
        <f aca="false">Data!A667</f>
        <v>2018-06</v>
      </c>
      <c r="B667" s="13" t="n">
        <f aca="false">Data!K667</f>
        <v>0.0049</v>
      </c>
      <c r="C667" s="13" t="n">
        <f aca="false">Data!B667</f>
        <v>0.0363</v>
      </c>
      <c r="D667" s="13" t="n">
        <f aca="false">(B667-C667)*Inputs!B2</f>
        <v>-0.0157</v>
      </c>
      <c r="E667" s="13" t="n">
        <f aca="false">4*Inputs!B2*Inputs!B4*Inputs!B3/10000</f>
        <v>0.001</v>
      </c>
      <c r="F667" s="13" t="n">
        <f aca="false">Inputs!B2*Inputs!B5/Inputs!B6</f>
        <v>0.000833333333333333</v>
      </c>
      <c r="G667" s="13" t="n">
        <f aca="false">D667-E667-F667</f>
        <v>-0.0175333333333333</v>
      </c>
      <c r="H667" s="4" t="n">
        <f aca="false">(1+G667)*H666</f>
        <v>13.9092418988663</v>
      </c>
      <c r="I667" s="4" t="n">
        <f aca="false">MAX(1,H$2:H667)</f>
        <v>23.8173271148404</v>
      </c>
      <c r="J667" s="13" t="n">
        <f aca="false">H667/I667-1</f>
        <v>-0.416003238658987</v>
      </c>
      <c r="K667" s="13" t="n">
        <f aca="false">Data!L667</f>
        <v>-0.0229</v>
      </c>
    </row>
    <row r="668" customFormat="false" ht="30" hidden="false" customHeight="true" outlineLevel="0" collapsed="false">
      <c r="A668" s="5" t="str">
        <f aca="false">Data!A668</f>
        <v>2018-07</v>
      </c>
      <c r="B668" s="12" t="n">
        <f aca="false">Data!K668</f>
        <v>0.0094</v>
      </c>
      <c r="C668" s="12" t="n">
        <f aca="false">Data!B668</f>
        <v>0.0223</v>
      </c>
      <c r="D668" s="12" t="n">
        <f aca="false">(B668-C668)*Inputs!B2</f>
        <v>-0.00645</v>
      </c>
      <c r="E668" s="12" t="n">
        <f aca="false">4*Inputs!B2*Inputs!B4*Inputs!B3/10000</f>
        <v>0.001</v>
      </c>
      <c r="F668" s="12" t="n">
        <f aca="false">Inputs!B2*Inputs!B5/Inputs!B6</f>
        <v>0.000833333333333333</v>
      </c>
      <c r="G668" s="12" t="n">
        <f aca="false">D668-E668-F668</f>
        <v>-0.00828333333333333</v>
      </c>
      <c r="H668" s="5" t="n">
        <f aca="false">(1+G668)*H667</f>
        <v>13.794027011804</v>
      </c>
      <c r="I668" s="5" t="n">
        <f aca="false">MAX(1,H$2:H668)</f>
        <v>23.8173271148404</v>
      </c>
      <c r="J668" s="12" t="n">
        <f aca="false">H668/I668-1</f>
        <v>-0.420840678498762</v>
      </c>
      <c r="K668" s="12" t="n">
        <f aca="false">Data!L668</f>
        <v>-0.0143</v>
      </c>
    </row>
    <row r="669" customFormat="false" ht="30" hidden="false" customHeight="true" outlineLevel="0" collapsed="false">
      <c r="A669" s="4" t="str">
        <f aca="false">Data!A669</f>
        <v>2018-08</v>
      </c>
      <c r="B669" s="13" t="n">
        <f aca="false">Data!K669</f>
        <v>0.1</v>
      </c>
      <c r="C669" s="13" t="n">
        <f aca="false">Data!B669</f>
        <v>0.0006</v>
      </c>
      <c r="D669" s="13" t="n">
        <f aca="false">(B669-C669)*Inputs!B2</f>
        <v>0.0497</v>
      </c>
      <c r="E669" s="13" t="n">
        <f aca="false">4*Inputs!B2*Inputs!B4*Inputs!B3/10000</f>
        <v>0.001</v>
      </c>
      <c r="F669" s="13" t="n">
        <f aca="false">Inputs!B2*Inputs!B5/Inputs!B6</f>
        <v>0.000833333333333333</v>
      </c>
      <c r="G669" s="13" t="n">
        <f aca="false">D669-E669-F669</f>
        <v>0.0478666666666667</v>
      </c>
      <c r="H669" s="4" t="n">
        <f aca="false">(1+G669)*H668</f>
        <v>14.454301104769</v>
      </c>
      <c r="I669" s="4" t="n">
        <f aca="false">MAX(1,H$2:H669)</f>
        <v>23.8173271148404</v>
      </c>
      <c r="J669" s="13" t="n">
        <f aca="false">H669/I669-1</f>
        <v>-0.393118252309569</v>
      </c>
      <c r="K669" s="13" t="n">
        <f aca="false">Data!L669</f>
        <v>0.0533</v>
      </c>
    </row>
    <row r="670" customFormat="false" ht="30" hidden="false" customHeight="true" outlineLevel="0" collapsed="false">
      <c r="A670" s="5" t="str">
        <f aca="false">Data!A670</f>
        <v>2018-09</v>
      </c>
      <c r="B670" s="12" t="n">
        <f aca="false">Data!K670</f>
        <v>-0.0064</v>
      </c>
      <c r="C670" s="12" t="n">
        <f aca="false">Data!B670</f>
        <v>-0.0107</v>
      </c>
      <c r="D670" s="12" t="n">
        <f aca="false">(B670-C670)*Inputs!B2</f>
        <v>0.00215</v>
      </c>
      <c r="E670" s="12" t="n">
        <f aca="false">4*Inputs!B2*Inputs!B4*Inputs!B3/10000</f>
        <v>0.001</v>
      </c>
      <c r="F670" s="12" t="n">
        <f aca="false">Inputs!B2*Inputs!B5/Inputs!B6</f>
        <v>0.000833333333333333</v>
      </c>
      <c r="G670" s="12" t="n">
        <f aca="false">D670-E670-F670</f>
        <v>0.000316666666666666</v>
      </c>
      <c r="H670" s="5" t="n">
        <f aca="false">(1+G670)*H669</f>
        <v>14.4588783001189</v>
      </c>
      <c r="I670" s="5" t="n">
        <f aca="false">MAX(1,H$2:H670)</f>
        <v>23.8173271148404</v>
      </c>
      <c r="J670" s="12" t="n">
        <f aca="false">H670/I670-1</f>
        <v>-0.392926073089468</v>
      </c>
      <c r="K670" s="12" t="n">
        <f aca="false">Data!L670</f>
        <v>-0.001</v>
      </c>
    </row>
    <row r="671" customFormat="false" ht="30" hidden="false" customHeight="true" outlineLevel="0" collapsed="false">
      <c r="A671" s="4" t="str">
        <f aca="false">Data!A671</f>
        <v>2018-10</v>
      </c>
      <c r="B671" s="13" t="n">
        <f aca="false">Data!K671</f>
        <v>-0.1562</v>
      </c>
      <c r="C671" s="13" t="n">
        <f aca="false">Data!B671</f>
        <v>-0.0889</v>
      </c>
      <c r="D671" s="13" t="n">
        <f aca="false">(B671-C671)*Inputs!B2</f>
        <v>-0.03365</v>
      </c>
      <c r="E671" s="13" t="n">
        <f aca="false">4*Inputs!B2*Inputs!B4*Inputs!B3/10000</f>
        <v>0.001</v>
      </c>
      <c r="F671" s="13" t="n">
        <f aca="false">Inputs!B2*Inputs!B5/Inputs!B6</f>
        <v>0.000833333333333333</v>
      </c>
      <c r="G671" s="13" t="n">
        <f aca="false">D671-E671-F671</f>
        <v>-0.0354833333333333</v>
      </c>
      <c r="H671" s="4" t="n">
        <f aca="false">(1+G671)*H670</f>
        <v>13.9458291017697</v>
      </c>
      <c r="I671" s="4" t="n">
        <f aca="false">MAX(1,H$2:H671)</f>
        <v>23.8173271148404</v>
      </c>
      <c r="J671" s="13" t="n">
        <f aca="false">H671/I671-1</f>
        <v>-0.41446707959601</v>
      </c>
      <c r="K671" s="13" t="n">
        <f aca="false">Data!L671</f>
        <v>-0.02</v>
      </c>
    </row>
    <row r="672" customFormat="false" ht="30" hidden="false" customHeight="true" outlineLevel="0" collapsed="false">
      <c r="A672" s="5" t="str">
        <f aca="false">Data!A672</f>
        <v>2018-11</v>
      </c>
      <c r="B672" s="12" t="n">
        <f aca="false">Data!K672</f>
        <v>0.0163</v>
      </c>
      <c r="C672" s="12" t="n">
        <f aca="false">Data!B672</f>
        <v>-0.009</v>
      </c>
      <c r="D672" s="12" t="n">
        <f aca="false">(B672-C672)*Inputs!B2</f>
        <v>0.01265</v>
      </c>
      <c r="E672" s="12" t="n">
        <f aca="false">4*Inputs!B2*Inputs!B4*Inputs!B3/10000</f>
        <v>0.001</v>
      </c>
      <c r="F672" s="12" t="n">
        <f aca="false">Inputs!B2*Inputs!B5/Inputs!B6</f>
        <v>0.000833333333333333</v>
      </c>
      <c r="G672" s="12" t="n">
        <f aca="false">D672-E672-F672</f>
        <v>0.0108166666666667</v>
      </c>
      <c r="H672" s="5" t="n">
        <f aca="false">(1+G672)*H671</f>
        <v>14.0966764865538</v>
      </c>
      <c r="I672" s="5" t="n">
        <f aca="false">MAX(1,H$2:H672)</f>
        <v>23.8173271148404</v>
      </c>
      <c r="J672" s="12" t="n">
        <f aca="false">H672/I672-1</f>
        <v>-0.40813356517364</v>
      </c>
      <c r="K672" s="12" t="n">
        <f aca="false">Data!L672</f>
        <v>-0.0142</v>
      </c>
    </row>
    <row r="673" customFormat="false" ht="30" hidden="false" customHeight="true" outlineLevel="0" collapsed="false">
      <c r="A673" s="4" t="str">
        <f aca="false">Data!A673</f>
        <v>2018-12</v>
      </c>
      <c r="B673" s="13" t="n">
        <f aca="false">Data!K673</f>
        <v>-0.0833</v>
      </c>
      <c r="C673" s="13" t="n">
        <f aca="false">Data!B673</f>
        <v>-0.1196</v>
      </c>
      <c r="D673" s="13" t="n">
        <f aca="false">(B673-C673)*Inputs!B2</f>
        <v>0.01815</v>
      </c>
      <c r="E673" s="13" t="n">
        <f aca="false">4*Inputs!B2*Inputs!B4*Inputs!B3/10000</f>
        <v>0.001</v>
      </c>
      <c r="F673" s="13" t="n">
        <f aca="false">Inputs!B2*Inputs!B5/Inputs!B6</f>
        <v>0.000833333333333333</v>
      </c>
      <c r="G673" s="13" t="n">
        <f aca="false">D673-E673-F673</f>
        <v>0.0163166666666667</v>
      </c>
      <c r="H673" s="4" t="n">
        <f aca="false">(1+G673)*H672</f>
        <v>14.3266872578927</v>
      </c>
      <c r="I673" s="4" t="n">
        <f aca="false">MAX(1,H$2:H673)</f>
        <v>23.8173271148404</v>
      </c>
      <c r="J673" s="13" t="n">
        <f aca="false">H673/I673-1</f>
        <v>-0.398476277845389</v>
      </c>
      <c r="K673" s="13" t="n">
        <f aca="false">Data!L673</f>
        <v>0.0175</v>
      </c>
    </row>
    <row r="674" customFormat="false" ht="30" hidden="false" customHeight="true" outlineLevel="0" collapsed="false">
      <c r="A674" s="5" t="str">
        <f aca="false">Data!A674</f>
        <v>2019-01</v>
      </c>
      <c r="B674" s="12" t="n">
        <f aca="false">Data!K674</f>
        <v>0.1081</v>
      </c>
      <c r="C674" s="12" t="n">
        <f aca="false">Data!B674</f>
        <v>0.1942</v>
      </c>
      <c r="D674" s="12" t="n">
        <f aca="false">(B674-C674)*Inputs!B2</f>
        <v>-0.04305</v>
      </c>
      <c r="E674" s="12" t="n">
        <f aca="false">4*Inputs!B2*Inputs!B4*Inputs!B3/10000</f>
        <v>0.001</v>
      </c>
      <c r="F674" s="12" t="n">
        <f aca="false">Inputs!B2*Inputs!B5/Inputs!B6</f>
        <v>0.000833333333333333</v>
      </c>
      <c r="G674" s="12" t="n">
        <f aca="false">D674-E674-F674</f>
        <v>-0.0448833333333333</v>
      </c>
      <c r="H674" s="5" t="n">
        <f aca="false">(1+G674)*H673</f>
        <v>13.6836577781343</v>
      </c>
      <c r="I674" s="5" t="n">
        <f aca="false">MAX(1,H$2:H674)</f>
        <v>23.8173271148404</v>
      </c>
      <c r="J674" s="12" t="n">
        <f aca="false">H674/I674-1</f>
        <v>-0.425474667574762</v>
      </c>
      <c r="K674" s="12" t="n">
        <f aca="false">Data!L674</f>
        <v>-0.0864</v>
      </c>
    </row>
    <row r="675" customFormat="false" ht="30" hidden="false" customHeight="true" outlineLevel="0" collapsed="false">
      <c r="A675" s="4" t="str">
        <f aca="false">Data!A675</f>
        <v>2019-02</v>
      </c>
      <c r="B675" s="13" t="n">
        <f aca="false">Data!K675</f>
        <v>0.0506</v>
      </c>
      <c r="C675" s="13" t="n">
        <f aca="false">Data!B675</f>
        <v>0.0772</v>
      </c>
      <c r="D675" s="13" t="n">
        <f aca="false">(B675-C675)*Inputs!B2</f>
        <v>-0.0133</v>
      </c>
      <c r="E675" s="13" t="n">
        <f aca="false">4*Inputs!B2*Inputs!B4*Inputs!B3/10000</f>
        <v>0.001</v>
      </c>
      <c r="F675" s="13" t="n">
        <f aca="false">Inputs!B2*Inputs!B5/Inputs!B6</f>
        <v>0.000833333333333333</v>
      </c>
      <c r="G675" s="13" t="n">
        <f aca="false">D675-E675-F675</f>
        <v>-0.0151333333333333</v>
      </c>
      <c r="H675" s="4" t="n">
        <f aca="false">(1+G675)*H674</f>
        <v>13.4765784237586</v>
      </c>
      <c r="I675" s="4" t="n">
        <f aca="false">MAX(1,H$2:H675)</f>
        <v>23.8173271148404</v>
      </c>
      <c r="J675" s="13" t="n">
        <f aca="false">H675/I675-1</f>
        <v>-0.434169150938798</v>
      </c>
      <c r="K675" s="13" t="n">
        <f aca="false">Data!L675</f>
        <v>0.0076</v>
      </c>
    </row>
    <row r="676" customFormat="false" ht="30" hidden="false" customHeight="true" outlineLevel="0" collapsed="false">
      <c r="A676" s="5" t="str">
        <f aca="false">Data!A676</f>
        <v>2019-03</v>
      </c>
      <c r="B676" s="12" t="n">
        <f aca="false">Data!K676</f>
        <v>0.0062</v>
      </c>
      <c r="C676" s="12" t="n">
        <f aca="false">Data!B676</f>
        <v>0.0294</v>
      </c>
      <c r="D676" s="12" t="n">
        <f aca="false">(B676-C676)*Inputs!B2</f>
        <v>-0.0116</v>
      </c>
      <c r="E676" s="12" t="n">
        <f aca="false">4*Inputs!B2*Inputs!B4*Inputs!B3/10000</f>
        <v>0.001</v>
      </c>
      <c r="F676" s="12" t="n">
        <f aca="false">Inputs!B2*Inputs!B5/Inputs!B6</f>
        <v>0.000833333333333333</v>
      </c>
      <c r="G676" s="12" t="n">
        <f aca="false">D676-E676-F676</f>
        <v>-0.0134333333333333</v>
      </c>
      <c r="H676" s="5" t="n">
        <f aca="false">(1+G676)*H675</f>
        <v>13.2955430535994</v>
      </c>
      <c r="I676" s="5" t="n">
        <f aca="false">MAX(1,H$2:H676)</f>
        <v>23.8173271148404</v>
      </c>
      <c r="J676" s="12" t="n">
        <f aca="false">H676/I676-1</f>
        <v>-0.44177014534452</v>
      </c>
      <c r="K676" s="12" t="n">
        <f aca="false">Data!L676</f>
        <v>0.0227</v>
      </c>
    </row>
    <row r="677" customFormat="false" ht="30" hidden="false" customHeight="true" outlineLevel="0" collapsed="false">
      <c r="A677" s="4" t="str">
        <f aca="false">Data!A677</f>
        <v>2019-04</v>
      </c>
      <c r="B677" s="13" t="n">
        <f aca="false">Data!K677</f>
        <v>0.0081</v>
      </c>
      <c r="C677" s="13" t="n">
        <f aca="false">Data!B677</f>
        <v>0.0383</v>
      </c>
      <c r="D677" s="13" t="n">
        <f aca="false">(B677-C677)*Inputs!B2</f>
        <v>-0.0151</v>
      </c>
      <c r="E677" s="13" t="n">
        <f aca="false">4*Inputs!B2*Inputs!B4*Inputs!B3/10000</f>
        <v>0.001</v>
      </c>
      <c r="F677" s="13" t="n">
        <f aca="false">Inputs!B2*Inputs!B5/Inputs!B6</f>
        <v>0.000833333333333333</v>
      </c>
      <c r="G677" s="13" t="n">
        <f aca="false">D677-E677-F677</f>
        <v>-0.0169333333333333</v>
      </c>
      <c r="H677" s="4" t="n">
        <f aca="false">(1+G677)*H676</f>
        <v>13.0704051912251</v>
      </c>
      <c r="I677" s="4" t="n">
        <f aca="false">MAX(1,H$2:H677)</f>
        <v>23.8173271148404</v>
      </c>
      <c r="J677" s="13" t="n">
        <f aca="false">H677/I677-1</f>
        <v>-0.451222837550019</v>
      </c>
      <c r="K677" s="13" t="n">
        <f aca="false">Data!L677</f>
        <v>-0.0291</v>
      </c>
    </row>
    <row r="678" customFormat="false" ht="30" hidden="false" customHeight="true" outlineLevel="0" collapsed="false">
      <c r="A678" s="5" t="str">
        <f aca="false">Data!A678</f>
        <v>2019-05</v>
      </c>
      <c r="B678" s="12" t="n">
        <f aca="false">Data!K678</f>
        <v>-0.0424</v>
      </c>
      <c r="C678" s="12" t="n">
        <f aca="false">Data!B678</f>
        <v>-0.1701</v>
      </c>
      <c r="D678" s="12" t="n">
        <f aca="false">(B678-C678)*Inputs!B2</f>
        <v>0.06385</v>
      </c>
      <c r="E678" s="12" t="n">
        <f aca="false">4*Inputs!B2*Inputs!B4*Inputs!B3/10000</f>
        <v>0.001</v>
      </c>
      <c r="F678" s="12" t="n">
        <f aca="false">Inputs!B2*Inputs!B5/Inputs!B6</f>
        <v>0.000833333333333333</v>
      </c>
      <c r="G678" s="12" t="n">
        <f aca="false">D678-E678-F678</f>
        <v>0.0620166666666667</v>
      </c>
      <c r="H678" s="5" t="n">
        <f aca="false">(1+G678)*H677</f>
        <v>13.8809881531676</v>
      </c>
      <c r="I678" s="5" t="n">
        <f aca="false">MAX(1,H$2:H678)</f>
        <v>23.8173271148404</v>
      </c>
      <c r="J678" s="12" t="n">
        <f aca="false">H678/I678-1</f>
        <v>-0.41718950719208</v>
      </c>
      <c r="K678" s="12" t="n">
        <f aca="false">Data!L678</f>
        <v>0.0756</v>
      </c>
    </row>
    <row r="679" customFormat="false" ht="30" hidden="false" customHeight="true" outlineLevel="0" collapsed="false">
      <c r="A679" s="4" t="str">
        <f aca="false">Data!A679</f>
        <v>2019-06</v>
      </c>
      <c r="B679" s="13" t="n">
        <f aca="false">Data!K679</f>
        <v>0.0648</v>
      </c>
      <c r="C679" s="13" t="n">
        <f aca="false">Data!B679</f>
        <v>0.1095</v>
      </c>
      <c r="D679" s="13" t="n">
        <f aca="false">(B679-C679)*Inputs!B2</f>
        <v>-0.02235</v>
      </c>
      <c r="E679" s="13" t="n">
        <f aca="false">4*Inputs!B2*Inputs!B4*Inputs!B3/10000</f>
        <v>0.001</v>
      </c>
      <c r="F679" s="13" t="n">
        <f aca="false">Inputs!B2*Inputs!B5/Inputs!B6</f>
        <v>0.000833333333333333</v>
      </c>
      <c r="G679" s="13" t="n">
        <f aca="false">D679-E679-F679</f>
        <v>-0.0241833333333333</v>
      </c>
      <c r="H679" s="4" t="n">
        <f aca="false">(1+G679)*H678</f>
        <v>13.5452995896635</v>
      </c>
      <c r="I679" s="4" t="n">
        <f aca="false">MAX(1,H$2:H679)</f>
        <v>23.8173271148404</v>
      </c>
      <c r="J679" s="13" t="n">
        <f aca="false">H679/I679-1</f>
        <v>-0.431283807609818</v>
      </c>
      <c r="K679" s="13" t="n">
        <f aca="false">Data!L679</f>
        <v>-0.0226</v>
      </c>
    </row>
    <row r="680" customFormat="false" ht="30" hidden="false" customHeight="true" outlineLevel="0" collapsed="false">
      <c r="A680" s="5" t="str">
        <f aca="false">Data!A680</f>
        <v>2019-07</v>
      </c>
      <c r="B680" s="12" t="n">
        <f aca="false">Data!K680</f>
        <v>0.0198</v>
      </c>
      <c r="C680" s="12" t="n">
        <f aca="false">Data!B680</f>
        <v>-0.0434</v>
      </c>
      <c r="D680" s="12" t="n">
        <f aca="false">(B680-C680)*Inputs!B2</f>
        <v>0.0316</v>
      </c>
      <c r="E680" s="12" t="n">
        <f aca="false">4*Inputs!B2*Inputs!B4*Inputs!B3/10000</f>
        <v>0.001</v>
      </c>
      <c r="F680" s="12" t="n">
        <f aca="false">Inputs!B2*Inputs!B5/Inputs!B6</f>
        <v>0.000833333333333333</v>
      </c>
      <c r="G680" s="12" t="n">
        <f aca="false">D680-E680-F680</f>
        <v>0.0297666666666667</v>
      </c>
      <c r="H680" s="5" t="n">
        <f aca="false">(1+G680)*H679</f>
        <v>13.9484980074491</v>
      </c>
      <c r="I680" s="5" t="n">
        <f aca="false">MAX(1,H$2:H680)</f>
        <v>23.8173271148404</v>
      </c>
      <c r="J680" s="12" t="n">
        <f aca="false">H680/I680-1</f>
        <v>-0.414355022283003</v>
      </c>
      <c r="K680" s="12" t="n">
        <f aca="false">Data!L680</f>
        <v>0.0293</v>
      </c>
    </row>
    <row r="681" customFormat="false" ht="30" hidden="false" customHeight="true" outlineLevel="0" collapsed="false">
      <c r="A681" s="4" t="str">
        <f aca="false">Data!A681</f>
        <v>2019-08</v>
      </c>
      <c r="B681" s="13" t="n">
        <f aca="false">Data!K681</f>
        <v>-0.0024</v>
      </c>
      <c r="C681" s="13" t="n">
        <f aca="false">Data!B681</f>
        <v>-0.1338</v>
      </c>
      <c r="D681" s="13" t="n">
        <f aca="false">(B681-C681)*Inputs!B2</f>
        <v>0.0657</v>
      </c>
      <c r="E681" s="13" t="n">
        <f aca="false">4*Inputs!B2*Inputs!B4*Inputs!B3/10000</f>
        <v>0.001</v>
      </c>
      <c r="F681" s="13" t="n">
        <f aca="false">Inputs!B2*Inputs!B5/Inputs!B6</f>
        <v>0.000833333333333333</v>
      </c>
      <c r="G681" s="13" t="n">
        <f aca="false">D681-E681-F681</f>
        <v>0.0638666666666667</v>
      </c>
      <c r="H681" s="4" t="n">
        <f aca="false">(1+G681)*H680</f>
        <v>14.8393420801916</v>
      </c>
      <c r="I681" s="4" t="n">
        <f aca="false">MAX(1,H$2:H681)</f>
        <v>23.8173271148404</v>
      </c>
      <c r="J681" s="13" t="n">
        <f aca="false">H681/I681-1</f>
        <v>-0.376951829706144</v>
      </c>
      <c r="K681" s="13" t="n">
        <f aca="false">Data!L681</f>
        <v>0.0747</v>
      </c>
    </row>
    <row r="682" customFormat="false" ht="30" hidden="false" customHeight="true" outlineLevel="0" collapsed="false">
      <c r="A682" s="5" t="str">
        <f aca="false">Data!A682</f>
        <v>2019-09</v>
      </c>
      <c r="B682" s="12" t="n">
        <f aca="false">Data!K682</f>
        <v>-0.03</v>
      </c>
      <c r="C682" s="12" t="n">
        <f aca="false">Data!B682</f>
        <v>0.0518</v>
      </c>
      <c r="D682" s="12" t="n">
        <f aca="false">(B682-C682)*Inputs!B2</f>
        <v>-0.0409</v>
      </c>
      <c r="E682" s="12" t="n">
        <f aca="false">4*Inputs!B2*Inputs!B4*Inputs!B3/10000</f>
        <v>0.001</v>
      </c>
      <c r="F682" s="12" t="n">
        <f aca="false">Inputs!B2*Inputs!B5/Inputs!B6</f>
        <v>0.000833333333333333</v>
      </c>
      <c r="G682" s="12" t="n">
        <f aca="false">D682-E682-F682</f>
        <v>-0.0427333333333333</v>
      </c>
      <c r="H682" s="5" t="n">
        <f aca="false">(1+G682)*H681</f>
        <v>14.2052075286314</v>
      </c>
      <c r="I682" s="5" t="n">
        <f aca="false">MAX(1,H$2:H682)</f>
        <v>23.8173271148404</v>
      </c>
      <c r="J682" s="12" t="n">
        <f aca="false">H682/I682-1</f>
        <v>-0.403576754850035</v>
      </c>
      <c r="K682" s="12" t="n">
        <f aca="false">Data!L682</f>
        <v>-0.0674</v>
      </c>
    </row>
    <row r="683" customFormat="false" ht="30" hidden="false" customHeight="true" outlineLevel="0" collapsed="false">
      <c r="A683" s="4" t="str">
        <f aca="false">Data!A683</f>
        <v>2019-10</v>
      </c>
      <c r="B683" s="13" t="n">
        <f aca="false">Data!K683</f>
        <v>-0.0044</v>
      </c>
      <c r="C683" s="13" t="n">
        <f aca="false">Data!B683</f>
        <v>-0.0424</v>
      </c>
      <c r="D683" s="13" t="n">
        <f aca="false">(B683-C683)*Inputs!B2</f>
        <v>0.019</v>
      </c>
      <c r="E683" s="13" t="n">
        <f aca="false">4*Inputs!B2*Inputs!B4*Inputs!B3/10000</f>
        <v>0.001</v>
      </c>
      <c r="F683" s="13" t="n">
        <f aca="false">Inputs!B2*Inputs!B5/Inputs!B6</f>
        <v>0.000833333333333333</v>
      </c>
      <c r="G683" s="13" t="n">
        <f aca="false">D683-E683-F683</f>
        <v>0.0171666666666667</v>
      </c>
      <c r="H683" s="4" t="n">
        <f aca="false">(1+G683)*H682</f>
        <v>14.4490635912062</v>
      </c>
      <c r="I683" s="4" t="n">
        <f aca="false">MAX(1,H$2:H683)</f>
        <v>23.8173271148404</v>
      </c>
      <c r="J683" s="13" t="n">
        <f aca="false">H683/I683-1</f>
        <v>-0.393338155808294</v>
      </c>
      <c r="K683" s="13" t="n">
        <f aca="false">Data!L683</f>
        <v>0.0013</v>
      </c>
    </row>
    <row r="684" customFormat="false" ht="30" hidden="false" customHeight="true" outlineLevel="0" collapsed="false">
      <c r="A684" s="5" t="str">
        <f aca="false">Data!A684</f>
        <v>2019-11</v>
      </c>
      <c r="B684" s="12" t="n">
        <f aca="false">Data!K684</f>
        <v>0.0358</v>
      </c>
      <c r="C684" s="12" t="n">
        <f aca="false">Data!B684</f>
        <v>0.0314</v>
      </c>
      <c r="D684" s="12" t="n">
        <f aca="false">(B684-C684)*Inputs!B2</f>
        <v>0.0022</v>
      </c>
      <c r="E684" s="12" t="n">
        <f aca="false">4*Inputs!B2*Inputs!B4*Inputs!B3/10000</f>
        <v>0.001</v>
      </c>
      <c r="F684" s="12" t="n">
        <f aca="false">Inputs!B2*Inputs!B5/Inputs!B6</f>
        <v>0.000833333333333333</v>
      </c>
      <c r="G684" s="12" t="n">
        <f aca="false">D684-E684-F684</f>
        <v>0.000366666666666667</v>
      </c>
      <c r="H684" s="5" t="n">
        <f aca="false">(1+G684)*H683</f>
        <v>14.4543615811897</v>
      </c>
      <c r="I684" s="5" t="n">
        <f aca="false">MAX(1,H$2:H684)</f>
        <v>23.8173271148404</v>
      </c>
      <c r="J684" s="12" t="n">
        <f aca="false">H684/I684-1</f>
        <v>-0.393115713132091</v>
      </c>
      <c r="K684" s="12" t="n">
        <f aca="false">Data!L684</f>
        <v>-0.0261</v>
      </c>
    </row>
    <row r="685" customFormat="false" ht="30" hidden="false" customHeight="true" outlineLevel="0" collapsed="false">
      <c r="A685" s="4" t="str">
        <f aca="false">Data!A685</f>
        <v>2019-12</v>
      </c>
      <c r="B685" s="13" t="n">
        <f aca="false">Data!K685</f>
        <v>0.0456</v>
      </c>
      <c r="C685" s="13" t="n">
        <f aca="false">Data!B685</f>
        <v>0.118</v>
      </c>
      <c r="D685" s="13" t="n">
        <f aca="false">(B685-C685)*Inputs!B2</f>
        <v>-0.0362</v>
      </c>
      <c r="E685" s="13" t="n">
        <f aca="false">4*Inputs!B2*Inputs!B4*Inputs!B3/10000</f>
        <v>0.001</v>
      </c>
      <c r="F685" s="13" t="n">
        <f aca="false">Inputs!B2*Inputs!B5/Inputs!B6</f>
        <v>0.000833333333333333</v>
      </c>
      <c r="G685" s="13" t="n">
        <f aca="false">D685-E685-F685</f>
        <v>-0.0380333333333333</v>
      </c>
      <c r="H685" s="4" t="n">
        <f aca="false">(1+G685)*H684</f>
        <v>13.9046140290517</v>
      </c>
      <c r="I685" s="4" t="n">
        <f aca="false">MAX(1,H$2:H685)</f>
        <v>23.8173271148404</v>
      </c>
      <c r="J685" s="13" t="n">
        <f aca="false">H685/I685-1</f>
        <v>-0.4161975455093</v>
      </c>
      <c r="K685" s="13" t="n">
        <f aca="false">Data!L685</f>
        <v>-0.0224</v>
      </c>
    </row>
    <row r="686" customFormat="false" ht="30" hidden="false" customHeight="true" outlineLevel="0" collapsed="false">
      <c r="A686" s="5" t="str">
        <f aca="false">Data!A686</f>
        <v>2020-01</v>
      </c>
      <c r="B686" s="12" t="n">
        <f aca="false">Data!K686</f>
        <v>0.0326</v>
      </c>
      <c r="C686" s="12" t="n">
        <f aca="false">Data!B686</f>
        <v>-0.0872</v>
      </c>
      <c r="D686" s="12" t="n">
        <f aca="false">(B686-C686)*Inputs!B2</f>
        <v>0.0599</v>
      </c>
      <c r="E686" s="12" t="n">
        <f aca="false">4*Inputs!B2*Inputs!B4*Inputs!B3/10000</f>
        <v>0.001</v>
      </c>
      <c r="F686" s="12" t="n">
        <f aca="false">Inputs!B2*Inputs!B5/Inputs!B6</f>
        <v>0.000833333333333333</v>
      </c>
      <c r="G686" s="12" t="n">
        <f aca="false">D686-E686-F686</f>
        <v>0.0580666666666667</v>
      </c>
      <c r="H686" s="5" t="n">
        <f aca="false">(1+G686)*H685</f>
        <v>14.7120086170053</v>
      </c>
      <c r="I686" s="5" t="n">
        <f aca="false">MAX(1,H$2:H686)</f>
        <v>23.8173271148404</v>
      </c>
      <c r="J686" s="12" t="n">
        <f aca="false">H686/I686-1</f>
        <v>-0.382298082985207</v>
      </c>
      <c r="K686" s="12" t="n">
        <f aca="false">Data!L686</f>
        <v>0.0602</v>
      </c>
    </row>
    <row r="687" customFormat="false" ht="30" hidden="false" customHeight="true" outlineLevel="0" collapsed="false">
      <c r="A687" s="4" t="str">
        <f aca="false">Data!A687</f>
        <v>2020-02</v>
      </c>
      <c r="B687" s="13" t="n">
        <f aca="false">Data!K687</f>
        <v>-0.0661</v>
      </c>
      <c r="C687" s="13" t="n">
        <f aca="false">Data!B687</f>
        <v>-0.1211</v>
      </c>
      <c r="D687" s="13" t="n">
        <f aca="false">(B687-C687)*Inputs!B2</f>
        <v>0.0275</v>
      </c>
      <c r="E687" s="13" t="n">
        <f aca="false">4*Inputs!B2*Inputs!B4*Inputs!B3/10000</f>
        <v>0.001</v>
      </c>
      <c r="F687" s="13" t="n">
        <f aca="false">Inputs!B2*Inputs!B5/Inputs!B6</f>
        <v>0.000833333333333333</v>
      </c>
      <c r="G687" s="13" t="n">
        <f aca="false">D687-E687-F687</f>
        <v>0.0256666666666667</v>
      </c>
      <c r="H687" s="4" t="n">
        <f aca="false">(1+G687)*H686</f>
        <v>15.0896168381752</v>
      </c>
      <c r="I687" s="4" t="n">
        <f aca="false">MAX(1,H$2:H687)</f>
        <v>23.8173271148404</v>
      </c>
      <c r="J687" s="13" t="n">
        <f aca="false">H687/I687-1</f>
        <v>-0.366443733781827</v>
      </c>
      <c r="K687" s="13" t="n">
        <f aca="false">Data!L687</f>
        <v>-0.0025</v>
      </c>
    </row>
    <row r="688" customFormat="false" ht="30" hidden="false" customHeight="true" outlineLevel="0" collapsed="false">
      <c r="A688" s="5" t="str">
        <f aca="false">Data!A688</f>
        <v>2020-03</v>
      </c>
      <c r="B688" s="12" t="n">
        <f aca="false">Data!K688</f>
        <v>-0.0959</v>
      </c>
      <c r="C688" s="12" t="n">
        <f aca="false">Data!B688</f>
        <v>-0.3092</v>
      </c>
      <c r="D688" s="12" t="n">
        <f aca="false">(B688-C688)*Inputs!B2</f>
        <v>0.10665</v>
      </c>
      <c r="E688" s="12" t="n">
        <f aca="false">4*Inputs!B2*Inputs!B4*Inputs!B3/10000</f>
        <v>0.001</v>
      </c>
      <c r="F688" s="12" t="n">
        <f aca="false">Inputs!B2*Inputs!B5/Inputs!B6</f>
        <v>0.000833333333333333</v>
      </c>
      <c r="G688" s="12" t="n">
        <f aca="false">D688-E688-F688</f>
        <v>0.104816666666667</v>
      </c>
      <c r="H688" s="5" t="n">
        <f aca="false">(1+G688)*H687</f>
        <v>16.6712601764299</v>
      </c>
      <c r="I688" s="5" t="n">
        <f aca="false">MAX(1,H$2:H688)</f>
        <v>23.8173271148404</v>
      </c>
      <c r="J688" s="12" t="n">
        <f aca="false">H688/I688-1</f>
        <v>-0.300036477811059</v>
      </c>
      <c r="K688" s="12" t="n">
        <f aca="false">Data!L688</f>
        <v>0.082</v>
      </c>
    </row>
    <row r="689" customFormat="false" ht="30" hidden="false" customHeight="true" outlineLevel="0" collapsed="false">
      <c r="A689" s="4" t="str">
        <f aca="false">Data!A689</f>
        <v>2020-04</v>
      </c>
      <c r="B689" s="13" t="n">
        <f aca="false">Data!K689</f>
        <v>0.1467</v>
      </c>
      <c r="C689" s="13" t="n">
        <f aca="false">Data!B689</f>
        <v>0.4675</v>
      </c>
      <c r="D689" s="13" t="n">
        <f aca="false">(B689-C689)*Inputs!B2</f>
        <v>-0.1604</v>
      </c>
      <c r="E689" s="13" t="n">
        <f aca="false">4*Inputs!B2*Inputs!B4*Inputs!B3/10000</f>
        <v>0.001</v>
      </c>
      <c r="F689" s="13" t="n">
        <f aca="false">Inputs!B2*Inputs!B5/Inputs!B6</f>
        <v>0.000833333333333333</v>
      </c>
      <c r="G689" s="13" t="n">
        <f aca="false">D689-E689-F689</f>
        <v>-0.162233333333333</v>
      </c>
      <c r="H689" s="4" t="n">
        <f aca="false">(1+G689)*H688</f>
        <v>13.9666260671404</v>
      </c>
      <c r="I689" s="4" t="n">
        <f aca="false">MAX(1,H$2:H689)</f>
        <v>23.8173271148404</v>
      </c>
      <c r="J689" s="13" t="n">
        <f aca="false">H689/I689-1</f>
        <v>-0.413593893227511</v>
      </c>
      <c r="K689" s="13" t="n">
        <f aca="false">Data!L689</f>
        <v>-0.0561</v>
      </c>
    </row>
    <row r="690" customFormat="false" ht="30" hidden="false" customHeight="true" outlineLevel="0" collapsed="false">
      <c r="A690" s="5" t="str">
        <f aca="false">Data!A690</f>
        <v>2020-05</v>
      </c>
      <c r="B690" s="12" t="n">
        <f aca="false">Data!K690</f>
        <v>0.0666</v>
      </c>
      <c r="C690" s="12" t="n">
        <f aca="false">Data!B690</f>
        <v>-0.0123</v>
      </c>
      <c r="D690" s="12" t="n">
        <f aca="false">(B690-C690)*Inputs!B2</f>
        <v>0.03945</v>
      </c>
      <c r="E690" s="12" t="n">
        <f aca="false">4*Inputs!B2*Inputs!B4*Inputs!B3/10000</f>
        <v>0.001</v>
      </c>
      <c r="F690" s="12" t="n">
        <f aca="false">Inputs!B2*Inputs!B5/Inputs!B6</f>
        <v>0.000833333333333333</v>
      </c>
      <c r="G690" s="12" t="n">
        <f aca="false">D690-E690-F690</f>
        <v>0.0376166666666667</v>
      </c>
      <c r="H690" s="5" t="n">
        <f aca="false">(1+G690)*H689</f>
        <v>14.492003984366</v>
      </c>
      <c r="I690" s="5" t="n">
        <f aca="false">MAX(1,H$2:H690)</f>
        <v>23.8173271148404</v>
      </c>
      <c r="J690" s="12" t="n">
        <f aca="false">H690/I690-1</f>
        <v>-0.391535250177753</v>
      </c>
      <c r="K690" s="12" t="n">
        <f aca="false">Data!L690</f>
        <v>0.0015</v>
      </c>
    </row>
    <row r="691" customFormat="false" ht="30" hidden="false" customHeight="true" outlineLevel="0" collapsed="false">
      <c r="A691" s="4" t="str">
        <f aca="false">Data!A691</f>
        <v>2020-06</v>
      </c>
      <c r="B691" s="13" t="n">
        <f aca="false">Data!K691</f>
        <v>0.0798</v>
      </c>
      <c r="C691" s="13" t="n">
        <f aca="false">Data!B691</f>
        <v>0.1875</v>
      </c>
      <c r="D691" s="13" t="n">
        <f aca="false">(B691-C691)*Inputs!B2</f>
        <v>-0.05385</v>
      </c>
      <c r="E691" s="13" t="n">
        <f aca="false">4*Inputs!B2*Inputs!B4*Inputs!B3/10000</f>
        <v>0.001</v>
      </c>
      <c r="F691" s="13" t="n">
        <f aca="false">Inputs!B2*Inputs!B5/Inputs!B6</f>
        <v>0.000833333333333333</v>
      </c>
      <c r="G691" s="13" t="n">
        <f aca="false">D691-E691-F691</f>
        <v>-0.0556833333333333</v>
      </c>
      <c r="H691" s="4" t="n">
        <f aca="false">(1+G691)*H690</f>
        <v>13.6850408958366</v>
      </c>
      <c r="I691" s="4" t="n">
        <f aca="false">MAX(1,H$2:H691)</f>
        <v>23.8173271148404</v>
      </c>
      <c r="J691" s="13" t="n">
        <f aca="false">H691/I691-1</f>
        <v>-0.425416595663688</v>
      </c>
      <c r="K691" s="13" t="n">
        <f aca="false">Data!L691</f>
        <v>-0.0087</v>
      </c>
    </row>
    <row r="692" customFormat="false" ht="30" hidden="false" customHeight="true" outlineLevel="0" collapsed="false">
      <c r="A692" s="5" t="str">
        <f aca="false">Data!A692</f>
        <v>2020-07</v>
      </c>
      <c r="B692" s="12" t="n">
        <f aca="false">Data!K692</f>
        <v>0.0799</v>
      </c>
      <c r="C692" s="12" t="n">
        <f aca="false">Data!B692</f>
        <v>-0.0312</v>
      </c>
      <c r="D692" s="12" t="n">
        <f aca="false">(B692-C692)*Inputs!B2</f>
        <v>0.05555</v>
      </c>
      <c r="E692" s="12" t="n">
        <f aca="false">4*Inputs!B2*Inputs!B4*Inputs!B3/10000</f>
        <v>0.001</v>
      </c>
      <c r="F692" s="12" t="n">
        <f aca="false">Inputs!B2*Inputs!B5/Inputs!B6</f>
        <v>0.000833333333333333</v>
      </c>
      <c r="G692" s="12" t="n">
        <f aca="false">D692-E692-F692</f>
        <v>0.0537166666666667</v>
      </c>
      <c r="H692" s="5" t="n">
        <f aca="false">(1+G692)*H691</f>
        <v>14.4201556759579</v>
      </c>
      <c r="I692" s="5" t="n">
        <f aca="false">MAX(1,H$2:H692)</f>
        <v>23.8173271148404</v>
      </c>
      <c r="J692" s="12" t="n">
        <f aca="false">H692/I692-1</f>
        <v>-0.394551890460756</v>
      </c>
      <c r="K692" s="12" t="n">
        <f aca="false">Data!L692</f>
        <v>0.077</v>
      </c>
    </row>
    <row r="693" customFormat="false" ht="30" hidden="false" customHeight="true" outlineLevel="0" collapsed="false">
      <c r="A693" s="4" t="str">
        <f aca="false">Data!A693</f>
        <v>2020-08</v>
      </c>
      <c r="B693" s="13" t="n">
        <f aca="false">Data!K693</f>
        <v>0.1146</v>
      </c>
      <c r="C693" s="13" t="n">
        <f aca="false">Data!B693</f>
        <v>0.0385</v>
      </c>
      <c r="D693" s="13" t="n">
        <f aca="false">(B693-C693)*Inputs!B2</f>
        <v>0.03805</v>
      </c>
      <c r="E693" s="13" t="n">
        <f aca="false">4*Inputs!B2*Inputs!B4*Inputs!B3/10000</f>
        <v>0.001</v>
      </c>
      <c r="F693" s="13" t="n">
        <f aca="false">Inputs!B2*Inputs!B5/Inputs!B6</f>
        <v>0.000833333333333333</v>
      </c>
      <c r="G693" s="13" t="n">
        <f aca="false">D693-E693-F693</f>
        <v>0.0362166666666667</v>
      </c>
      <c r="H693" s="4" t="n">
        <f aca="false">(1+G693)*H692</f>
        <v>14.9424056473555</v>
      </c>
      <c r="I693" s="4" t="n">
        <f aca="false">MAX(1,H$2:H693)</f>
        <v>23.8173271148404</v>
      </c>
      <c r="J693" s="13" t="n">
        <f aca="false">H693/I693-1</f>
        <v>-0.37262457809361</v>
      </c>
      <c r="K693" s="13" t="n">
        <f aca="false">Data!L693</f>
        <v>0.0043</v>
      </c>
    </row>
    <row r="694" customFormat="false" ht="30" hidden="false" customHeight="true" outlineLevel="0" collapsed="false">
      <c r="A694" s="5" t="str">
        <f aca="false">Data!A694</f>
        <v>2020-09</v>
      </c>
      <c r="B694" s="12" t="n">
        <f aca="false">Data!K694</f>
        <v>-0.0621</v>
      </c>
      <c r="C694" s="12" t="n">
        <f aca="false">Data!B694</f>
        <v>-0.0778</v>
      </c>
      <c r="D694" s="12" t="n">
        <f aca="false">(B694-C694)*Inputs!B2</f>
        <v>0.00785</v>
      </c>
      <c r="E694" s="12" t="n">
        <f aca="false">4*Inputs!B2*Inputs!B4*Inputs!B3/10000</f>
        <v>0.001</v>
      </c>
      <c r="F694" s="12" t="n">
        <f aca="false">Inputs!B2*Inputs!B5/Inputs!B6</f>
        <v>0.000833333333333333</v>
      </c>
      <c r="G694" s="12" t="n">
        <f aca="false">D694-E694-F694</f>
        <v>0.00601666666666667</v>
      </c>
      <c r="H694" s="5" t="n">
        <f aca="false">(1+G694)*H693</f>
        <v>15.0323091213338</v>
      </c>
      <c r="I694" s="5" t="n">
        <f aca="false">MAX(1,H$2:H694)</f>
        <v>23.8173271148404</v>
      </c>
      <c r="J694" s="12" t="n">
        <f aca="false">H694/I694-1</f>
        <v>-0.36884986930514</v>
      </c>
      <c r="K694" s="12" t="n">
        <f aca="false">Data!L694</f>
        <v>0.0318</v>
      </c>
    </row>
    <row r="695" customFormat="false" ht="30" hidden="false" customHeight="true" outlineLevel="0" collapsed="false">
      <c r="A695" s="4" t="str">
        <f aca="false">Data!A695</f>
        <v>2020-10</v>
      </c>
      <c r="B695" s="13" t="n">
        <f aca="false">Data!K695</f>
        <v>-0.0373</v>
      </c>
      <c r="C695" s="13" t="n">
        <f aca="false">Data!B695</f>
        <v>-0.0343</v>
      </c>
      <c r="D695" s="13" t="n">
        <f aca="false">(B695-C695)*Inputs!B2</f>
        <v>-0.0015</v>
      </c>
      <c r="E695" s="13" t="n">
        <f aca="false">4*Inputs!B2*Inputs!B4*Inputs!B3/10000</f>
        <v>0.001</v>
      </c>
      <c r="F695" s="13" t="n">
        <f aca="false">Inputs!B2*Inputs!B5/Inputs!B6</f>
        <v>0.000833333333333333</v>
      </c>
      <c r="G695" s="13" t="n">
        <f aca="false">D695-E695-F695</f>
        <v>-0.00333333333333334</v>
      </c>
      <c r="H695" s="4" t="n">
        <f aca="false">(1+G695)*H694</f>
        <v>14.9822014242627</v>
      </c>
      <c r="I695" s="4" t="n">
        <f aca="false">MAX(1,H$2:H695)</f>
        <v>23.8173271148404</v>
      </c>
      <c r="J695" s="13" t="n">
        <f aca="false">H695/I695-1</f>
        <v>-0.370953703074123</v>
      </c>
      <c r="K695" s="13" t="n">
        <f aca="false">Data!L695</f>
        <v>-0.031</v>
      </c>
    </row>
    <row r="696" customFormat="false" ht="30" hidden="false" customHeight="true" outlineLevel="0" collapsed="false">
      <c r="A696" s="5" t="str">
        <f aca="false">Data!A696</f>
        <v>2020-11</v>
      </c>
      <c r="B696" s="12" t="n">
        <f aca="false">Data!K696</f>
        <v>0.1038</v>
      </c>
      <c r="C696" s="12" t="n">
        <f aca="false">Data!B696</f>
        <v>0.3748</v>
      </c>
      <c r="D696" s="12" t="n">
        <f aca="false">(B696-C696)*Inputs!B2</f>
        <v>-0.1355</v>
      </c>
      <c r="E696" s="12" t="n">
        <f aca="false">4*Inputs!B2*Inputs!B4*Inputs!B3/10000</f>
        <v>0.001</v>
      </c>
      <c r="F696" s="12" t="n">
        <f aca="false">Inputs!B2*Inputs!B5/Inputs!B6</f>
        <v>0.000833333333333333</v>
      </c>
      <c r="G696" s="12" t="n">
        <f aca="false">D696-E696-F696</f>
        <v>-0.137333333333333</v>
      </c>
      <c r="H696" s="5" t="n">
        <f aca="false">(1+G696)*H695</f>
        <v>12.9246457619973</v>
      </c>
      <c r="I696" s="5" t="n">
        <f aca="false">MAX(1,H$2:H696)</f>
        <v>23.8173271148404</v>
      </c>
      <c r="J696" s="12" t="n">
        <f aca="false">H696/I696-1</f>
        <v>-0.457342727851943</v>
      </c>
      <c r="K696" s="12" t="n">
        <f aca="false">Data!L696</f>
        <v>-0.126</v>
      </c>
    </row>
    <row r="697" customFormat="false" ht="30" hidden="false" customHeight="true" outlineLevel="0" collapsed="false">
      <c r="A697" s="4" t="str">
        <f aca="false">Data!A697</f>
        <v>2020-12</v>
      </c>
      <c r="B697" s="13" t="n">
        <f aca="false">Data!K697</f>
        <v>0.0644</v>
      </c>
      <c r="C697" s="13" t="n">
        <f aca="false">Data!B697</f>
        <v>0.0807</v>
      </c>
      <c r="D697" s="13" t="n">
        <f aca="false">(B697-C697)*Inputs!B2</f>
        <v>-0.00815</v>
      </c>
      <c r="E697" s="13" t="n">
        <f aca="false">4*Inputs!B2*Inputs!B4*Inputs!B3/10000</f>
        <v>0.001</v>
      </c>
      <c r="F697" s="13" t="n">
        <f aca="false">Inputs!B2*Inputs!B5/Inputs!B6</f>
        <v>0.000833333333333333</v>
      </c>
      <c r="G697" s="13" t="n">
        <f aca="false">D697-E697-F697</f>
        <v>-0.00998333333333334</v>
      </c>
      <c r="H697" s="4" t="n">
        <f aca="false">(1+G697)*H696</f>
        <v>12.79561471514</v>
      </c>
      <c r="I697" s="4" t="n">
        <f aca="false">MAX(1,H$2:H697)</f>
        <v>23.8173271148404</v>
      </c>
      <c r="J697" s="13" t="n">
        <f aca="false">H697/I697-1</f>
        <v>-0.462760256285555</v>
      </c>
      <c r="K697" s="13" t="n">
        <f aca="false">Data!L697</f>
        <v>-0.0226</v>
      </c>
    </row>
    <row r="698" customFormat="false" ht="30" hidden="false" customHeight="true" outlineLevel="0" collapsed="false">
      <c r="A698" s="5" t="str">
        <f aca="false">Data!A698</f>
        <v>2021-01</v>
      </c>
      <c r="B698" s="12" t="n">
        <f aca="false">Data!K698</f>
        <v>0.0209</v>
      </c>
      <c r="C698" s="12" t="n">
        <f aca="false">Data!B698</f>
        <v>0.0658</v>
      </c>
      <c r="D698" s="12" t="n">
        <f aca="false">(B698-C698)*Inputs!B2</f>
        <v>-0.02245</v>
      </c>
      <c r="E698" s="12" t="n">
        <f aca="false">4*Inputs!B2*Inputs!B4*Inputs!B3/10000</f>
        <v>0.001</v>
      </c>
      <c r="F698" s="12" t="n">
        <f aca="false">Inputs!B2*Inputs!B5/Inputs!B6</f>
        <v>0.000833333333333333</v>
      </c>
      <c r="G698" s="12" t="n">
        <f aca="false">D698-E698-F698</f>
        <v>-0.0242833333333333</v>
      </c>
      <c r="H698" s="5" t="n">
        <f aca="false">(1+G698)*H697</f>
        <v>12.4848945378073</v>
      </c>
      <c r="I698" s="5" t="n">
        <f aca="false">MAX(1,H$2:H698)</f>
        <v>23.8173271148404</v>
      </c>
      <c r="J698" s="12" t="n">
        <f aca="false">H698/I698-1</f>
        <v>-0.475806228062087</v>
      </c>
      <c r="K698" s="12" t="n">
        <f aca="false">Data!L698</f>
        <v>0.0434</v>
      </c>
    </row>
    <row r="699" customFormat="false" ht="30" hidden="false" customHeight="true" outlineLevel="0" collapsed="false">
      <c r="A699" s="4" t="str">
        <f aca="false">Data!A699</f>
        <v>2021-02</v>
      </c>
      <c r="B699" s="13" t="n">
        <f aca="false">Data!K699</f>
        <v>-0.0278</v>
      </c>
      <c r="C699" s="13" t="n">
        <f aca="false">Data!B699</f>
        <v>0.1979</v>
      </c>
      <c r="D699" s="13" t="n">
        <f aca="false">(B699-C699)*Inputs!B2</f>
        <v>-0.11285</v>
      </c>
      <c r="E699" s="13" t="n">
        <f aca="false">4*Inputs!B2*Inputs!B4*Inputs!B3/10000</f>
        <v>0.001</v>
      </c>
      <c r="F699" s="13" t="n">
        <f aca="false">Inputs!B2*Inputs!B5/Inputs!B6</f>
        <v>0.000833333333333333</v>
      </c>
      <c r="G699" s="13" t="n">
        <f aca="false">D699-E699-F699</f>
        <v>-0.114683333333333</v>
      </c>
      <c r="H699" s="4" t="n">
        <f aca="false">(1+G699)*H698</f>
        <v>11.0530852158965</v>
      </c>
      <c r="I699" s="4" t="n">
        <f aca="false">MAX(1,H$2:H699)</f>
        <v>23.8173271148404</v>
      </c>
      <c r="J699" s="13" t="n">
        <f aca="false">H699/I699-1</f>
        <v>-0.5359225171405</v>
      </c>
      <c r="K699" s="13" t="n">
        <f aca="false">Data!L699</f>
        <v>-0.0799</v>
      </c>
    </row>
    <row r="700" customFormat="false" ht="30" hidden="false" customHeight="true" outlineLevel="0" collapsed="false">
      <c r="A700" s="5" t="str">
        <f aca="false">Data!A700</f>
        <v>2021-03</v>
      </c>
      <c r="B700" s="12" t="n">
        <f aca="false">Data!K700</f>
        <v>-0.0652</v>
      </c>
      <c r="C700" s="12" t="n">
        <f aca="false">Data!B700</f>
        <v>0.0722</v>
      </c>
      <c r="D700" s="12" t="n">
        <f aca="false">(B700-C700)*Inputs!B2</f>
        <v>-0.0687</v>
      </c>
      <c r="E700" s="12" t="n">
        <f aca="false">4*Inputs!B2*Inputs!B4*Inputs!B3/10000</f>
        <v>0.001</v>
      </c>
      <c r="F700" s="12" t="n">
        <f aca="false">Inputs!B2*Inputs!B5/Inputs!B6</f>
        <v>0.000833333333333333</v>
      </c>
      <c r="G700" s="12" t="n">
        <f aca="false">D700-E700-F700</f>
        <v>-0.0705333333333333</v>
      </c>
      <c r="H700" s="5" t="n">
        <f aca="false">(1+G700)*H699</f>
        <v>10.2734742720019</v>
      </c>
      <c r="I700" s="5" t="n">
        <f aca="false">MAX(1,H$2:H700)</f>
        <v>23.8173271148404</v>
      </c>
      <c r="J700" s="12" t="n">
        <f aca="false">H700/I700-1</f>
        <v>-0.568655448931524</v>
      </c>
      <c r="K700" s="12" t="n">
        <f aca="false">Data!L700</f>
        <v>-0.061</v>
      </c>
    </row>
    <row r="701" customFormat="false" ht="30" hidden="false" customHeight="true" outlineLevel="0" collapsed="false">
      <c r="A701" s="4" t="str">
        <f aca="false">Data!A701</f>
        <v>2021-04</v>
      </c>
      <c r="B701" s="13" t="n">
        <f aca="false">Data!K701</f>
        <v>0.045</v>
      </c>
      <c r="C701" s="13" t="n">
        <f aca="false">Data!B701</f>
        <v>0.0218</v>
      </c>
      <c r="D701" s="13" t="n">
        <f aca="false">(B701-C701)*Inputs!B2</f>
        <v>0.0116</v>
      </c>
      <c r="E701" s="13" t="n">
        <f aca="false">4*Inputs!B2*Inputs!B4*Inputs!B3/10000</f>
        <v>0.001</v>
      </c>
      <c r="F701" s="13" t="n">
        <f aca="false">Inputs!B2*Inputs!B5/Inputs!B6</f>
        <v>0.000833333333333333</v>
      </c>
      <c r="G701" s="13" t="n">
        <f aca="false">D701-E701-F701</f>
        <v>0.00976666666666667</v>
      </c>
      <c r="H701" s="4" t="n">
        <f aca="false">(1+G701)*H700</f>
        <v>10.3738118707251</v>
      </c>
      <c r="I701" s="4" t="n">
        <f aca="false">MAX(1,H$2:H701)</f>
        <v>23.8173271148404</v>
      </c>
      <c r="J701" s="13" t="n">
        <f aca="false">H701/I701-1</f>
        <v>-0.564442650482755</v>
      </c>
      <c r="K701" s="13" t="n">
        <f aca="false">Data!L701</f>
        <v>0.0122</v>
      </c>
    </row>
    <row r="702" customFormat="false" ht="30" hidden="false" customHeight="true" outlineLevel="0" collapsed="false">
      <c r="A702" s="5" t="str">
        <f aca="false">Data!A702</f>
        <v>2021-05</v>
      </c>
      <c r="B702" s="12" t="n">
        <f aca="false">Data!K702</f>
        <v>-0.0484</v>
      </c>
      <c r="C702" s="12" t="n">
        <f aca="false">Data!B702</f>
        <v>0.001</v>
      </c>
      <c r="D702" s="12" t="n">
        <f aca="false">(B702-C702)*Inputs!B2</f>
        <v>-0.0247</v>
      </c>
      <c r="E702" s="12" t="n">
        <f aca="false">4*Inputs!B2*Inputs!B4*Inputs!B3/10000</f>
        <v>0.001</v>
      </c>
      <c r="F702" s="12" t="n">
        <f aca="false">Inputs!B2*Inputs!B5/Inputs!B6</f>
        <v>0.000833333333333333</v>
      </c>
      <c r="G702" s="12" t="n">
        <f aca="false">D702-E702-F702</f>
        <v>-0.0265333333333333</v>
      </c>
      <c r="H702" s="5" t="n">
        <f aca="false">(1+G702)*H701</f>
        <v>10.0985600624219</v>
      </c>
      <c r="I702" s="5" t="n">
        <f aca="false">MAX(1,H$2:H702)</f>
        <v>23.8173271148404</v>
      </c>
      <c r="J702" s="12" t="n">
        <f aca="false">H702/I702-1</f>
        <v>-0.575999438823279</v>
      </c>
      <c r="K702" s="12" t="n">
        <f aca="false">Data!L702</f>
        <v>0.0056</v>
      </c>
    </row>
    <row r="703" customFormat="false" ht="30" hidden="false" customHeight="true" outlineLevel="0" collapsed="false">
      <c r="A703" s="4" t="str">
        <f aca="false">Data!A703</f>
        <v>2021-06</v>
      </c>
      <c r="B703" s="13" t="n">
        <f aca="false">Data!K703</f>
        <v>0.0925</v>
      </c>
      <c r="C703" s="13" t="n">
        <f aca="false">Data!B703</f>
        <v>0.0255</v>
      </c>
      <c r="D703" s="13" t="n">
        <f aca="false">(B703-C703)*Inputs!B2</f>
        <v>0.0335</v>
      </c>
      <c r="E703" s="13" t="n">
        <f aca="false">4*Inputs!B2*Inputs!B4*Inputs!B3/10000</f>
        <v>0.001</v>
      </c>
      <c r="F703" s="13" t="n">
        <f aca="false">Inputs!B2*Inputs!B5/Inputs!B6</f>
        <v>0.000833333333333333</v>
      </c>
      <c r="G703" s="13" t="n">
        <f aca="false">D703-E703-F703</f>
        <v>0.0316666666666667</v>
      </c>
      <c r="H703" s="4" t="n">
        <f aca="false">(1+G703)*H702</f>
        <v>10.4183477977319</v>
      </c>
      <c r="I703" s="4" t="n">
        <f aca="false">MAX(1,H$2:H703)</f>
        <v>23.8173271148404</v>
      </c>
      <c r="J703" s="13" t="n">
        <f aca="false">H703/I703-1</f>
        <v>-0.562572754386016</v>
      </c>
      <c r="K703" s="13" t="n">
        <f aca="false">Data!L703</f>
        <v>0.0207</v>
      </c>
    </row>
    <row r="704" customFormat="false" ht="30" hidden="false" customHeight="true" outlineLevel="0" collapsed="false">
      <c r="A704" s="5" t="str">
        <f aca="false">Data!A704</f>
        <v>2021-07</v>
      </c>
      <c r="B704" s="12" t="n">
        <f aca="false">Data!K704</f>
        <v>-0.0056</v>
      </c>
      <c r="C704" s="12" t="n">
        <f aca="false">Data!B704</f>
        <v>-0.0047</v>
      </c>
      <c r="D704" s="12" t="n">
        <f aca="false">(B704-C704)*Inputs!B2</f>
        <v>-0.000450000000000001</v>
      </c>
      <c r="E704" s="12" t="n">
        <f aca="false">4*Inputs!B2*Inputs!B4*Inputs!B3/10000</f>
        <v>0.001</v>
      </c>
      <c r="F704" s="12" t="n">
        <f aca="false">Inputs!B2*Inputs!B5/Inputs!B6</f>
        <v>0.000833333333333333</v>
      </c>
      <c r="G704" s="12" t="n">
        <f aca="false">D704-E704-F704</f>
        <v>-0.00228333333333333</v>
      </c>
      <c r="H704" s="5" t="n">
        <f aca="false">(1+G704)*H703</f>
        <v>10.3945592369271</v>
      </c>
      <c r="I704" s="5" t="n">
        <f aca="false">MAX(1,H$2:H704)</f>
        <v>23.8173271148404</v>
      </c>
      <c r="J704" s="12" t="n">
        <f aca="false">H704/I704-1</f>
        <v>-0.563571546596835</v>
      </c>
      <c r="K704" s="12" t="n">
        <f aca="false">Data!L704</f>
        <v>-0.0218</v>
      </c>
    </row>
    <row r="705" customFormat="false" ht="30" hidden="false" customHeight="true" outlineLevel="0" collapsed="false">
      <c r="A705" s="4" t="str">
        <f aca="false">Data!A705</f>
        <v>2021-08</v>
      </c>
      <c r="B705" s="13" t="n">
        <f aca="false">Data!K705</f>
        <v>0.0308</v>
      </c>
      <c r="C705" s="13" t="n">
        <f aca="false">Data!B705</f>
        <v>-0.003</v>
      </c>
      <c r="D705" s="13" t="n">
        <f aca="false">(B705-C705)*Inputs!B2</f>
        <v>0.0169</v>
      </c>
      <c r="E705" s="13" t="n">
        <f aca="false">4*Inputs!B2*Inputs!B4*Inputs!B3/10000</f>
        <v>0.001</v>
      </c>
      <c r="F705" s="13" t="n">
        <f aca="false">Inputs!B2*Inputs!B5/Inputs!B6</f>
        <v>0.000833333333333333</v>
      </c>
      <c r="G705" s="13" t="n">
        <f aca="false">D705-E705-F705</f>
        <v>0.0150666666666667</v>
      </c>
      <c r="H705" s="4" t="n">
        <f aca="false">(1+G705)*H704</f>
        <v>10.5511705960968</v>
      </c>
      <c r="I705" s="4" t="n">
        <f aca="false">MAX(1,H$2:H705)</f>
        <v>23.8173271148404</v>
      </c>
      <c r="J705" s="13" t="n">
        <f aca="false">H705/I705-1</f>
        <v>-0.556996024565561</v>
      </c>
      <c r="K705" s="13" t="n">
        <f aca="false">Data!L705</f>
        <v>0.0263</v>
      </c>
    </row>
    <row r="706" customFormat="false" ht="30" hidden="false" customHeight="true" outlineLevel="0" collapsed="false">
      <c r="A706" s="5" t="str">
        <f aca="false">Data!A706</f>
        <v>2021-09</v>
      </c>
      <c r="B706" s="12" t="n">
        <f aca="false">Data!K706</f>
        <v>-0.0309</v>
      </c>
      <c r="C706" s="12" t="n">
        <f aca="false">Data!B706</f>
        <v>-0.0348</v>
      </c>
      <c r="D706" s="12" t="n">
        <f aca="false">(B706-C706)*Inputs!B2</f>
        <v>0.00195</v>
      </c>
      <c r="E706" s="12" t="n">
        <f aca="false">4*Inputs!B2*Inputs!B4*Inputs!B3/10000</f>
        <v>0.001</v>
      </c>
      <c r="F706" s="12" t="n">
        <f aca="false">Inputs!B2*Inputs!B5/Inputs!B6</f>
        <v>0.000833333333333333</v>
      </c>
      <c r="G706" s="12" t="n">
        <f aca="false">D706-E706-F706</f>
        <v>0.000116666666666665</v>
      </c>
      <c r="H706" s="5" t="n">
        <f aca="false">(1+G706)*H705</f>
        <v>10.5524015659997</v>
      </c>
      <c r="I706" s="5" t="n">
        <f aca="false">MAX(1,H$2:H706)</f>
        <v>23.8173271148404</v>
      </c>
      <c r="J706" s="12" t="n">
        <f aca="false">H706/I706-1</f>
        <v>-0.556944340768426</v>
      </c>
      <c r="K706" s="12" t="n">
        <f aca="false">Data!L706</f>
        <v>0.0143</v>
      </c>
    </row>
    <row r="707" customFormat="false" ht="30" hidden="false" customHeight="true" outlineLevel="0" collapsed="false">
      <c r="A707" s="4" t="str">
        <f aca="false">Data!A707</f>
        <v>2021-10</v>
      </c>
      <c r="B707" s="13" t="n">
        <f aca="false">Data!K707</f>
        <v>0.0422</v>
      </c>
      <c r="C707" s="13" t="n">
        <f aca="false">Data!B707</f>
        <v>0.0218</v>
      </c>
      <c r="D707" s="13" t="n">
        <f aca="false">(B707-C707)*Inputs!B2</f>
        <v>0.0102</v>
      </c>
      <c r="E707" s="13" t="n">
        <f aca="false">4*Inputs!B2*Inputs!B4*Inputs!B3/10000</f>
        <v>0.001</v>
      </c>
      <c r="F707" s="13" t="n">
        <f aca="false">Inputs!B2*Inputs!B5/Inputs!B6</f>
        <v>0.000833333333333333</v>
      </c>
      <c r="G707" s="13" t="n">
        <f aca="false">D707-E707-F707</f>
        <v>0.00836666666666666</v>
      </c>
      <c r="H707" s="4" t="n">
        <f aca="false">(1+G707)*H706</f>
        <v>10.6406899924352</v>
      </c>
      <c r="I707" s="4" t="n">
        <f aca="false">MAX(1,H$2:H707)</f>
        <v>23.8173271148404</v>
      </c>
      <c r="J707" s="13" t="n">
        <f aca="false">H707/I707-1</f>
        <v>-0.553237441752856</v>
      </c>
      <c r="K707" s="13" t="n">
        <f aca="false">Data!L707</f>
        <v>0.0331</v>
      </c>
    </row>
    <row r="708" customFormat="false" ht="30" hidden="false" customHeight="true" outlineLevel="0" collapsed="false">
      <c r="A708" s="5" t="str">
        <f aca="false">Data!A708</f>
        <v>2021-11</v>
      </c>
      <c r="B708" s="12" t="n">
        <f aca="false">Data!K708</f>
        <v>-0.0243</v>
      </c>
      <c r="C708" s="12" t="n">
        <f aca="false">Data!B708</f>
        <v>-0.0837</v>
      </c>
      <c r="D708" s="12" t="n">
        <f aca="false">(B708-C708)*Inputs!B2</f>
        <v>0.0297</v>
      </c>
      <c r="E708" s="12" t="n">
        <f aca="false">4*Inputs!B2*Inputs!B4*Inputs!B3/10000</f>
        <v>0.001</v>
      </c>
      <c r="F708" s="12" t="n">
        <f aca="false">Inputs!B2*Inputs!B5/Inputs!B6</f>
        <v>0.000833333333333333</v>
      </c>
      <c r="G708" s="12" t="n">
        <f aca="false">D708-E708-F708</f>
        <v>0.0278666666666667</v>
      </c>
      <c r="H708" s="5" t="n">
        <f aca="false">(1+G708)*H707</f>
        <v>10.9372105535577</v>
      </c>
      <c r="I708" s="5" t="n">
        <f aca="false">MAX(1,H$2:H708)</f>
        <v>23.8173271148404</v>
      </c>
      <c r="J708" s="12" t="n">
        <f aca="false">H708/I708-1</f>
        <v>-0.540787658463035</v>
      </c>
      <c r="K708" s="12" t="n">
        <f aca="false">Data!L708</f>
        <v>0.0096</v>
      </c>
    </row>
    <row r="709" customFormat="false" ht="30" hidden="false" customHeight="true" outlineLevel="0" collapsed="false">
      <c r="A709" s="4" t="str">
        <f aca="false">Data!A709</f>
        <v>2021-12</v>
      </c>
      <c r="B709" s="13" t="n">
        <f aca="false">Data!K709</f>
        <v>-0.0665</v>
      </c>
      <c r="C709" s="13" t="n">
        <f aca="false">Data!B709</f>
        <v>0.031</v>
      </c>
      <c r="D709" s="13" t="n">
        <f aca="false">(B709-C709)*Inputs!B2</f>
        <v>-0.04875</v>
      </c>
      <c r="E709" s="13" t="n">
        <f aca="false">4*Inputs!B2*Inputs!B4*Inputs!B3/10000</f>
        <v>0.001</v>
      </c>
      <c r="F709" s="13" t="n">
        <f aca="false">Inputs!B2*Inputs!B5/Inputs!B6</f>
        <v>0.000833333333333333</v>
      </c>
      <c r="G709" s="13" t="n">
        <f aca="false">D709-E709-F709</f>
        <v>-0.0505833333333333</v>
      </c>
      <c r="H709" s="4" t="n">
        <f aca="false">(1+G709)*H708</f>
        <v>10.3839699863903</v>
      </c>
      <c r="I709" s="4" t="n">
        <f aca="false">MAX(1,H$2:H709)</f>
        <v>23.8173271148404</v>
      </c>
      <c r="J709" s="13" t="n">
        <f aca="false">H709/I709-1</f>
        <v>-0.56401614940578</v>
      </c>
      <c r="K709" s="13" t="n">
        <f aca="false">Data!L709</f>
        <v>-0.024</v>
      </c>
    </row>
    <row r="710" customFormat="false" ht="30" hidden="false" customHeight="true" outlineLevel="0" collapsed="false">
      <c r="A710" s="5" t="str">
        <f aca="false">Data!A710</f>
        <v>2022-01</v>
      </c>
      <c r="B710" s="12" t="n">
        <f aca="false">Data!K710</f>
        <v>-0.1082</v>
      </c>
      <c r="C710" s="12" t="n">
        <f aca="false">Data!B710</f>
        <v>-0.0741</v>
      </c>
      <c r="D710" s="12" t="n">
        <f aca="false">(B710-C710)*Inputs!B2</f>
        <v>-0.01705</v>
      </c>
      <c r="E710" s="12" t="n">
        <f aca="false">4*Inputs!B2*Inputs!B4*Inputs!B3/10000</f>
        <v>0.001</v>
      </c>
      <c r="F710" s="12" t="n">
        <f aca="false">Inputs!B2*Inputs!B5/Inputs!B6</f>
        <v>0.000833333333333333</v>
      </c>
      <c r="G710" s="12" t="n">
        <f aca="false">D710-E710-F710</f>
        <v>-0.0188833333333333</v>
      </c>
      <c r="H710" s="5" t="n">
        <f aca="false">(1+G710)*H709</f>
        <v>10.1878860198139</v>
      </c>
      <c r="I710" s="5" t="n">
        <f aca="false">MAX(1,H$2:H710)</f>
        <v>23.8173271148404</v>
      </c>
      <c r="J710" s="12" t="n">
        <f aca="false">H710/I710-1</f>
        <v>-0.572248977784501</v>
      </c>
      <c r="K710" s="12" t="n">
        <f aca="false">Data!L710</f>
        <v>-0.0243</v>
      </c>
    </row>
    <row r="711" customFormat="false" ht="30" hidden="false" customHeight="true" outlineLevel="0" collapsed="false">
      <c r="A711" s="4" t="str">
        <f aca="false">Data!A711</f>
        <v>2022-02</v>
      </c>
      <c r="B711" s="13" t="n">
        <f aca="false">Data!K711</f>
        <v>0.0065</v>
      </c>
      <c r="C711" s="13" t="n">
        <f aca="false">Data!B711</f>
        <v>-0.0315</v>
      </c>
      <c r="D711" s="13" t="n">
        <f aca="false">(B711-C711)*Inputs!B2</f>
        <v>0.019</v>
      </c>
      <c r="E711" s="13" t="n">
        <f aca="false">4*Inputs!B2*Inputs!B4*Inputs!B3/10000</f>
        <v>0.001</v>
      </c>
      <c r="F711" s="13" t="n">
        <f aca="false">Inputs!B2*Inputs!B5/Inputs!B6</f>
        <v>0.000833333333333333</v>
      </c>
      <c r="G711" s="13" t="n">
        <f aca="false">D711-E711-F711</f>
        <v>0.0171666666666667</v>
      </c>
      <c r="H711" s="4" t="n">
        <f aca="false">(1+G711)*H710</f>
        <v>10.3627780631541</v>
      </c>
      <c r="I711" s="4" t="n">
        <f aca="false">MAX(1,H$2:H711)</f>
        <v>23.8173271148404</v>
      </c>
      <c r="J711" s="13" t="n">
        <f aca="false">H711/I711-1</f>
        <v>-0.564905918569801</v>
      </c>
      <c r="K711" s="13" t="n">
        <f aca="false">Data!L711</f>
        <v>0.0162</v>
      </c>
    </row>
    <row r="712" customFormat="false" ht="30" hidden="false" customHeight="true" outlineLevel="0" collapsed="false">
      <c r="A712" s="5" t="str">
        <f aca="false">Data!A712</f>
        <v>2022-03</v>
      </c>
      <c r="B712" s="12" t="n">
        <f aca="false">Data!K712</f>
        <v>0.0518</v>
      </c>
      <c r="C712" s="12" t="n">
        <f aca="false">Data!B712</f>
        <v>-0.0007</v>
      </c>
      <c r="D712" s="12" t="n">
        <f aca="false">(B712-C712)*Inputs!B2</f>
        <v>0.02625</v>
      </c>
      <c r="E712" s="12" t="n">
        <f aca="false">4*Inputs!B2*Inputs!B4*Inputs!B3/10000</f>
        <v>0.001</v>
      </c>
      <c r="F712" s="12" t="n">
        <f aca="false">Inputs!B2*Inputs!B5/Inputs!B6</f>
        <v>0.000833333333333333</v>
      </c>
      <c r="G712" s="12" t="n">
        <f aca="false">D712-E712-F712</f>
        <v>0.0244166666666667</v>
      </c>
      <c r="H712" s="5" t="n">
        <f aca="false">(1+G712)*H711</f>
        <v>10.6158025608627</v>
      </c>
      <c r="I712" s="5" t="n">
        <f aca="false">MAX(1,H$2:H712)</f>
        <v>23.8173271148404</v>
      </c>
      <c r="J712" s="12" t="n">
        <f aca="false">H712/I712-1</f>
        <v>-0.554282371414881</v>
      </c>
      <c r="K712" s="12" t="n">
        <f aca="false">Data!L712</f>
        <v>0.0292</v>
      </c>
    </row>
    <row r="713" customFormat="false" ht="30" hidden="false" customHeight="true" outlineLevel="0" collapsed="false">
      <c r="A713" s="4" t="str">
        <f aca="false">Data!A713</f>
        <v>2022-04</v>
      </c>
      <c r="B713" s="13" t="n">
        <f aca="false">Data!K713</f>
        <v>-0.1216</v>
      </c>
      <c r="C713" s="13" t="n">
        <f aca="false">Data!B713</f>
        <v>-0.2093</v>
      </c>
      <c r="D713" s="13" t="n">
        <f aca="false">(B713-C713)*Inputs!B2</f>
        <v>0.04385</v>
      </c>
      <c r="E713" s="13" t="n">
        <f aca="false">4*Inputs!B2*Inputs!B4*Inputs!B3/10000</f>
        <v>0.001</v>
      </c>
      <c r="F713" s="13" t="n">
        <f aca="false">Inputs!B2*Inputs!B5/Inputs!B6</f>
        <v>0.000833333333333333</v>
      </c>
      <c r="G713" s="13" t="n">
        <f aca="false">D713-E713-F713</f>
        <v>0.0420166666666667</v>
      </c>
      <c r="H713" s="4" t="n">
        <f aca="false">(1+G713)*H712</f>
        <v>11.0618431984617</v>
      </c>
      <c r="I713" s="4" t="n">
        <f aca="false">MAX(1,H$2:H713)</f>
        <v>23.8173271148404</v>
      </c>
      <c r="J713" s="13" t="n">
        <f aca="false">H713/I713-1</f>
        <v>-0.535554802387163</v>
      </c>
      <c r="K713" s="13" t="n">
        <f aca="false">Data!L713</f>
        <v>0.0498</v>
      </c>
    </row>
    <row r="714" customFormat="false" ht="30" hidden="false" customHeight="true" outlineLevel="0" collapsed="false">
      <c r="A714" s="5" t="str">
        <f aca="false">Data!A714</f>
        <v>2022-05</v>
      </c>
      <c r="B714" s="12" t="n">
        <f aca="false">Data!K714</f>
        <v>0.0166</v>
      </c>
      <c r="C714" s="12" t="n">
        <f aca="false">Data!B714</f>
        <v>-0.0785</v>
      </c>
      <c r="D714" s="12" t="n">
        <f aca="false">(B714-C714)*Inputs!B2</f>
        <v>0.04755</v>
      </c>
      <c r="E714" s="12" t="n">
        <f aca="false">4*Inputs!B2*Inputs!B4*Inputs!B3/10000</f>
        <v>0.001</v>
      </c>
      <c r="F714" s="12" t="n">
        <f aca="false">Inputs!B2*Inputs!B5/Inputs!B6</f>
        <v>0.000833333333333333</v>
      </c>
      <c r="G714" s="12" t="n">
        <f aca="false">D714-E714-F714</f>
        <v>0.0457166666666667</v>
      </c>
      <c r="H714" s="5" t="n">
        <f aca="false">(1+G714)*H713</f>
        <v>11.5675537966847</v>
      </c>
      <c r="I714" s="5" t="n">
        <f aca="false">MAX(1,H$2:H714)</f>
        <v>23.8173271148404</v>
      </c>
      <c r="J714" s="12" t="n">
        <f aca="false">H714/I714-1</f>
        <v>-0.514321916102962</v>
      </c>
      <c r="K714" s="12" t="n">
        <f aca="false">Data!L714</f>
        <v>0.0252</v>
      </c>
    </row>
    <row r="715" customFormat="false" ht="30" hidden="false" customHeight="true" outlineLevel="0" collapsed="false">
      <c r="A715" s="4" t="str">
        <f aca="false">Data!A715</f>
        <v>2022-06</v>
      </c>
      <c r="B715" s="13" t="n">
        <f aca="false">Data!K715</f>
        <v>-0.1041</v>
      </c>
      <c r="C715" s="13" t="n">
        <f aca="false">Data!B715</f>
        <v>-0.1142</v>
      </c>
      <c r="D715" s="13" t="n">
        <f aca="false">(B715-C715)*Inputs!B2</f>
        <v>0.00505</v>
      </c>
      <c r="E715" s="13" t="n">
        <f aca="false">4*Inputs!B2*Inputs!B4*Inputs!B3/10000</f>
        <v>0.001</v>
      </c>
      <c r="F715" s="13" t="n">
        <f aca="false">Inputs!B2*Inputs!B5/Inputs!B6</f>
        <v>0.000833333333333333</v>
      </c>
      <c r="G715" s="13" t="n">
        <f aca="false">D715-E715-F715</f>
        <v>0.00321666666666667</v>
      </c>
      <c r="H715" s="4" t="n">
        <f aca="false">(1+G715)*H714</f>
        <v>11.6047627613973</v>
      </c>
      <c r="I715" s="4" t="n">
        <f aca="false">MAX(1,H$2:H715)</f>
        <v>23.8173271148404</v>
      </c>
      <c r="J715" s="13" t="n">
        <f aca="false">H715/I715-1</f>
        <v>-0.51275965159976</v>
      </c>
      <c r="K715" s="13" t="n">
        <f aca="false">Data!L715</f>
        <v>0.0106</v>
      </c>
    </row>
    <row r="716" customFormat="false" ht="30" hidden="false" customHeight="true" outlineLevel="0" collapsed="false">
      <c r="A716" s="5" t="str">
        <f aca="false">Data!A716</f>
        <v>2022-07</v>
      </c>
      <c r="B716" s="12" t="n">
        <f aca="false">Data!K716</f>
        <v>0.0857</v>
      </c>
      <c r="C716" s="12" t="n">
        <f aca="false">Data!B716</f>
        <v>0.15</v>
      </c>
      <c r="D716" s="12" t="n">
        <f aca="false">(B716-C716)*Inputs!B2</f>
        <v>-0.03215</v>
      </c>
      <c r="E716" s="12" t="n">
        <f aca="false">4*Inputs!B2*Inputs!B4*Inputs!B3/10000</f>
        <v>0.001</v>
      </c>
      <c r="F716" s="12" t="n">
        <f aca="false">Inputs!B2*Inputs!B5/Inputs!B6</f>
        <v>0.000833333333333333</v>
      </c>
      <c r="G716" s="12" t="n">
        <f aca="false">D716-E716-F716</f>
        <v>-0.0339833333333333</v>
      </c>
      <c r="H716" s="5" t="n">
        <f aca="false">(1+G716)*H715</f>
        <v>11.2103942402225</v>
      </c>
      <c r="I716" s="5" t="n">
        <f aca="false">MAX(1,H$2:H716)</f>
        <v>23.8173271148404</v>
      </c>
      <c r="J716" s="12" t="n">
        <f aca="false">H716/I716-1</f>
        <v>-0.529317702772895</v>
      </c>
      <c r="K716" s="12" t="n">
        <f aca="false">Data!L716</f>
        <v>-0.0441</v>
      </c>
    </row>
    <row r="717" customFormat="false" ht="30" hidden="false" customHeight="true" outlineLevel="0" collapsed="false">
      <c r="A717" s="4" t="str">
        <f aca="false">Data!A717</f>
        <v>2022-08</v>
      </c>
      <c r="B717" s="13" t="n">
        <f aca="false">Data!K717</f>
        <v>0.0003</v>
      </c>
      <c r="C717" s="13" t="n">
        <f aca="false">Data!B717</f>
        <v>-0.0309</v>
      </c>
      <c r="D717" s="13" t="n">
        <f aca="false">(B717-C717)*Inputs!B2</f>
        <v>0.0156</v>
      </c>
      <c r="E717" s="13" t="n">
        <f aca="false">4*Inputs!B2*Inputs!B4*Inputs!B3/10000</f>
        <v>0.001</v>
      </c>
      <c r="F717" s="13" t="n">
        <f aca="false">Inputs!B2*Inputs!B5/Inputs!B6</f>
        <v>0.000833333333333333</v>
      </c>
      <c r="G717" s="13" t="n">
        <f aca="false">D717-E717-F717</f>
        <v>0.0137666666666667</v>
      </c>
      <c r="H717" s="4" t="n">
        <f aca="false">(1+G717)*H716</f>
        <v>11.3647240009296</v>
      </c>
      <c r="I717" s="4" t="n">
        <f aca="false">MAX(1,H$2:H717)</f>
        <v>23.8173271148404</v>
      </c>
      <c r="J717" s="13" t="n">
        <f aca="false">H717/I717-1</f>
        <v>-0.522837976481068</v>
      </c>
      <c r="K717" s="13" t="n">
        <f aca="false">Data!L717</f>
        <v>0.0189</v>
      </c>
    </row>
    <row r="718" customFormat="false" ht="30" hidden="false" customHeight="true" outlineLevel="0" collapsed="false">
      <c r="A718" s="5" t="str">
        <f aca="false">Data!A718</f>
        <v>2022-09</v>
      </c>
      <c r="B718" s="12" t="n">
        <f aca="false">Data!K718</f>
        <v>-0.073</v>
      </c>
      <c r="C718" s="12" t="n">
        <f aca="false">Data!B718</f>
        <v>-0.1163</v>
      </c>
      <c r="D718" s="12" t="n">
        <f aca="false">(B718-C718)*Inputs!B2</f>
        <v>0.02165</v>
      </c>
      <c r="E718" s="12" t="n">
        <f aca="false">4*Inputs!B2*Inputs!B4*Inputs!B3/10000</f>
        <v>0.001</v>
      </c>
      <c r="F718" s="12" t="n">
        <f aca="false">Inputs!B2*Inputs!B5/Inputs!B6</f>
        <v>0.000833333333333333</v>
      </c>
      <c r="G718" s="12" t="n">
        <f aca="false">D718-E718-F718</f>
        <v>0.0198166666666667</v>
      </c>
      <c r="H718" s="5" t="n">
        <f aca="false">(1+G718)*H717</f>
        <v>11.5899349482147</v>
      </c>
      <c r="I718" s="5" t="n">
        <f aca="false">MAX(1,H$2:H718)</f>
        <v>23.8173271148404</v>
      </c>
      <c r="J718" s="12" t="n">
        <f aca="false">H718/I718-1</f>
        <v>-0.513382215715002</v>
      </c>
      <c r="K718" s="12" t="n">
        <f aca="false">Data!L718</f>
        <v>0.0371</v>
      </c>
    </row>
    <row r="719" customFormat="false" ht="30" hidden="false" customHeight="true" outlineLevel="0" collapsed="false">
      <c r="A719" s="4" t="str">
        <f aca="false">Data!A719</f>
        <v>2022-10</v>
      </c>
      <c r="B719" s="13" t="n">
        <f aca="false">Data!K719</f>
        <v>0.1798</v>
      </c>
      <c r="C719" s="13" t="n">
        <f aca="false">Data!B719</f>
        <v>0.0714</v>
      </c>
      <c r="D719" s="13" t="n">
        <f aca="false">(B719-C719)*Inputs!B2</f>
        <v>0.0542</v>
      </c>
      <c r="E719" s="13" t="n">
        <f aca="false">4*Inputs!B2*Inputs!B4*Inputs!B3/10000</f>
        <v>0.001</v>
      </c>
      <c r="F719" s="13" t="n">
        <f aca="false">Inputs!B2*Inputs!B5/Inputs!B6</f>
        <v>0.000833333333333333</v>
      </c>
      <c r="G719" s="13" t="n">
        <f aca="false">D719-E719-F719</f>
        <v>0.0523666666666667</v>
      </c>
      <c r="H719" s="4" t="n">
        <f aca="false">(1+G719)*H718</f>
        <v>12.1968612083362</v>
      </c>
      <c r="I719" s="4" t="n">
        <f aca="false">MAX(1,H$2:H719)</f>
        <v>23.8173271148404</v>
      </c>
      <c r="J719" s="13" t="n">
        <f aca="false">H719/I719-1</f>
        <v>-0.487899664411277</v>
      </c>
      <c r="K719" s="13" t="n">
        <f aca="false">Data!L719</f>
        <v>0.0394</v>
      </c>
    </row>
    <row r="720" customFormat="false" ht="30" hidden="false" customHeight="true" outlineLevel="0" collapsed="false">
      <c r="A720" s="5" t="str">
        <f aca="false">Data!A720</f>
        <v>2022-11</v>
      </c>
      <c r="B720" s="12" t="n">
        <f aca="false">Data!K720</f>
        <v>0.0186</v>
      </c>
      <c r="C720" s="12" t="n">
        <f aca="false">Data!B720</f>
        <v>0.0152</v>
      </c>
      <c r="D720" s="12" t="n">
        <f aca="false">(B720-C720)*Inputs!B2</f>
        <v>0.0017</v>
      </c>
      <c r="E720" s="12" t="n">
        <f aca="false">4*Inputs!B2*Inputs!B4*Inputs!B3/10000</f>
        <v>0.001</v>
      </c>
      <c r="F720" s="12" t="n">
        <f aca="false">Inputs!B2*Inputs!B5/Inputs!B6</f>
        <v>0.000833333333333333</v>
      </c>
      <c r="G720" s="12" t="n">
        <f aca="false">D720-E720-F720</f>
        <v>-0.000133333333333334</v>
      </c>
      <c r="H720" s="5" t="n">
        <f aca="false">(1+G720)*H719</f>
        <v>12.1952349601751</v>
      </c>
      <c r="I720" s="5" t="n">
        <f aca="false">MAX(1,H$2:H720)</f>
        <v>23.8173271148404</v>
      </c>
      <c r="J720" s="12" t="n">
        <f aca="false">H720/I720-1</f>
        <v>-0.487967944456022</v>
      </c>
      <c r="K720" s="12" t="n">
        <f aca="false">Data!L720</f>
        <v>-0.0171</v>
      </c>
    </row>
    <row r="721" customFormat="false" ht="30" hidden="false" customHeight="true" outlineLevel="0" collapsed="false">
      <c r="A721" s="4" t="str">
        <f aca="false">Data!A721</f>
        <v>2022-12</v>
      </c>
      <c r="B721" s="13" t="n">
        <f aca="false">Data!K721</f>
        <v>-0.0423</v>
      </c>
      <c r="C721" s="13" t="n">
        <f aca="false">Data!B721</f>
        <v>-0.0956</v>
      </c>
      <c r="D721" s="13" t="n">
        <f aca="false">(B721-C721)*Inputs!B2</f>
        <v>0.02665</v>
      </c>
      <c r="E721" s="13" t="n">
        <f aca="false">4*Inputs!B2*Inputs!B4*Inputs!B3/10000</f>
        <v>0.001</v>
      </c>
      <c r="F721" s="13" t="n">
        <f aca="false">Inputs!B2*Inputs!B5/Inputs!B6</f>
        <v>0.000833333333333333</v>
      </c>
      <c r="G721" s="13" t="n">
        <f aca="false">D721-E721-F721</f>
        <v>0.0248166666666667</v>
      </c>
      <c r="H721" s="4" t="n">
        <f aca="false">(1+G721)*H720</f>
        <v>12.4978800411034</v>
      </c>
      <c r="I721" s="4" t="n">
        <f aca="false">MAX(1,H$2:H721)</f>
        <v>23.8173271148404</v>
      </c>
      <c r="J721" s="13" t="n">
        <f aca="false">H721/I721-1</f>
        <v>-0.475261015610939</v>
      </c>
      <c r="K721" s="13" t="n">
        <f aca="false">Data!L721</f>
        <v>0.0494</v>
      </c>
    </row>
    <row r="722" customFormat="false" ht="30" hidden="false" customHeight="true" outlineLevel="0" collapsed="false">
      <c r="A722" s="5" t="str">
        <f aca="false">Data!A722</f>
        <v>2023-01</v>
      </c>
      <c r="B722" s="12" t="n">
        <f aca="false">Data!K722</f>
        <v>0.0052</v>
      </c>
      <c r="C722" s="12" t="n">
        <f aca="false">Data!B722</f>
        <v>0.221</v>
      </c>
      <c r="D722" s="12" t="n">
        <f aca="false">(B722-C722)*Inputs!B2</f>
        <v>-0.1079</v>
      </c>
      <c r="E722" s="12" t="n">
        <f aca="false">4*Inputs!B2*Inputs!B4*Inputs!B3/10000</f>
        <v>0.001</v>
      </c>
      <c r="F722" s="12" t="n">
        <f aca="false">Inputs!B2*Inputs!B5/Inputs!B6</f>
        <v>0.000833333333333333</v>
      </c>
      <c r="G722" s="12" t="n">
        <f aca="false">D722-E722-F722</f>
        <v>-0.109733333333333</v>
      </c>
      <c r="H722" s="5" t="n">
        <f aca="false">(1+G722)*H721</f>
        <v>11.126446004593</v>
      </c>
      <c r="I722" s="5" t="n">
        <f aca="false">MAX(1,H$2:H722)</f>
        <v>23.8173271148404</v>
      </c>
      <c r="J722" s="12" t="n">
        <f aca="false">H722/I722-1</f>
        <v>-0.532842373497899</v>
      </c>
      <c r="K722" s="12" t="n">
        <f aca="false">Data!L722</f>
        <v>-0.1621</v>
      </c>
    </row>
    <row r="723" customFormat="false" ht="30" hidden="false" customHeight="true" outlineLevel="0" collapsed="false">
      <c r="A723" s="4" t="str">
        <f aca="false">Data!A723</f>
        <v>2023-02</v>
      </c>
      <c r="B723" s="13" t="n">
        <f aca="false">Data!K723</f>
        <v>-0.0502</v>
      </c>
      <c r="C723" s="13" t="n">
        <f aca="false">Data!B723</f>
        <v>0.0842</v>
      </c>
      <c r="D723" s="13" t="n">
        <f aca="false">(B723-C723)*Inputs!B2</f>
        <v>-0.0672</v>
      </c>
      <c r="E723" s="13" t="n">
        <f aca="false">4*Inputs!B2*Inputs!B4*Inputs!B3/10000</f>
        <v>0.001</v>
      </c>
      <c r="F723" s="13" t="n">
        <f aca="false">Inputs!B2*Inputs!B5/Inputs!B6</f>
        <v>0.000833333333333333</v>
      </c>
      <c r="G723" s="13" t="n">
        <f aca="false">D723-E723-F723</f>
        <v>-0.0690333333333333</v>
      </c>
      <c r="H723" s="4" t="n">
        <f aca="false">(1+G723)*H722</f>
        <v>10.3583503487426</v>
      </c>
      <c r="I723" s="4" t="n">
        <f aca="false">MAX(1,H$2:H723)</f>
        <v>23.8173271148404</v>
      </c>
      <c r="J723" s="13" t="n">
        <f aca="false">H723/I723-1</f>
        <v>-0.565091821647427</v>
      </c>
      <c r="K723" s="13" t="n">
        <f aca="false">Data!L723</f>
        <v>0.0052</v>
      </c>
    </row>
    <row r="724" customFormat="false" ht="30" hidden="false" customHeight="true" outlineLevel="0" collapsed="false">
      <c r="A724" s="5" t="str">
        <f aca="false">Data!A724</f>
        <v>2023-03</v>
      </c>
      <c r="B724" s="12" t="n">
        <f aca="false">Data!K724</f>
        <v>0.0038</v>
      </c>
      <c r="C724" s="12" t="n">
        <f aca="false">Data!B724</f>
        <v>-0.0482</v>
      </c>
      <c r="D724" s="12" t="n">
        <f aca="false">(B724-C724)*Inputs!B2</f>
        <v>0.026</v>
      </c>
      <c r="E724" s="12" t="n">
        <f aca="false">4*Inputs!B2*Inputs!B4*Inputs!B3/10000</f>
        <v>0.001</v>
      </c>
      <c r="F724" s="12" t="n">
        <f aca="false">Inputs!B2*Inputs!B5/Inputs!B6</f>
        <v>0.000833333333333333</v>
      </c>
      <c r="G724" s="12" t="n">
        <f aca="false">D724-E724-F724</f>
        <v>0.0241666666666667</v>
      </c>
      <c r="H724" s="5" t="n">
        <f aca="false">(1+G724)*H723</f>
        <v>10.6086771488372</v>
      </c>
      <c r="I724" s="5" t="n">
        <f aca="false">MAX(1,H$2:H724)</f>
        <v>23.8173271148404</v>
      </c>
      <c r="J724" s="12" t="n">
        <f aca="false">H724/I724-1</f>
        <v>-0.554581540670573</v>
      </c>
      <c r="K724" s="12" t="n">
        <f aca="false">Data!L724</f>
        <v>-0.0238</v>
      </c>
    </row>
    <row r="725" customFormat="false" ht="30" hidden="false" customHeight="true" outlineLevel="0" collapsed="false">
      <c r="A725" s="4" t="str">
        <f aca="false">Data!A725</f>
        <v>2023-04</v>
      </c>
      <c r="B725" s="13" t="n">
        <f aca="false">Data!K725</f>
        <v>0.0194</v>
      </c>
      <c r="C725" s="13" t="n">
        <f aca="false">Data!B725</f>
        <v>-0.0669</v>
      </c>
      <c r="D725" s="13" t="n">
        <f aca="false">(B725-C725)*Inputs!B2</f>
        <v>0.04315</v>
      </c>
      <c r="E725" s="13" t="n">
        <f aca="false">4*Inputs!B2*Inputs!B4*Inputs!B3/10000</f>
        <v>0.001</v>
      </c>
      <c r="F725" s="13" t="n">
        <f aca="false">Inputs!B2*Inputs!B5/Inputs!B6</f>
        <v>0.000833333333333333</v>
      </c>
      <c r="G725" s="13" t="n">
        <f aca="false">D725-E725-F725</f>
        <v>0.0413166666666667</v>
      </c>
      <c r="H725" s="4" t="n">
        <f aca="false">(1+G725)*H724</f>
        <v>11.04699232637</v>
      </c>
      <c r="I725" s="4" t="n">
        <f aca="false">MAX(1,H$2:H725)</f>
        <v>23.8173271148404</v>
      </c>
      <c r="J725" s="13" t="n">
        <f aca="false">H725/I725-1</f>
        <v>-0.536178334659279</v>
      </c>
      <c r="K725" s="13" t="n">
        <f aca="false">Data!L725</f>
        <v>0.0175</v>
      </c>
    </row>
    <row r="726" customFormat="false" ht="30" hidden="false" customHeight="true" outlineLevel="0" collapsed="false">
      <c r="A726" s="5" t="str">
        <f aca="false">Data!A726</f>
        <v>2023-05</v>
      </c>
      <c r="B726" s="12" t="n">
        <f aca="false">Data!K726</f>
        <v>0.086</v>
      </c>
      <c r="C726" s="12" t="n">
        <f aca="false">Data!B726</f>
        <v>0.047</v>
      </c>
      <c r="D726" s="12" t="n">
        <f aca="false">(B726-C726)*Inputs!B2</f>
        <v>0.0195</v>
      </c>
      <c r="E726" s="12" t="n">
        <f aca="false">4*Inputs!B2*Inputs!B4*Inputs!B3/10000</f>
        <v>0.001</v>
      </c>
      <c r="F726" s="12" t="n">
        <f aca="false">Inputs!B2*Inputs!B5/Inputs!B6</f>
        <v>0.000833333333333333</v>
      </c>
      <c r="G726" s="12" t="n">
        <f aca="false">D726-E726-F726</f>
        <v>0.0176666666666667</v>
      </c>
      <c r="H726" s="5" t="n">
        <f aca="false">(1+G726)*H725</f>
        <v>11.2421558574692</v>
      </c>
      <c r="I726" s="5" t="n">
        <f aca="false">MAX(1,H$2:H726)</f>
        <v>23.8173271148404</v>
      </c>
      <c r="J726" s="12" t="n">
        <f aca="false">H726/I726-1</f>
        <v>-0.527984151904927</v>
      </c>
      <c r="K726" s="12" t="n">
        <f aca="false">Data!L726</f>
        <v>-0.0088</v>
      </c>
    </row>
    <row r="727" customFormat="false" ht="30" hidden="false" customHeight="true" outlineLevel="0" collapsed="false">
      <c r="A727" s="4" t="str">
        <f aca="false">Data!A727</f>
        <v>2023-06</v>
      </c>
      <c r="B727" s="13" t="n">
        <f aca="false">Data!K727</f>
        <v>0.0848</v>
      </c>
      <c r="C727" s="13" t="n">
        <f aca="false">Data!B727</f>
        <v>0.0976</v>
      </c>
      <c r="D727" s="13" t="n">
        <f aca="false">(B727-C727)*Inputs!B2</f>
        <v>-0.0064</v>
      </c>
      <c r="E727" s="13" t="n">
        <f aca="false">4*Inputs!B2*Inputs!B4*Inputs!B3/10000</f>
        <v>0.001</v>
      </c>
      <c r="F727" s="13" t="n">
        <f aca="false">Inputs!B2*Inputs!B5/Inputs!B6</f>
        <v>0.000833333333333333</v>
      </c>
      <c r="G727" s="13" t="n">
        <f aca="false">D727-E727-F727</f>
        <v>-0.00823333333333333</v>
      </c>
      <c r="H727" s="4" t="n">
        <f aca="false">(1+G727)*H726</f>
        <v>11.1495954409094</v>
      </c>
      <c r="I727" s="4" t="n">
        <f aca="false">MAX(1,H$2:H727)</f>
        <v>23.8173271148404</v>
      </c>
      <c r="J727" s="13" t="n">
        <f aca="false">H727/I727-1</f>
        <v>-0.531870415720909</v>
      </c>
      <c r="K727" s="13" t="n">
        <f aca="false">Data!L727</f>
        <v>-0.0271</v>
      </c>
    </row>
    <row r="728" customFormat="false" ht="30" hidden="false" customHeight="true" outlineLevel="0" collapsed="false">
      <c r="A728" s="5" t="str">
        <f aca="false">Data!A728</f>
        <v>2023-07</v>
      </c>
      <c r="B728" s="12" t="n">
        <f aca="false">Data!K728</f>
        <v>0.0511</v>
      </c>
      <c r="C728" s="12" t="n">
        <f aca="false">Data!B728</f>
        <v>0.1231</v>
      </c>
      <c r="D728" s="12" t="n">
        <f aca="false">(B728-C728)*Inputs!B2</f>
        <v>-0.036</v>
      </c>
      <c r="E728" s="12" t="n">
        <f aca="false">4*Inputs!B2*Inputs!B4*Inputs!B3/10000</f>
        <v>0.001</v>
      </c>
      <c r="F728" s="12" t="n">
        <f aca="false">Inputs!B2*Inputs!B5/Inputs!B6</f>
        <v>0.000833333333333333</v>
      </c>
      <c r="G728" s="12" t="n">
        <f aca="false">D728-E728-F728</f>
        <v>-0.0378333333333333</v>
      </c>
      <c r="H728" s="5" t="n">
        <f aca="false">(1+G728)*H727</f>
        <v>10.7277690800616</v>
      </c>
      <c r="I728" s="5" t="n">
        <f aca="false">MAX(1,H$2:H728)</f>
        <v>23.8173271148404</v>
      </c>
      <c r="J728" s="12" t="n">
        <f aca="false">H728/I728-1</f>
        <v>-0.549581318326135</v>
      </c>
      <c r="K728" s="12" t="n">
        <f aca="false">Data!L728</f>
        <v>-0.0399</v>
      </c>
    </row>
    <row r="729" customFormat="false" ht="30" hidden="false" customHeight="true" outlineLevel="0" collapsed="false">
      <c r="A729" s="4" t="str">
        <f aca="false">Data!A729</f>
        <v>2023-08</v>
      </c>
      <c r="B729" s="13" t="n">
        <f aca="false">Data!K729</f>
        <v>-0.0119</v>
      </c>
      <c r="C729" s="13" t="n">
        <f aca="false">Data!B729</f>
        <v>-0.0938</v>
      </c>
      <c r="D729" s="13" t="n">
        <f aca="false">(B729-C729)*Inputs!B2</f>
        <v>0.04095</v>
      </c>
      <c r="E729" s="13" t="n">
        <f aca="false">4*Inputs!B2*Inputs!B4*Inputs!B3/10000</f>
        <v>0.001</v>
      </c>
      <c r="F729" s="13" t="n">
        <f aca="false">Inputs!B2*Inputs!B5/Inputs!B6</f>
        <v>0.000833333333333333</v>
      </c>
      <c r="G729" s="13" t="n">
        <f aca="false">D729-E729-F729</f>
        <v>0.0391166666666667</v>
      </c>
      <c r="H729" s="4" t="n">
        <f aca="false">(1+G729)*H728</f>
        <v>11.1474036472434</v>
      </c>
      <c r="I729" s="4" t="n">
        <f aca="false">MAX(1,H$2:H729)</f>
        <v>23.8173271148404</v>
      </c>
      <c r="J729" s="13" t="n">
        <f aca="false">H729/I729-1</f>
        <v>-0.531962440894659</v>
      </c>
      <c r="K729" s="13" t="n">
        <f aca="false">Data!L729</f>
        <v>0.039</v>
      </c>
    </row>
    <row r="730" customFormat="false" ht="30" hidden="false" customHeight="true" outlineLevel="0" collapsed="false">
      <c r="A730" s="5" t="str">
        <f aca="false">Data!A730</f>
        <v>2023-09</v>
      </c>
      <c r="B730" s="12" t="n">
        <f aca="false">Data!K730</f>
        <v>-0.0771</v>
      </c>
      <c r="C730" s="12" t="n">
        <f aca="false">Data!B730</f>
        <v>-0.0938</v>
      </c>
      <c r="D730" s="12" t="n">
        <f aca="false">(B730-C730)*Inputs!B2</f>
        <v>0.00835</v>
      </c>
      <c r="E730" s="12" t="n">
        <f aca="false">4*Inputs!B2*Inputs!B4*Inputs!B3/10000</f>
        <v>0.001</v>
      </c>
      <c r="F730" s="12" t="n">
        <f aca="false">Inputs!B2*Inputs!B5/Inputs!B6</f>
        <v>0.000833333333333333</v>
      </c>
      <c r="G730" s="12" t="n">
        <f aca="false">D730-E730-F730</f>
        <v>0.00651666666666667</v>
      </c>
      <c r="H730" s="5" t="n">
        <f aca="false">(1+G730)*H729</f>
        <v>11.2200475610112</v>
      </c>
      <c r="I730" s="5" t="n">
        <f aca="false">MAX(1,H$2:H730)</f>
        <v>23.8173271148404</v>
      </c>
      <c r="J730" s="12" t="n">
        <f aca="false">H730/I730-1</f>
        <v>-0.528912396134489</v>
      </c>
      <c r="K730" s="12" t="n">
        <f aca="false">Data!L730</f>
        <v>0.0025</v>
      </c>
    </row>
    <row r="731" customFormat="false" ht="30" hidden="false" customHeight="true" outlineLevel="0" collapsed="false">
      <c r="A731" s="4" t="str">
        <f aca="false">Data!A731</f>
        <v>2023-10</v>
      </c>
      <c r="B731" s="13" t="n">
        <f aca="false">Data!K731</f>
        <v>-0.0409</v>
      </c>
      <c r="C731" s="13" t="n">
        <f aca="false">Data!B731</f>
        <v>-0.0919</v>
      </c>
      <c r="D731" s="13" t="n">
        <f aca="false">(B731-C731)*Inputs!B2</f>
        <v>0.0255</v>
      </c>
      <c r="E731" s="13" t="n">
        <f aca="false">4*Inputs!B2*Inputs!B4*Inputs!B3/10000</f>
        <v>0.001</v>
      </c>
      <c r="F731" s="13" t="n">
        <f aca="false">Inputs!B2*Inputs!B5/Inputs!B6</f>
        <v>0.000833333333333333</v>
      </c>
      <c r="G731" s="13" t="n">
        <f aca="false">D731-E731-F731</f>
        <v>0.0236666666666667</v>
      </c>
      <c r="H731" s="4" t="n">
        <f aca="false">(1+G731)*H730</f>
        <v>11.4855886866218</v>
      </c>
      <c r="I731" s="4" t="n">
        <f aca="false">MAX(1,H$2:H731)</f>
        <v>23.8173271148404</v>
      </c>
      <c r="J731" s="13" t="n">
        <f aca="false">H731/I731-1</f>
        <v>-0.517763322843005</v>
      </c>
      <c r="K731" s="13" t="n">
        <f aca="false">Data!L731</f>
        <v>0.0169</v>
      </c>
    </row>
    <row r="732" customFormat="false" ht="30" hidden="false" customHeight="true" outlineLevel="0" collapsed="false">
      <c r="A732" s="5" t="str">
        <f aca="false">Data!A732</f>
        <v>2023-11</v>
      </c>
      <c r="B732" s="12" t="n">
        <f aca="false">Data!K732</f>
        <v>0.1276</v>
      </c>
      <c r="C732" s="12" t="n">
        <f aca="false">Data!B732</f>
        <v>0.0899</v>
      </c>
      <c r="D732" s="12" t="n">
        <f aca="false">(B732-C732)*Inputs!B2</f>
        <v>0.01885</v>
      </c>
      <c r="E732" s="12" t="n">
        <f aca="false">4*Inputs!B2*Inputs!B4*Inputs!B3/10000</f>
        <v>0.001</v>
      </c>
      <c r="F732" s="12" t="n">
        <f aca="false">Inputs!B2*Inputs!B5/Inputs!B6</f>
        <v>0.000833333333333333</v>
      </c>
      <c r="G732" s="12" t="n">
        <f aca="false">D732-E732-F732</f>
        <v>0.0170166666666667</v>
      </c>
      <c r="H732" s="5" t="n">
        <f aca="false">(1+G732)*H731</f>
        <v>11.6810351207725</v>
      </c>
      <c r="I732" s="5" t="n">
        <f aca="false">MAX(1,H$2:H732)</f>
        <v>23.8173271148404</v>
      </c>
      <c r="J732" s="12" t="n">
        <f aca="false">H732/I732-1</f>
        <v>-0.509557262053384</v>
      </c>
      <c r="K732" s="12" t="n">
        <f aca="false">Data!L732</f>
        <v>0.0259</v>
      </c>
    </row>
    <row r="733" customFormat="false" ht="30" hidden="false" customHeight="true" outlineLevel="0" collapsed="false">
      <c r="A733" s="4" t="str">
        <f aca="false">Data!A733</f>
        <v>2023-12</v>
      </c>
      <c r="B733" s="13" t="n">
        <f aca="false">Data!K733</f>
        <v>0.04</v>
      </c>
      <c r="C733" s="13" t="n">
        <f aca="false">Data!B733</f>
        <v>0.1974</v>
      </c>
      <c r="D733" s="13" t="n">
        <f aca="false">(B733-C733)*Inputs!B2</f>
        <v>-0.0787</v>
      </c>
      <c r="E733" s="13" t="n">
        <f aca="false">4*Inputs!B2*Inputs!B4*Inputs!B3/10000</f>
        <v>0.001</v>
      </c>
      <c r="F733" s="13" t="n">
        <f aca="false">Inputs!B2*Inputs!B5/Inputs!B6</f>
        <v>0.000833333333333333</v>
      </c>
      <c r="G733" s="13" t="n">
        <f aca="false">D733-E733-F733</f>
        <v>-0.0805333333333333</v>
      </c>
      <c r="H733" s="4" t="n">
        <f aca="false">(1+G733)*H732</f>
        <v>10.740322425713</v>
      </c>
      <c r="I733" s="4" t="n">
        <f aca="false">MAX(1,H$2:H733)</f>
        <v>23.8173271148404</v>
      </c>
      <c r="J733" s="13" t="n">
        <f aca="false">H733/I733-1</f>
        <v>-0.549054250549351</v>
      </c>
      <c r="K733" s="13" t="n">
        <f aca="false">Data!L733</f>
        <v>-0.055</v>
      </c>
    </row>
    <row r="734" customFormat="false" ht="30" hidden="false" customHeight="true" outlineLevel="0" collapsed="false">
      <c r="A734" s="5" t="str">
        <f aca="false">Data!A734</f>
        <v>2024-01</v>
      </c>
      <c r="B734" s="12" t="n">
        <f aca="false">Data!K734</f>
        <v>0.0513</v>
      </c>
      <c r="C734" s="12" t="n">
        <f aca="false">Data!B734</f>
        <v>-0.0712</v>
      </c>
      <c r="D734" s="12" t="n">
        <f aca="false">(B734-C734)*Inputs!B2</f>
        <v>0.06125</v>
      </c>
      <c r="E734" s="12" t="n">
        <f aca="false">4*Inputs!B2*Inputs!B4*Inputs!B3/10000</f>
        <v>0.001</v>
      </c>
      <c r="F734" s="12" t="n">
        <f aca="false">Inputs!B2*Inputs!B5/Inputs!B6</f>
        <v>0.000833333333333333</v>
      </c>
      <c r="G734" s="12" t="n">
        <f aca="false">D734-E734-F734</f>
        <v>0.0594166666666667</v>
      </c>
      <c r="H734" s="5" t="n">
        <f aca="false">(1+G734)*H733</f>
        <v>11.3784765831741</v>
      </c>
      <c r="I734" s="5" t="n">
        <f aca="false">MAX(1,H$2:H734)</f>
        <v>23.8173271148404</v>
      </c>
      <c r="J734" s="12" t="n">
        <f aca="false">H734/I734-1</f>
        <v>-0.522260557269492</v>
      </c>
      <c r="K734" s="12" t="n">
        <f aca="false">Data!L734</f>
        <v>0.0546</v>
      </c>
    </row>
    <row r="735" customFormat="false" ht="30" hidden="false" customHeight="true" outlineLevel="0" collapsed="false">
      <c r="A735" s="4" t="str">
        <f aca="false">Data!A735</f>
        <v>2024-02</v>
      </c>
      <c r="B735" s="13" t="n">
        <f aca="false">Data!K735</f>
        <v>0.1282</v>
      </c>
      <c r="C735" s="13" t="n">
        <f aca="false">Data!B735</f>
        <v>0.026</v>
      </c>
      <c r="D735" s="13" t="n">
        <f aca="false">(B735-C735)*Inputs!B2</f>
        <v>0.0511</v>
      </c>
      <c r="E735" s="13" t="n">
        <f aca="false">4*Inputs!B2*Inputs!B4*Inputs!B3/10000</f>
        <v>0.001</v>
      </c>
      <c r="F735" s="13" t="n">
        <f aca="false">Inputs!B2*Inputs!B5/Inputs!B6</f>
        <v>0.000833333333333333</v>
      </c>
      <c r="G735" s="13" t="n">
        <f aca="false">D735-E735-F735</f>
        <v>0.0492666666666667</v>
      </c>
      <c r="H735" s="4" t="n">
        <f aca="false">(1+G735)*H734</f>
        <v>11.9390561961718</v>
      </c>
      <c r="I735" s="4" t="n">
        <f aca="false">MAX(1,H$2:H735)</f>
        <v>23.8173271148404</v>
      </c>
      <c r="J735" s="13" t="n">
        <f aca="false">H735/I735-1</f>
        <v>-0.498723927390969</v>
      </c>
      <c r="K735" s="13" t="n">
        <f aca="false">Data!L735</f>
        <v>0.0501</v>
      </c>
    </row>
    <row r="736" customFormat="false" ht="30" hidden="false" customHeight="true" outlineLevel="0" collapsed="false">
      <c r="A736" s="5" t="str">
        <f aca="false">Data!A736</f>
        <v>2024-03</v>
      </c>
      <c r="B736" s="12" t="n">
        <f aca="false">Data!K736</f>
        <v>0.0394</v>
      </c>
      <c r="C736" s="12" t="n">
        <f aca="false">Data!B736</f>
        <v>0.0057</v>
      </c>
      <c r="D736" s="12" t="n">
        <f aca="false">(B736-C736)*Inputs!B2</f>
        <v>0.01685</v>
      </c>
      <c r="E736" s="12" t="n">
        <f aca="false">4*Inputs!B2*Inputs!B4*Inputs!B3/10000</f>
        <v>0.001</v>
      </c>
      <c r="F736" s="12" t="n">
        <f aca="false">Inputs!B2*Inputs!B5/Inputs!B6</f>
        <v>0.000833333333333333</v>
      </c>
      <c r="G736" s="12" t="n">
        <f aca="false">D736-E736-F736</f>
        <v>0.0150166666666667</v>
      </c>
      <c r="H736" s="5" t="n">
        <f aca="false">(1+G736)*H735</f>
        <v>12.1183410233843</v>
      </c>
      <c r="I736" s="5" t="n">
        <f aca="false">MAX(1,H$2:H736)</f>
        <v>23.8173271148404</v>
      </c>
      <c r="J736" s="12" t="n">
        <f aca="false">H736/I736-1</f>
        <v>-0.491196431700623</v>
      </c>
      <c r="K736" s="12" t="n">
        <f aca="false">Data!L736</f>
        <v>-0.0032</v>
      </c>
    </row>
    <row r="737" customFormat="false" ht="30" hidden="false" customHeight="true" outlineLevel="0" collapsed="false">
      <c r="A737" s="4" t="str">
        <f aca="false">Data!A737</f>
        <v>2024-04</v>
      </c>
      <c r="B737" s="13" t="n">
        <f aca="false">Data!K737</f>
        <v>-0.0552</v>
      </c>
      <c r="C737" s="13" t="n">
        <f aca="false">Data!B737</f>
        <v>-0.0716</v>
      </c>
      <c r="D737" s="13" t="n">
        <f aca="false">(B737-C737)*Inputs!B2</f>
        <v>0.0082</v>
      </c>
      <c r="E737" s="13" t="n">
        <f aca="false">4*Inputs!B2*Inputs!B4*Inputs!B3/10000</f>
        <v>0.001</v>
      </c>
      <c r="F737" s="13" t="n">
        <f aca="false">Inputs!B2*Inputs!B5/Inputs!B6</f>
        <v>0.000833333333333333</v>
      </c>
      <c r="G737" s="13" t="n">
        <f aca="false">D737-E737-F737</f>
        <v>0.00636666666666667</v>
      </c>
      <c r="H737" s="4" t="n">
        <f aca="false">(1+G737)*H736</f>
        <v>12.1954944612332</v>
      </c>
      <c r="I737" s="4" t="n">
        <f aca="false">MAX(1,H$2:H737)</f>
        <v>23.8173271148404</v>
      </c>
      <c r="J737" s="13" t="n">
        <f aca="false">H737/I737-1</f>
        <v>-0.487957048982451</v>
      </c>
      <c r="K737" s="13" t="n">
        <f aca="false">Data!L737</f>
        <v>-0.0043</v>
      </c>
    </row>
    <row r="738" customFormat="false" ht="30" hidden="false" customHeight="true" outlineLevel="0" collapsed="false">
      <c r="A738" s="5" t="str">
        <f aca="false">Data!A738</f>
        <v>2024-05</v>
      </c>
      <c r="B738" s="12" t="n">
        <f aca="false">Data!K738</f>
        <v>0.1183</v>
      </c>
      <c r="C738" s="12" t="n">
        <f aca="false">Data!B738</f>
        <v>0.0603</v>
      </c>
      <c r="D738" s="12" t="n">
        <f aca="false">(B738-C738)*Inputs!B2</f>
        <v>0.029</v>
      </c>
      <c r="E738" s="12" t="n">
        <f aca="false">4*Inputs!B2*Inputs!B4*Inputs!B3/10000</f>
        <v>0.001</v>
      </c>
      <c r="F738" s="12" t="n">
        <f aca="false">Inputs!B2*Inputs!B5/Inputs!B6</f>
        <v>0.000833333333333333</v>
      </c>
      <c r="G738" s="12" t="n">
        <f aca="false">D738-E738-F738</f>
        <v>0.0271666666666667</v>
      </c>
      <c r="H738" s="5" t="n">
        <f aca="false">(1+G738)*H737</f>
        <v>12.5268053940967</v>
      </c>
      <c r="I738" s="5" t="n">
        <f aca="false">MAX(1,H$2:H738)</f>
        <v>23.8173271148404</v>
      </c>
      <c r="J738" s="12" t="n">
        <f aca="false">H738/I738-1</f>
        <v>-0.474046548813141</v>
      </c>
      <c r="K738" s="12" t="n">
        <f aca="false">Data!L738</f>
        <v>0.0145</v>
      </c>
    </row>
    <row r="739" customFormat="false" ht="30" hidden="false" customHeight="true" outlineLevel="0" collapsed="false">
      <c r="A739" s="4" t="str">
        <f aca="false">Data!A739</f>
        <v>2024-06</v>
      </c>
      <c r="B739" s="13" t="n">
        <f aca="false">Data!K739</f>
        <v>0.0687</v>
      </c>
      <c r="C739" s="13" t="n">
        <f aca="false">Data!B739</f>
        <v>-0.0239</v>
      </c>
      <c r="D739" s="13" t="n">
        <f aca="false">(B739-C739)*Inputs!B2</f>
        <v>0.0463</v>
      </c>
      <c r="E739" s="13" t="n">
        <f aca="false">4*Inputs!B2*Inputs!B4*Inputs!B3/10000</f>
        <v>0.001</v>
      </c>
      <c r="F739" s="13" t="n">
        <f aca="false">Inputs!B2*Inputs!B5/Inputs!B6</f>
        <v>0.000833333333333333</v>
      </c>
      <c r="G739" s="13" t="n">
        <f aca="false">D739-E739-F739</f>
        <v>0.0444666666666667</v>
      </c>
      <c r="H739" s="4" t="n">
        <f aca="false">(1+G739)*H738</f>
        <v>13.0838306739542</v>
      </c>
      <c r="I739" s="4" t="n">
        <f aca="false">MAX(1,H$2:H739)</f>
        <v>23.8173271148404</v>
      </c>
      <c r="J739" s="13" t="n">
        <f aca="false">H739/I739-1</f>
        <v>-0.450659152017032</v>
      </c>
      <c r="K739" s="13" t="n">
        <f aca="false">Data!L739</f>
        <v>0.0086</v>
      </c>
    </row>
    <row r="740" customFormat="false" ht="30" hidden="false" customHeight="true" outlineLevel="0" collapsed="false">
      <c r="A740" s="5" t="str">
        <f aca="false">Data!A740</f>
        <v>2024-07</v>
      </c>
      <c r="B740" s="12" t="n">
        <f aca="false">Data!K740</f>
        <v>-0.047</v>
      </c>
      <c r="C740" s="12" t="n">
        <f aca="false">Data!B740</f>
        <v>0.1239</v>
      </c>
      <c r="D740" s="12" t="n">
        <f aca="false">(B740-C740)*Inputs!B2</f>
        <v>-0.08545</v>
      </c>
      <c r="E740" s="12" t="n">
        <f aca="false">4*Inputs!B2*Inputs!B4*Inputs!B3/10000</f>
        <v>0.001</v>
      </c>
      <c r="F740" s="12" t="n">
        <f aca="false">Inputs!B2*Inputs!B5/Inputs!B6</f>
        <v>0.000833333333333333</v>
      </c>
      <c r="G740" s="12" t="n">
        <f aca="false">D740-E740-F740</f>
        <v>-0.0872833333333333</v>
      </c>
      <c r="H740" s="5" t="n">
        <f aca="false">(1+G740)*H739</f>
        <v>11.9418303199625</v>
      </c>
      <c r="I740" s="5" t="n">
        <f aca="false">MAX(1,H$2:H740)</f>
        <v>23.8173271148404</v>
      </c>
      <c r="J740" s="12" t="n">
        <f aca="false">H740/I740-1</f>
        <v>-0.498607452365145</v>
      </c>
      <c r="K740" s="12" t="n">
        <f aca="false">Data!L740</f>
        <v>-0.0236</v>
      </c>
    </row>
    <row r="741" customFormat="false" ht="30" hidden="false" customHeight="true" outlineLevel="0" collapsed="false">
      <c r="A741" s="4" t="str">
        <f aca="false">Data!A741</f>
        <v>2024-08</v>
      </c>
      <c r="B741" s="13" t="n">
        <f aca="false">Data!K741</f>
        <v>0.0463</v>
      </c>
      <c r="C741" s="13" t="n">
        <f aca="false">Data!B741</f>
        <v>-0.0244</v>
      </c>
      <c r="D741" s="13" t="n">
        <f aca="false">(B741-C741)*Inputs!B2</f>
        <v>0.03535</v>
      </c>
      <c r="E741" s="13" t="n">
        <f aca="false">4*Inputs!B2*Inputs!B4*Inputs!B3/10000</f>
        <v>0.001</v>
      </c>
      <c r="F741" s="13" t="n">
        <f aca="false">Inputs!B2*Inputs!B5/Inputs!B6</f>
        <v>0.000833333333333333</v>
      </c>
      <c r="G741" s="13" t="n">
        <f aca="false">D741-E741-F741</f>
        <v>0.0335166666666667</v>
      </c>
      <c r="H741" s="4" t="n">
        <f aca="false">(1+G741)*H740</f>
        <v>12.3420806661866</v>
      </c>
      <c r="I741" s="4" t="n">
        <f aca="false">MAX(1,H$2:H741)</f>
        <v>23.8173271148404</v>
      </c>
      <c r="J741" s="13" t="n">
        <f aca="false">H741/I741-1</f>
        <v>-0.481802445476917</v>
      </c>
      <c r="K741" s="13" t="n">
        <f aca="false">Data!L741</f>
        <v>0.0486</v>
      </c>
    </row>
    <row r="742" customFormat="false" ht="30" hidden="false" customHeight="true" outlineLevel="0" collapsed="false">
      <c r="A742" s="5" t="str">
        <f aca="false">Data!A742</f>
        <v>2024-09</v>
      </c>
      <c r="B742" s="12" t="n">
        <f aca="false">Data!K742</f>
        <v>0.0411</v>
      </c>
      <c r="C742" s="12" t="n">
        <f aca="false">Data!B742</f>
        <v>0.0424</v>
      </c>
      <c r="D742" s="12" t="n">
        <f aca="false">(B742-C742)*Inputs!B2</f>
        <v>-0.000650000000000001</v>
      </c>
      <c r="E742" s="12" t="n">
        <f aca="false">4*Inputs!B2*Inputs!B4*Inputs!B3/10000</f>
        <v>0.001</v>
      </c>
      <c r="F742" s="12" t="n">
        <f aca="false">Inputs!B2*Inputs!B5/Inputs!B6</f>
        <v>0.000833333333333333</v>
      </c>
      <c r="G742" s="12" t="n">
        <f aca="false">D742-E742-F742</f>
        <v>-0.00248333333333334</v>
      </c>
      <c r="H742" s="5" t="n">
        <f aca="false">(1+G742)*H741</f>
        <v>12.3114311658656</v>
      </c>
      <c r="I742" s="5" t="n">
        <f aca="false">MAX(1,H$2:H742)</f>
        <v>23.8173271148404</v>
      </c>
      <c r="J742" s="12" t="n">
        <f aca="false">H742/I742-1</f>
        <v>-0.483089302737316</v>
      </c>
      <c r="K742" s="12" t="n">
        <f aca="false">Data!L742</f>
        <v>-0.006</v>
      </c>
    </row>
    <row r="743" customFormat="false" ht="30" hidden="false" customHeight="true" outlineLevel="0" collapsed="false">
      <c r="A743" s="4" t="str">
        <f aca="false">Data!A743</f>
        <v>2024-10</v>
      </c>
      <c r="B743" s="13" t="n">
        <f aca="false">Data!K743</f>
        <v>0.0279</v>
      </c>
      <c r="C743" s="13" t="n">
        <f aca="false">Data!B743</f>
        <v>-0.0328</v>
      </c>
      <c r="D743" s="13" t="n">
        <f aca="false">(B743-C743)*Inputs!B2</f>
        <v>0.03035</v>
      </c>
      <c r="E743" s="13" t="n">
        <f aca="false">4*Inputs!B2*Inputs!B4*Inputs!B3/10000</f>
        <v>0.001</v>
      </c>
      <c r="F743" s="13" t="n">
        <f aca="false">Inputs!B2*Inputs!B5/Inputs!B6</f>
        <v>0.000833333333333333</v>
      </c>
      <c r="G743" s="13" t="n">
        <f aca="false">D743-E743-F743</f>
        <v>0.0285166666666667</v>
      </c>
      <c r="H743" s="4" t="n">
        <f aca="false">(1+G743)*H742</f>
        <v>12.6625121446122</v>
      </c>
      <c r="I743" s="4" t="n">
        <f aca="false">MAX(1,H$2:H743)</f>
        <v>23.8173271148404</v>
      </c>
      <c r="J743" s="13" t="n">
        <f aca="false">H743/I743-1</f>
        <v>-0.468348732687042</v>
      </c>
      <c r="K743" s="13" t="n">
        <f aca="false">Data!L743</f>
        <v>0.0298</v>
      </c>
    </row>
    <row r="744" customFormat="false" ht="30" hidden="false" customHeight="true" outlineLevel="0" collapsed="false">
      <c r="A744" s="5" t="str">
        <f aca="false">Data!A744</f>
        <v>2024-11</v>
      </c>
      <c r="B744" s="12" t="n">
        <f aca="false">Data!K744</f>
        <v>0.0674</v>
      </c>
      <c r="C744" s="12" t="n">
        <f aca="false">Data!B744</f>
        <v>0.1236</v>
      </c>
      <c r="D744" s="12" t="n">
        <f aca="false">(B744-C744)*Inputs!B2</f>
        <v>-0.0281</v>
      </c>
      <c r="E744" s="12" t="n">
        <f aca="false">4*Inputs!B2*Inputs!B4*Inputs!B3/10000</f>
        <v>0.001</v>
      </c>
      <c r="F744" s="12" t="n">
        <f aca="false">Inputs!B2*Inputs!B5/Inputs!B6</f>
        <v>0.000833333333333333</v>
      </c>
      <c r="G744" s="12" t="n">
        <f aca="false">D744-E744-F744</f>
        <v>-0.0299333333333333</v>
      </c>
      <c r="H744" s="5" t="n">
        <f aca="false">(1+G744)*H743</f>
        <v>12.2834809477501</v>
      </c>
      <c r="I744" s="5" t="n">
        <f aca="false">MAX(1,H$2:H744)</f>
        <v>23.8173271148404</v>
      </c>
      <c r="J744" s="12" t="n">
        <f aca="false">H744/I744-1</f>
        <v>-0.48426282728861</v>
      </c>
      <c r="K744" s="12" t="n">
        <f aca="false">Data!L744</f>
        <v>0.0081</v>
      </c>
    </row>
    <row r="745" customFormat="false" ht="30" hidden="false" customHeight="true" outlineLevel="0" collapsed="false">
      <c r="A745" s="4" t="str">
        <f aca="false">Data!A745</f>
        <v>2024-12</v>
      </c>
      <c r="B745" s="13" t="n">
        <f aca="false">Data!K745</f>
        <v>0.0025</v>
      </c>
      <c r="C745" s="13" t="n">
        <f aca="false">Data!B745</f>
        <v>-0.0353</v>
      </c>
      <c r="D745" s="13" t="n">
        <f aca="false">(B745-C745)*Inputs!B2</f>
        <v>0.0189</v>
      </c>
      <c r="E745" s="13" t="n">
        <f aca="false">4*Inputs!B2*Inputs!B4*Inputs!B3/10000</f>
        <v>0.001</v>
      </c>
      <c r="F745" s="13" t="n">
        <f aca="false">Inputs!B2*Inputs!B5/Inputs!B6</f>
        <v>0.000833333333333333</v>
      </c>
      <c r="G745" s="13" t="n">
        <f aca="false">D745-E745-F745</f>
        <v>0.0170666666666667</v>
      </c>
      <c r="H745" s="4" t="n">
        <f aca="false">(1+G745)*H744</f>
        <v>12.4931190225917</v>
      </c>
      <c r="I745" s="4" t="n">
        <f aca="false">MAX(1,H$2:H745)</f>
        <v>23.8173271148404</v>
      </c>
      <c r="J745" s="13" t="n">
        <f aca="false">H745/I745-1</f>
        <v>-0.475460912874335</v>
      </c>
      <c r="K745" s="13" t="n">
        <f aca="false">Data!L745</f>
        <v>-0.003</v>
      </c>
    </row>
    <row r="746" customFormat="false" ht="30" hidden="false" customHeight="true" outlineLevel="0" collapsed="false">
      <c r="A746" s="5" t="str">
        <f aca="false">Data!A746</f>
        <v>2025-01</v>
      </c>
      <c r="B746" s="12" t="n">
        <f aca="false">Data!K746</f>
        <v>-0.0009</v>
      </c>
      <c r="C746" s="12" t="n">
        <f aca="false">Data!B746</f>
        <v>0.0154</v>
      </c>
      <c r="D746" s="12" t="n">
        <f aca="false">(B746-C746)*Inputs!B2</f>
        <v>-0.00815</v>
      </c>
      <c r="E746" s="12" t="n">
        <f aca="false">4*Inputs!B2*Inputs!B4*Inputs!B3/10000</f>
        <v>0.001</v>
      </c>
      <c r="F746" s="12" t="n">
        <f aca="false">Inputs!B2*Inputs!B5/Inputs!B6</f>
        <v>0.000833333333333333</v>
      </c>
      <c r="G746" s="12" t="n">
        <f aca="false">D746-E746-F746</f>
        <v>-0.00998333333333334</v>
      </c>
      <c r="H746" s="5" t="n">
        <f aca="false">(1+G746)*H745</f>
        <v>12.3683960510162</v>
      </c>
      <c r="I746" s="5" t="n">
        <f aca="false">MAX(1,H$2:H746)</f>
        <v>23.8173271148404</v>
      </c>
      <c r="J746" s="12" t="n">
        <f aca="false">H746/I746-1</f>
        <v>-0.480697561427473</v>
      </c>
      <c r="K746" s="12" t="n">
        <f aca="false">Data!L746</f>
        <v>0.0101</v>
      </c>
    </row>
    <row r="747" customFormat="false" ht="30" hidden="false" customHeight="true" outlineLevel="0" collapsed="false">
      <c r="A747" s="4" t="str">
        <f aca="false">Data!A747</f>
        <v>2025-02</v>
      </c>
      <c r="B747" s="13" t="n">
        <f aca="false">Data!K747</f>
        <v>-0.0769</v>
      </c>
      <c r="C747" s="13" t="n">
        <f aca="false">Data!B747</f>
        <v>-0.0236</v>
      </c>
      <c r="D747" s="13" t="n">
        <f aca="false">(B747-C747)*Inputs!B2</f>
        <v>-0.02665</v>
      </c>
      <c r="E747" s="13" t="n">
        <f aca="false">4*Inputs!B2*Inputs!B4*Inputs!B3/10000</f>
        <v>0.001</v>
      </c>
      <c r="F747" s="13" t="n">
        <f aca="false">Inputs!B2*Inputs!B5/Inputs!B6</f>
        <v>0.000833333333333333</v>
      </c>
      <c r="G747" s="13" t="n">
        <f aca="false">D747-E747-F747</f>
        <v>-0.0284833333333333</v>
      </c>
      <c r="H747" s="4" t="n">
        <f aca="false">(1+G747)*H746</f>
        <v>12.0161029034964</v>
      </c>
      <c r="I747" s="4" t="n">
        <f aca="false">MAX(1,H$2:H747)</f>
        <v>23.8173271148404</v>
      </c>
      <c r="J747" s="13" t="n">
        <f aca="false">H747/I747-1</f>
        <v>-0.495489025886147</v>
      </c>
      <c r="K747" s="13" t="n">
        <f aca="false">Data!L747</f>
        <v>-0.0086</v>
      </c>
    </row>
    <row r="748" customFormat="false" ht="30" hidden="false" customHeight="true" outlineLevel="0" collapsed="false">
      <c r="A748" s="5" t="str">
        <f aca="false">Data!A748</f>
        <v>2025-03</v>
      </c>
      <c r="B748" s="12" t="n">
        <f aca="false">Data!K748</f>
        <v>-0.1125</v>
      </c>
      <c r="C748" s="12" t="n">
        <f aca="false">Data!B748</f>
        <v>-0.0632</v>
      </c>
      <c r="D748" s="12" t="n">
        <f aca="false">(B748-C748)*Inputs!B2</f>
        <v>-0.02465</v>
      </c>
      <c r="E748" s="12" t="n">
        <f aca="false">4*Inputs!B2*Inputs!B4*Inputs!B3/10000</f>
        <v>0.001</v>
      </c>
      <c r="F748" s="12" t="n">
        <f aca="false">Inputs!B2*Inputs!B5/Inputs!B6</f>
        <v>0.000833333333333333</v>
      </c>
      <c r="G748" s="12" t="n">
        <f aca="false">D748-E748-F748</f>
        <v>-0.0264833333333333</v>
      </c>
      <c r="H748" s="5" t="n">
        <f aca="false">(1+G748)*H747</f>
        <v>11.6978764449355</v>
      </c>
      <c r="I748" s="5" t="n">
        <f aca="false">MAX(1,H$2:H748)</f>
        <v>23.8173271148404</v>
      </c>
      <c r="J748" s="12" t="n">
        <f aca="false">H748/I748-1</f>
        <v>-0.508850158183929</v>
      </c>
      <c r="K748" s="12" t="n">
        <f aca="false">Data!L748</f>
        <v>-0.0264</v>
      </c>
    </row>
    <row r="749" customFormat="false" ht="30" hidden="false" customHeight="true" outlineLevel="0" collapsed="false">
      <c r="A749" s="4" t="str">
        <f aca="false">Data!A749</f>
        <v>2025-04</v>
      </c>
      <c r="B749" s="13" t="n">
        <f aca="false">Data!K749</f>
        <v>0.0769</v>
      </c>
      <c r="C749" s="13" t="n">
        <f aca="false">Data!B749</f>
        <v>-0.0468</v>
      </c>
      <c r="D749" s="13" t="n">
        <f aca="false">(B749-C749)*Inputs!B2</f>
        <v>0.06185</v>
      </c>
      <c r="E749" s="13" t="n">
        <f aca="false">4*Inputs!B2*Inputs!B4*Inputs!B3/10000</f>
        <v>0.001</v>
      </c>
      <c r="F749" s="13" t="n">
        <f aca="false">Inputs!B2*Inputs!B5/Inputs!B6</f>
        <v>0.000833333333333333</v>
      </c>
      <c r="G749" s="13" t="n">
        <f aca="false">D749-E749-F749</f>
        <v>0.0600166666666667</v>
      </c>
      <c r="H749" s="4" t="n">
        <f aca="false">(1+G749)*H748</f>
        <v>12.399943996239</v>
      </c>
      <c r="I749" s="4" t="n">
        <f aca="false">MAX(1,H$2:H749)</f>
        <v>23.8173271148404</v>
      </c>
      <c r="J749" s="13" t="n">
        <f aca="false">H749/I749-1</f>
        <v>-0.479372981844268</v>
      </c>
      <c r="K749" s="13" t="n">
        <f aca="false">Data!L749</f>
        <v>0.0501</v>
      </c>
    </row>
    <row r="750" customFormat="false" ht="30" hidden="false" customHeight="true" outlineLevel="0" collapsed="false">
      <c r="A750" s="5" t="str">
        <f aca="false">Data!A750</f>
        <v>2025-05</v>
      </c>
      <c r="B750" s="12" t="n">
        <f aca="false">Data!K750</f>
        <v>0.058</v>
      </c>
      <c r="C750" s="12" t="n">
        <f aca="false">Data!B750</f>
        <v>0.0864</v>
      </c>
      <c r="D750" s="12" t="n">
        <f aca="false">(B750-C750)*Inputs!B2</f>
        <v>-0.0142</v>
      </c>
      <c r="E750" s="12" t="n">
        <f aca="false">4*Inputs!B2*Inputs!B4*Inputs!B3/10000</f>
        <v>0.001</v>
      </c>
      <c r="F750" s="12" t="n">
        <f aca="false">Inputs!B2*Inputs!B5/Inputs!B6</f>
        <v>0.000833333333333333</v>
      </c>
      <c r="G750" s="12" t="n">
        <f aca="false">D750-E750-F750</f>
        <v>-0.0160333333333333</v>
      </c>
      <c r="H750" s="5" t="n">
        <f aca="false">(1+G750)*H749</f>
        <v>12.2011315608327</v>
      </c>
      <c r="I750" s="5" t="n">
        <f aca="false">MAX(1,H$2:H750)</f>
        <v>23.8173271148404</v>
      </c>
      <c r="J750" s="12" t="n">
        <f aca="false">H750/I750-1</f>
        <v>-0.487720368368698</v>
      </c>
      <c r="K750" s="12" t="n">
        <f aca="false">Data!L750</f>
        <v>0.0225</v>
      </c>
    </row>
    <row r="751" customFormat="false" ht="30" hidden="false" customHeight="true" outlineLevel="0" collapsed="false">
      <c r="A751" s="4" t="str">
        <f aca="false">Data!A751</f>
        <v>2025-06</v>
      </c>
      <c r="B751" s="13" t="n">
        <f aca="false">Data!K751</f>
        <v>0.04</v>
      </c>
      <c r="C751" s="13" t="n">
        <f aca="false">Data!B751</f>
        <v>0.0827</v>
      </c>
      <c r="D751" s="13" t="n">
        <f aca="false">(B751-C751)*Inputs!B2</f>
        <v>-0.02135</v>
      </c>
      <c r="E751" s="13" t="n">
        <f aca="false">4*Inputs!B2*Inputs!B4*Inputs!B3/10000</f>
        <v>0.001</v>
      </c>
      <c r="F751" s="13" t="n">
        <f aca="false">Inputs!B2*Inputs!B5/Inputs!B6</f>
        <v>0.000833333333333333</v>
      </c>
      <c r="G751" s="13" t="n">
        <f aca="false">D751-E751-F751</f>
        <v>-0.0231833333333333</v>
      </c>
      <c r="H751" s="4" t="n">
        <f aca="false">(1+G751)*H750</f>
        <v>11.918268660814</v>
      </c>
      <c r="I751" s="4" t="n">
        <f aca="false">MAX(1,H$2:H751)</f>
        <v>23.8173271148404</v>
      </c>
      <c r="J751" s="13" t="n">
        <f aca="false">H751/I751-1</f>
        <v>-0.499596717828684</v>
      </c>
      <c r="K751" s="13" t="n">
        <f aca="false">Data!L751</f>
        <v>-0.0265</v>
      </c>
    </row>
    <row r="752" customFormat="false" ht="30" hidden="false" customHeight="true" outlineLevel="0" collapsed="false">
      <c r="A752" s="5" t="str">
        <f aca="false">Data!A752</f>
        <v>2025-07</v>
      </c>
      <c r="B752" s="12" t="n">
        <f aca="false">Data!K752</f>
        <v>0.0069</v>
      </c>
      <c r="C752" s="12" t="n">
        <f aca="false">Data!B752</f>
        <v>-0.0348</v>
      </c>
      <c r="D752" s="12" t="n">
        <f aca="false">(B752-C752)*Inputs!B2</f>
        <v>0.02085</v>
      </c>
      <c r="E752" s="12" t="n">
        <f aca="false">4*Inputs!B2*Inputs!B4*Inputs!B3/10000</f>
        <v>0.001</v>
      </c>
      <c r="F752" s="12" t="n">
        <f aca="false">Inputs!B2*Inputs!B5/Inputs!B6</f>
        <v>0.000833333333333333</v>
      </c>
      <c r="G752" s="12" t="n">
        <f aca="false">D752-E752-F752</f>
        <v>0.0190166666666667</v>
      </c>
      <c r="H752" s="5" t="n">
        <f aca="false">(1+G752)*H751</f>
        <v>12.1449144031805</v>
      </c>
      <c r="I752" s="5" t="n">
        <f aca="false">MAX(1,H$2:H752)</f>
        <v>23.8173271148404</v>
      </c>
      <c r="J752" s="12" t="n">
        <f aca="false">H752/I752-1</f>
        <v>-0.490080715412726</v>
      </c>
      <c r="K752" s="12" t="n">
        <f aca="false">Data!L752</f>
        <v>-0.0094</v>
      </c>
    </row>
    <row r="753" customFormat="false" ht="30" hidden="false" customHeight="true" outlineLevel="0" collapsed="false">
      <c r="A753" s="4" t="str">
        <f aca="false">Data!A753</f>
        <v>2025-08</v>
      </c>
      <c r="B753" s="13" t="n">
        <f aca="false">Data!K753</f>
        <v>-0.0127</v>
      </c>
      <c r="C753" s="13" t="n">
        <f aca="false">Data!B753</f>
        <v>0.1158</v>
      </c>
      <c r="D753" s="13" t="n">
        <f aca="false">(B753-C753)*Inputs!B2</f>
        <v>-0.06425</v>
      </c>
      <c r="E753" s="13" t="n">
        <f aca="false">4*Inputs!B2*Inputs!B4*Inputs!B3/10000</f>
        <v>0.001</v>
      </c>
      <c r="F753" s="13" t="n">
        <f aca="false">Inputs!B2*Inputs!B5/Inputs!B6</f>
        <v>0.000833333333333333</v>
      </c>
      <c r="G753" s="13" t="n">
        <f aca="false">D753-E753-F753</f>
        <v>-0.0660833333333333</v>
      </c>
      <c r="H753" s="4" t="n">
        <f aca="false">(1+G753)*H752</f>
        <v>11.3423379763703</v>
      </c>
      <c r="I753" s="4" t="n">
        <f aca="false">MAX(1,H$2:H753)</f>
        <v>23.8173271148404</v>
      </c>
      <c r="J753" s="13" t="n">
        <f aca="false">H753/I753-1</f>
        <v>-0.523777881469202</v>
      </c>
      <c r="K753" s="13" t="n">
        <f aca="false">Data!L753</f>
        <v>-0.0361</v>
      </c>
    </row>
    <row r="754" customFormat="false" ht="30" hidden="false" customHeight="true" outlineLevel="0" collapsed="false">
      <c r="A754" s="5" t="str">
        <f aca="false">Data!A754</f>
        <v>2025-09</v>
      </c>
      <c r="B754" s="12" t="n">
        <f aca="false">Data!K754</f>
        <v>0.0782</v>
      </c>
      <c r="C754" s="12" t="n">
        <f aca="false">Data!B754</f>
        <v>0.0304</v>
      </c>
      <c r="D754" s="12" t="n">
        <f aca="false">(B754-C754)*Inputs!B2</f>
        <v>0.0239</v>
      </c>
      <c r="E754" s="12" t="n">
        <f aca="false">4*Inputs!B2*Inputs!B4*Inputs!B3/10000</f>
        <v>0.001</v>
      </c>
      <c r="F754" s="12" t="n">
        <f aca="false">Inputs!B2*Inputs!B5/Inputs!B6</f>
        <v>0.000833333333333333</v>
      </c>
      <c r="G754" s="12" t="n">
        <f aca="false">D754-E754-F754</f>
        <v>0.0220666666666667</v>
      </c>
      <c r="H754" s="5" t="n">
        <f aca="false">(1+G754)*H753</f>
        <v>11.5926255677156</v>
      </c>
      <c r="I754" s="5" t="n">
        <f aca="false">MAX(1,H$2:H754)</f>
        <v>23.8173271148404</v>
      </c>
      <c r="J754" s="12" t="n">
        <f aca="false">H754/I754-1</f>
        <v>-0.513269246720289</v>
      </c>
      <c r="K754" s="12" t="n">
        <f aca="false">Data!L754</f>
        <v>0.0462</v>
      </c>
    </row>
    <row r="755" customFormat="false" ht="30" hidden="false" customHeight="true" outlineLevel="0" collapsed="false">
      <c r="A755" s="4" t="str">
        <f aca="false">Data!A755</f>
        <v>2025-10</v>
      </c>
      <c r="B755" s="13" t="n">
        <f aca="false">Data!K755</f>
        <v>0.0453</v>
      </c>
      <c r="C755" s="13" t="n">
        <f aca="false">Data!B755</f>
        <v>0.0028</v>
      </c>
      <c r="D755" s="13" t="n">
        <f aca="false">(B755-C755)*Inputs!B2</f>
        <v>0.02125</v>
      </c>
      <c r="E755" s="13" t="n">
        <f aca="false">4*Inputs!B2*Inputs!B4*Inputs!B3/10000</f>
        <v>0.001</v>
      </c>
      <c r="F755" s="13" t="n">
        <f aca="false">Inputs!B2*Inputs!B5/Inputs!B6</f>
        <v>0.000833333333333333</v>
      </c>
      <c r="G755" s="13" t="n">
        <f aca="false">D755-E755-F755</f>
        <v>0.0194166666666667</v>
      </c>
      <c r="H755" s="4" t="n">
        <f aca="false">(1+G755)*H754</f>
        <v>11.8177157141554</v>
      </c>
      <c r="I755" s="4" t="n">
        <f aca="false">MAX(1,H$2:H755)</f>
        <v>23.8173271148404</v>
      </c>
      <c r="J755" s="13" t="n">
        <f aca="false">H755/I755-1</f>
        <v>-0.503818557927441</v>
      </c>
      <c r="K755" s="13" t="n">
        <f aca="false">Data!L755</f>
        <v>0.0016</v>
      </c>
    </row>
    <row r="756" customFormat="false" ht="30" hidden="false" customHeight="true" outlineLevel="0" collapsed="false">
      <c r="A756" s="5" t="str">
        <f aca="false">Data!A756</f>
        <v>2025-11</v>
      </c>
      <c r="B756" s="12" t="n">
        <f aca="false">Data!K756</f>
        <v>-0.0363</v>
      </c>
      <c r="C756" s="12" t="n">
        <f aca="false">Data!B756</f>
        <v>-0.0062</v>
      </c>
      <c r="D756" s="12" t="n">
        <f aca="false">(B756-C756)*Inputs!B2</f>
        <v>-0.01505</v>
      </c>
      <c r="E756" s="12" t="n">
        <f aca="false">4*Inputs!B2*Inputs!B4*Inputs!B3/10000</f>
        <v>0.001</v>
      </c>
      <c r="F756" s="12" t="n">
        <f aca="false">Inputs!B2*Inputs!B5/Inputs!B6</f>
        <v>0.000833333333333333</v>
      </c>
      <c r="G756" s="12" t="n">
        <f aca="false">D756-E756-F756</f>
        <v>-0.0168833333333333</v>
      </c>
      <c r="H756" s="5" t="n">
        <f aca="false">(1+G756)*H755</f>
        <v>11.6181932805147</v>
      </c>
      <c r="I756" s="5" t="n">
        <f aca="false">MAX(1,H$2:H756)</f>
        <v>23.8173271148404</v>
      </c>
      <c r="J756" s="12" t="n">
        <f aca="false">H756/I756-1</f>
        <v>-0.512195754607766</v>
      </c>
      <c r="K756" s="12" t="n">
        <f aca="false">Data!L756</f>
        <v>-0.0172</v>
      </c>
    </row>
    <row r="757" customFormat="false" ht="30" hidden="false" customHeight="true" outlineLevel="0" collapsed="false">
      <c r="A757" s="4" t="str">
        <f aca="false">Data!A757</f>
        <v>2025-12</v>
      </c>
      <c r="B757" s="13" t="n">
        <f aca="false">Data!K757</f>
        <v>-0.0026</v>
      </c>
      <c r="C757" s="13" t="n">
        <f aca="false">Data!B757</f>
        <v>0.0264</v>
      </c>
      <c r="D757" s="13" t="n">
        <f aca="false">(B757-C757)*Inputs!B2</f>
        <v>-0.0145</v>
      </c>
      <c r="E757" s="13" t="n">
        <f aca="false">4*Inputs!B2*Inputs!B4*Inputs!B3/10000</f>
        <v>0.001</v>
      </c>
      <c r="F757" s="13" t="n">
        <f aca="false">Inputs!B2*Inputs!B5/Inputs!B6</f>
        <v>0.000833333333333333</v>
      </c>
      <c r="G757" s="13" t="n">
        <f aca="false">D757-E757-F757</f>
        <v>-0.0163333333333333</v>
      </c>
      <c r="H757" s="4" t="n">
        <f aca="false">(1+G757)*H756</f>
        <v>11.428429456933</v>
      </c>
      <c r="I757" s="4" t="n">
        <f aca="false">MAX(1,H$2:H757)</f>
        <v>23.8173271148404</v>
      </c>
      <c r="J757" s="13" t="n">
        <f aca="false">H757/I757-1</f>
        <v>-0.520163223949172</v>
      </c>
      <c r="K757" s="13" t="n">
        <f aca="false">Data!L757</f>
        <v>-0.024</v>
      </c>
    </row>
    <row r="758" customFormat="false" ht="30" hidden="false" customHeight="true" outlineLevel="0" collapsed="false">
      <c r="A758" s="5" t="str">
        <f aca="false">Data!A758</f>
        <v>2026-01</v>
      </c>
      <c r="B758" s="12" t="n">
        <f aca="false">Data!K758</f>
        <v>0.0613</v>
      </c>
      <c r="C758" s="12" t="n">
        <f aca="false">Data!B758</f>
        <v>-0.0013</v>
      </c>
      <c r="D758" s="12" t="n">
        <f aca="false">(B758-C758)*Inputs!B2</f>
        <v>0.0313</v>
      </c>
      <c r="E758" s="12" t="n">
        <f aca="false">4*Inputs!B2*Inputs!B4*Inputs!B3/10000</f>
        <v>0.001</v>
      </c>
      <c r="F758" s="12" t="n">
        <f aca="false">Inputs!B2*Inputs!B5/Inputs!B6</f>
        <v>0.000833333333333333</v>
      </c>
      <c r="G758" s="12" t="n">
        <f aca="false">D758-E758-F758</f>
        <v>0.0294666666666667</v>
      </c>
      <c r="H758" s="5" t="n">
        <f aca="false">(1+G758)*H757</f>
        <v>11.7651871782639</v>
      </c>
      <c r="I758" s="5" t="n">
        <f aca="false">MAX(1,H$2:H758)</f>
        <v>23.8173271148404</v>
      </c>
      <c r="J758" s="12" t="n">
        <f aca="false">H758/I758-1</f>
        <v>-0.506024033614875</v>
      </c>
      <c r="K758" s="12" t="n">
        <f aca="false">Data!L758</f>
        <v>0.0503</v>
      </c>
    </row>
    <row r="759" customFormat="false" ht="30" hidden="false" customHeight="true" outlineLevel="0" collapsed="false">
      <c r="A759" s="4" t="str">
        <f aca="false">Data!A759</f>
        <v>2026-02</v>
      </c>
      <c r="B759" s="13" t="n">
        <f aca="false">Data!K759</f>
        <v>-0.0338</v>
      </c>
      <c r="C759" s="13" t="n">
        <f aca="false">Data!B759</f>
        <v>-0.0538</v>
      </c>
      <c r="D759" s="13" t="n">
        <f aca="false">(B759-C759)*Inputs!B2</f>
        <v>0.01</v>
      </c>
      <c r="E759" s="13" t="n">
        <f aca="false">4*Inputs!B2*Inputs!B4*Inputs!B3/10000</f>
        <v>0.001</v>
      </c>
      <c r="F759" s="13" t="n">
        <f aca="false">Inputs!B2*Inputs!B5/Inputs!B6</f>
        <v>0.000833333333333333</v>
      </c>
      <c r="G759" s="13" t="n">
        <f aca="false">D759-E759-F759</f>
        <v>0.00816666666666667</v>
      </c>
      <c r="H759" s="4" t="n">
        <f aca="false">(1+G759)*H758</f>
        <v>11.8612695402198</v>
      </c>
      <c r="I759" s="4" t="n">
        <f aca="false">MAX(1,H$2:H759)</f>
        <v>23.8173271148404</v>
      </c>
      <c r="J759" s="13" t="n">
        <f aca="false">H759/I759-1</f>
        <v>-0.501989896556063</v>
      </c>
      <c r="K759" s="13" t="n">
        <f aca="false">Data!L759</f>
        <v>0.0131</v>
      </c>
    </row>
    <row r="760" customFormat="false" ht="30" hidden="false" customHeight="true" outlineLevel="0" collapsed="false">
      <c r="A760" s="5" t="str">
        <f aca="false">Data!A760</f>
        <v>2026-03</v>
      </c>
      <c r="B760" s="12" t="n">
        <f aca="false">Data!K760</f>
        <v>-0.0651</v>
      </c>
      <c r="C760" s="12" t="n">
        <f aca="false">Data!B760</f>
        <v>-0.0547</v>
      </c>
      <c r="D760" s="12" t="n">
        <f aca="false">(B760-C760)*Inputs!B2</f>
        <v>-0.0052</v>
      </c>
      <c r="E760" s="12" t="n">
        <f aca="false">4*Inputs!B2*Inputs!B4*Inputs!B3/10000</f>
        <v>0.001</v>
      </c>
      <c r="F760" s="12" t="n">
        <f aca="false">Inputs!B2*Inputs!B5/Inputs!B6</f>
        <v>0.000833333333333333</v>
      </c>
      <c r="G760" s="12" t="n">
        <f aca="false">D760-E760-F760</f>
        <v>-0.00703333333333333</v>
      </c>
      <c r="H760" s="5" t="n">
        <f aca="false">(1+G760)*H759</f>
        <v>11.7778452777869</v>
      </c>
      <c r="I760" s="5" t="n">
        <f aca="false">MAX(1,H$2:H760)</f>
        <v>23.8173271148404</v>
      </c>
      <c r="J760" s="12" t="n">
        <f aca="false">H760/I760-1</f>
        <v>-0.505492567616952</v>
      </c>
      <c r="K760" s="12" t="n">
        <f aca="false">Data!L760</f>
        <v>0.0156</v>
      </c>
    </row>
    <row r="761" customFormat="false" ht="30" hidden="false" customHeight="true" outlineLevel="0" collapsed="false">
      <c r="A761" s="4" t="str">
        <f aca="false">Data!A761</f>
        <v>2026-04</v>
      </c>
      <c r="B761" s="13" t="n">
        <f aca="false">Data!K761</f>
        <v>0.3171</v>
      </c>
      <c r="C761" s="13" t="n">
        <f aca="false">Data!B761</f>
        <v>0.0654</v>
      </c>
      <c r="D761" s="13" t="n">
        <f aca="false">(B761-C761)*Inputs!B2</f>
        <v>0.12585</v>
      </c>
      <c r="E761" s="13" t="n">
        <f aca="false">4*Inputs!B2*Inputs!B4*Inputs!B3/10000</f>
        <v>0.001</v>
      </c>
      <c r="F761" s="13" t="n">
        <f aca="false">Inputs!B2*Inputs!B5/Inputs!B6</f>
        <v>0.000833333333333333</v>
      </c>
      <c r="G761" s="13" t="n">
        <f aca="false">D761-E761-F761</f>
        <v>0.124016666666667</v>
      </c>
      <c r="H761" s="4" t="n">
        <f aca="false">(1+G761)*H760</f>
        <v>13.2384943896538</v>
      </c>
      <c r="I761" s="4" t="n">
        <f aca="false">MAX(1,H$2:H761)</f>
        <v>23.8173271148404</v>
      </c>
      <c r="J761" s="13" t="n">
        <f aca="false">H761/I761-1</f>
        <v>-0.444165404210914</v>
      </c>
      <c r="K761" s="13" t="n">
        <f aca="false">Data!L761</f>
        <v>0.0951</v>
      </c>
    </row>
    <row r="762" customFormat="false" ht="30" hidden="false" customHeight="true" outlineLevel="0" collapsed="false">
      <c r="A762" s="5" t="str">
        <f aca="false">Data!A762</f>
        <v>2026-05</v>
      </c>
      <c r="B762" s="12" t="n">
        <f aca="false">Data!K762</f>
        <v>0.2004</v>
      </c>
      <c r="C762" s="12" t="n">
        <f aca="false">Data!B762</f>
        <v>0.0335</v>
      </c>
      <c r="D762" s="12" t="n">
        <f aca="false">(B762-C762)*Inputs!B2</f>
        <v>0.08345</v>
      </c>
      <c r="E762" s="12" t="n">
        <f aca="false">4*Inputs!B2*Inputs!B4*Inputs!B3/10000</f>
        <v>0.001</v>
      </c>
      <c r="F762" s="12" t="n">
        <f aca="false">Inputs!B2*Inputs!B5/Inputs!B6</f>
        <v>0.000833333333333333</v>
      </c>
      <c r="G762" s="12" t="n">
        <f aca="false">D762-E762-F762</f>
        <v>0.0816166666666667</v>
      </c>
      <c r="H762" s="5" t="n">
        <f aca="false">(1+G762)*H761</f>
        <v>14.3189761734227</v>
      </c>
      <c r="I762" s="5" t="n">
        <f aca="false">MAX(1,H$2:H762)</f>
        <v>23.8173271148404</v>
      </c>
      <c r="J762" s="12" t="n">
        <f aca="false">H762/I762-1</f>
        <v>-0.398800037284595</v>
      </c>
      <c r="K762" s="12" t="n">
        <f aca="false">Data!L762</f>
        <v>0.0139</v>
      </c>
    </row>
    <row r="763" customFormat="false" ht="30" hidden="false" customHeight="true" outlineLevel="0" collapsed="false">
      <c r="A763" s="4" t="str">
        <f aca="false">Data!A763</f>
        <v>2026-06</v>
      </c>
      <c r="B763" s="13" t="n">
        <f aca="false">Data!K763</f>
        <v>0.0836</v>
      </c>
      <c r="C763" s="13" t="n">
        <f aca="false">Data!B763</f>
        <v>-0.0709</v>
      </c>
      <c r="D763" s="13" t="n">
        <f aca="false">(B763-C763)*Inputs!B2</f>
        <v>0.07725</v>
      </c>
      <c r="E763" s="13" t="n">
        <f aca="false">4*Inputs!B2*Inputs!B4*Inputs!B3/10000</f>
        <v>0.001</v>
      </c>
      <c r="F763" s="13" t="n">
        <f aca="false">Inputs!B2*Inputs!B5/Inputs!B6</f>
        <v>0.000833333333333333</v>
      </c>
      <c r="G763" s="13" t="n">
        <f aca="false">D763-E763-F763</f>
        <v>0.0754166666666667</v>
      </c>
      <c r="H763" s="4" t="n">
        <f aca="false">(1+G763)*H762</f>
        <v>15.3988656265016</v>
      </c>
      <c r="I763" s="4" t="n">
        <f aca="false">MAX(1,H$2:H763)</f>
        <v>23.8173271148404</v>
      </c>
      <c r="J763" s="13" t="n">
        <f aca="false">H763/I763-1</f>
        <v>-0.353459540096475</v>
      </c>
      <c r="K763" s="13" t="n">
        <f aca="false">Data!L763</f>
        <v>0.0462</v>
      </c>
    </row>
    <row r="764" customFormat="false" ht="30" hidden="false" customHeight="true" outlineLevel="0" collapsed="false">
      <c r="A764" s="5" t="str">
        <f aca="false">Data!A764</f>
        <v>2026-07</v>
      </c>
      <c r="B764" s="12" t="n">
        <f aca="false">Data!K764</f>
        <v>-0.1541</v>
      </c>
      <c r="C764" s="12" t="n">
        <f aca="false">Data!B764</f>
        <v>0.0731</v>
      </c>
      <c r="D764" s="12" t="n">
        <f aca="false">(B764-C764)*Inputs!B2</f>
        <v>-0.1136</v>
      </c>
      <c r="E764" s="12" t="n">
        <f aca="false">4*Inputs!B2*Inputs!B4*Inputs!B3/10000</f>
        <v>0.001</v>
      </c>
      <c r="F764" s="12" t="n">
        <f aca="false">Inputs!B2*Inputs!B5/Inputs!B6</f>
        <v>0.000833333333333333</v>
      </c>
      <c r="G764" s="12" t="n">
        <f aca="false">D764-E764-F764</f>
        <v>-0.115433333333333</v>
      </c>
      <c r="H764" s="5" t="n">
        <f aca="false">(1+G764)*H763</f>
        <v>13.6213232376825</v>
      </c>
      <c r="I764" s="5" t="n">
        <f aca="false">MAX(1,H$2:H764)</f>
        <v>23.8173271148404</v>
      </c>
      <c r="J764" s="12" t="n">
        <f aca="false">H764/I764-1</f>
        <v>-0.428091860518005</v>
      </c>
      <c r="K764" s="12" t="n">
        <f aca="false">Data!L764</f>
        <v>-0.1221</v>
      </c>
    </row>
    <row r="765" customFormat="false" ht="30" hidden="false" customHeight="true" outlineLevel="0" collapsed="false">
      <c r="A765" s="4" t="str">
        <f aca="false">Data!A765</f>
        <v>2026-08</v>
      </c>
      <c r="B765" s="13" t="n">
        <f aca="false">Data!K765</f>
        <v>-0.0006</v>
      </c>
      <c r="C765" s="13" t="n">
        <f aca="false">Data!B765</f>
        <v>0.1435</v>
      </c>
      <c r="D765" s="13" t="n">
        <f aca="false">(B765-C765)*Inputs!B2</f>
        <v>-0.07205</v>
      </c>
      <c r="E765" s="13" t="n">
        <f aca="false">4*Inputs!B2*Inputs!B4*Inputs!B3/10000</f>
        <v>0.001</v>
      </c>
      <c r="F765" s="13" t="n">
        <f aca="false">Inputs!B2*Inputs!B5/Inputs!B6</f>
        <v>0.000833333333333333</v>
      </c>
      <c r="G765" s="13" t="n">
        <f aca="false">D765-E765-F765</f>
        <v>-0.0738833333333333</v>
      </c>
      <c r="H765" s="4" t="n">
        <f aca="false">(1+G765)*H764</f>
        <v>12.6149344724717</v>
      </c>
      <c r="I765" s="4" t="n">
        <f aca="false">MAX(1,H$2:H765)</f>
        <v>23.8173271148404</v>
      </c>
      <c r="J765" s="13" t="n">
        <f aca="false">H765/I765-1</f>
        <v>-0.4703463402234</v>
      </c>
      <c r="K765" s="13" t="n">
        <f aca="false">Data!L765</f>
        <v>-0.056</v>
      </c>
    </row>
    <row r="766" customFormat="false" ht="30" hidden="false" customHeight="true" outlineLevel="0" collapsed="false">
      <c r="A766" s="5" t="str">
        <f aca="false">Data!A766</f>
        <v>2026-09</v>
      </c>
      <c r="B766" s="12" t="n">
        <f aca="false">Data!K766</f>
        <v>0.0718</v>
      </c>
      <c r="C766" s="12" t="n">
        <f aca="false">Data!B766</f>
        <v>-0.0948</v>
      </c>
      <c r="D766" s="12" t="n">
        <f aca="false">(B766-C766)*Inputs!B2</f>
        <v>0.0833</v>
      </c>
      <c r="E766" s="12" t="n">
        <f aca="false">4*Inputs!B2*Inputs!B4*Inputs!B3/10000</f>
        <v>0.001</v>
      </c>
      <c r="F766" s="12" t="n">
        <f aca="false">Inputs!B2*Inputs!B5/Inputs!B6</f>
        <v>0.000833333333333333</v>
      </c>
      <c r="G766" s="12" t="n">
        <f aca="false">D766-E766-F766</f>
        <v>0.0814666666666667</v>
      </c>
      <c r="H766" s="5" t="n">
        <f aca="false">(1+G766)*H765</f>
        <v>13.6426311341624</v>
      </c>
      <c r="I766" s="5" t="n">
        <f aca="false">MAX(1,H$2:H766)</f>
        <v>23.8173271148404</v>
      </c>
      <c r="J766" s="12" t="n">
        <f aca="false">H766/I766-1</f>
        <v>-0.427197222073599</v>
      </c>
      <c r="K766" s="12" t="n">
        <f aca="false">Data!L766</f>
        <v>0.067</v>
      </c>
    </row>
  </sheetData>
  <autoFilter ref="A1:K7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23"/>
  </cols>
  <sheetData>
    <row r="1" customFormat="false" ht="33.75" hidden="false" customHeight="true" outlineLevel="0" collapsed="false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customFormat="false" ht="30" hidden="false" customHeight="true" outlineLevel="0" collapsed="false">
      <c r="A2" s="2" t="s">
        <v>61</v>
      </c>
      <c r="B2" s="14" t="n">
        <v>444</v>
      </c>
      <c r="C2" s="5" t="n">
        <f aca="false">AVERAGE(Backtest!G2:G445)/STDEV(Backtest!G2:G445)*SQRT(Inputs!B6)</f>
        <v>0.838087837089332</v>
      </c>
      <c r="D2" s="12" t="n">
        <f aca="false">AVERAGE(Backtest!G2:G445)*Inputs!B6</f>
        <v>0.0792527027027027</v>
      </c>
      <c r="E2" s="12" t="n">
        <f aca="false">STDEV(Backtest!G2:G445)*SQRT(Inputs!B6)</f>
        <v>0.0945637189747871</v>
      </c>
      <c r="F2" s="12" t="n">
        <f aca="false">(Backtest!H445/1)^(Inputs!B6/B2)-1</f>
        <v>0.0773761774565942</v>
      </c>
      <c r="G2" s="12" t="n">
        <f aca="false">AVERAGE(Backtest!E2:E445)*Inputs!B6</f>
        <v>0.012</v>
      </c>
      <c r="H2" s="12" t="n">
        <f aca="false">AVERAGE(Backtest!F2:F445)*Inputs!B6</f>
        <v>0.01</v>
      </c>
      <c r="I2" s="5" t="n">
        <f aca="false">CORREL(Backtest!D2:D445,Backtest!K2:K445)</f>
        <v>0.916267991414305</v>
      </c>
      <c r="J2" s="12" t="n">
        <f aca="false">MIN(Backtest!J2:J445)</f>
        <v>-0.166752879839473</v>
      </c>
    </row>
    <row r="3" customFormat="false" ht="30" hidden="false" customHeight="true" outlineLevel="0" collapsed="false">
      <c r="A3" s="3" t="s">
        <v>62</v>
      </c>
      <c r="B3" s="15" t="n">
        <v>321</v>
      </c>
      <c r="C3" s="4" t="n">
        <f aca="false">AVERAGE(Backtest!G446:G766)/STDEV(Backtest!G446:G766)*SQRT(Inputs!B6)</f>
        <v>0.0503201754456423</v>
      </c>
      <c r="D3" s="13" t="n">
        <f aca="false">AVERAGE(Backtest!G446:G766)*Inputs!B6</f>
        <v>0.00811028037383177</v>
      </c>
      <c r="E3" s="13" t="n">
        <f aca="false">STDEV(Backtest!G446:G766)*SQRT(Inputs!B6)</f>
        <v>0.161173531332235</v>
      </c>
      <c r="F3" s="13" t="n">
        <f aca="false">(Backtest!H766/Backtest!H445)^(Inputs!B6/B3)-1</f>
        <v>-0.00538207764984988</v>
      </c>
      <c r="G3" s="13" t="n">
        <f aca="false">AVERAGE(Backtest!E446:E766)*Inputs!B6</f>
        <v>0.012</v>
      </c>
      <c r="H3" s="13" t="n">
        <f aca="false">AVERAGE(Backtest!F446:F766)*Inputs!B6</f>
        <v>0.01</v>
      </c>
      <c r="I3" s="4" t="n">
        <f aca="false">CORREL(Backtest!D446:D766,Backtest!K446:K766)</f>
        <v>0.890843700853429</v>
      </c>
      <c r="J3" s="13" t="n">
        <f aca="false">MIN(Backtest!J446:J766)</f>
        <v>-0.575999438823279</v>
      </c>
    </row>
    <row r="4" customFormat="false" ht="30" hidden="false" customHeight="true" outlineLevel="0" collapsed="false">
      <c r="A4" s="2" t="s">
        <v>63</v>
      </c>
      <c r="B4" s="14" t="n">
        <v>765</v>
      </c>
      <c r="C4" s="5" t="n">
        <f aca="false">AVERAGE(Backtest!G2:G766)/STDEV(Backtest!G2:G766)*SQRT(Inputs!B6)</f>
        <v>0.388508812656967</v>
      </c>
      <c r="D4" s="12" t="n">
        <f aca="false">AVERAGE(Backtest!G2:G766)*Inputs!B6</f>
        <v>0.0494007843137255</v>
      </c>
      <c r="E4" s="12" t="n">
        <f aca="false">STDEV(Backtest!G2:G766)*SQRT(Inputs!B6)</f>
        <v>0.127154861625607</v>
      </c>
      <c r="F4" s="12" t="n">
        <f aca="false">(Backtest!H766/1)^(Inputs!B6/B4)-1</f>
        <v>0.0418431094113916</v>
      </c>
      <c r="G4" s="12" t="n">
        <f aca="false">AVERAGE(Backtest!E2:E766)*Inputs!B6</f>
        <v>0.012</v>
      </c>
      <c r="H4" s="12" t="n">
        <f aca="false">AVERAGE(Backtest!F2:F766)*Inputs!B6</f>
        <v>0.01</v>
      </c>
      <c r="I4" s="5" t="n">
        <f aca="false">CORREL(Backtest!D2:D766,Backtest!K2:K766)</f>
        <v>0.898922909136599</v>
      </c>
      <c r="J4" s="12" t="n">
        <f aca="false">MIN(Backtest!J2:J766)</f>
        <v>-0.575999438823279</v>
      </c>
    </row>
  </sheetData>
  <autoFilter ref="A1:J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23"/>
  </cols>
  <sheetData>
    <row r="1" customFormat="false" ht="33.75" hidden="false" customHeight="true" outlineLevel="0" collapsed="false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customFormat="false" ht="30" hidden="false" customHeight="true" outlineLevel="0" collapsed="false">
      <c r="A2" s="14" t="n">
        <v>2000</v>
      </c>
      <c r="B2" s="2" t="s">
        <v>29</v>
      </c>
      <c r="C2" s="14" t="n">
        <v>444</v>
      </c>
      <c r="D2" s="5" t="n">
        <f aca="false">AVERAGE(Backtest!G2:G445)/STDEV(Backtest!G2:G445)*SQRT(Inputs!B6)</f>
        <v>0.838087837089332</v>
      </c>
      <c r="E2" s="12" t="n">
        <f aca="false">STDEV(Backtest!G2:G445)*SQRT(Inputs!B6)</f>
        <v>0.0945637189747871</v>
      </c>
      <c r="F2" s="14" t="n">
        <v>12</v>
      </c>
      <c r="G2" s="12" t="n">
        <f aca="false">Backtest!H457/Backtest!H445-1</f>
        <v>0.192848132106039</v>
      </c>
      <c r="H2" s="12" t="n">
        <f aca="false">STDEV(Backtest!G446:G457)*SQRT(Inputs!B6)</f>
        <v>0.197498544873811</v>
      </c>
    </row>
    <row r="3" customFormat="false" ht="30" hidden="false" customHeight="true" outlineLevel="0" collapsed="false">
      <c r="A3" s="15" t="n">
        <v>2001</v>
      </c>
      <c r="B3" s="3" t="s">
        <v>72</v>
      </c>
      <c r="C3" s="15" t="n">
        <v>456</v>
      </c>
      <c r="D3" s="4" t="n">
        <f aca="false">AVERAGE(Backtest!G2:G457)/STDEV(Backtest!G2:G457)*SQRT(Inputs!B6)</f>
        <v>0.836548240935755</v>
      </c>
      <c r="E3" s="13" t="n">
        <f aca="false">STDEV(Backtest!G2:G457)*SQRT(Inputs!B6)</f>
        <v>0.0983773133381951</v>
      </c>
      <c r="F3" s="15" t="n">
        <v>12</v>
      </c>
      <c r="G3" s="13" t="n">
        <f aca="false">Backtest!H469/Backtest!H457-1</f>
        <v>-0.0851261744813002</v>
      </c>
      <c r="H3" s="13" t="n">
        <f aca="false">STDEV(Backtest!G458:G469)*SQRT(Inputs!B6)</f>
        <v>0.294206489020583</v>
      </c>
    </row>
    <row r="4" customFormat="false" ht="30" hidden="false" customHeight="true" outlineLevel="0" collapsed="false">
      <c r="A4" s="14" t="n">
        <v>2002</v>
      </c>
      <c r="B4" s="2" t="s">
        <v>73</v>
      </c>
      <c r="C4" s="14" t="n">
        <v>468</v>
      </c>
      <c r="D4" s="5" t="n">
        <f aca="false">AVERAGE(Backtest!G2:G469)/STDEV(Backtest!G2:G469)*SQRT(Inputs!B6)</f>
        <v>0.736770452023908</v>
      </c>
      <c r="E4" s="12" t="n">
        <f aca="false">STDEV(Backtest!G2:G469)*SQRT(Inputs!B6)</f>
        <v>0.107249073983473</v>
      </c>
      <c r="F4" s="14" t="n">
        <v>12</v>
      </c>
      <c r="G4" s="12" t="n">
        <f aca="false">Backtest!H481/Backtest!H469-1</f>
        <v>0.0969094939354096</v>
      </c>
      <c r="H4" s="12" t="n">
        <f aca="false">STDEV(Backtest!G470:G481)*SQRT(Inputs!B6)</f>
        <v>0.207663343703654</v>
      </c>
    </row>
    <row r="5" customFormat="false" ht="30" hidden="false" customHeight="true" outlineLevel="0" collapsed="false">
      <c r="A5" s="15" t="n">
        <v>2003</v>
      </c>
      <c r="B5" s="3" t="s">
        <v>74</v>
      </c>
      <c r="C5" s="15" t="n">
        <v>480</v>
      </c>
      <c r="D5" s="4" t="n">
        <f aca="false">AVERAGE(Backtest!G2:G481)/STDEV(Backtest!G2:G481)*SQRT(Inputs!B6)</f>
        <v>0.722871520381807</v>
      </c>
      <c r="E5" s="13" t="n">
        <f aca="false">STDEV(Backtest!G2:G481)*SQRT(Inputs!B6)</f>
        <v>0.110484709589632</v>
      </c>
      <c r="F5" s="15" t="n">
        <v>12</v>
      </c>
      <c r="G5" s="13" t="n">
        <f aca="false">Backtest!H493/Backtest!H481-1</f>
        <v>-0.152718486120033</v>
      </c>
      <c r="H5" s="13" t="n">
        <f aca="false">STDEV(Backtest!G482:G493)*SQRT(Inputs!B6)</f>
        <v>0.123628868171858</v>
      </c>
    </row>
    <row r="6" customFormat="false" ht="30" hidden="false" customHeight="true" outlineLevel="0" collapsed="false">
      <c r="A6" s="14" t="n">
        <v>2004</v>
      </c>
      <c r="B6" s="2" t="s">
        <v>75</v>
      </c>
      <c r="C6" s="14" t="n">
        <v>492</v>
      </c>
      <c r="D6" s="5" t="n">
        <f aca="false">AVERAGE(Backtest!G2:G493)/STDEV(Backtest!G2:G493)*SQRT(Inputs!B6)</f>
        <v>0.666263629929206</v>
      </c>
      <c r="E6" s="12" t="n">
        <f aca="false">STDEV(Backtest!G2:G493)*SQRT(Inputs!B6)</f>
        <v>0.111187950950811</v>
      </c>
      <c r="F6" s="14" t="n">
        <v>12</v>
      </c>
      <c r="G6" s="12" t="n">
        <f aca="false">Backtest!H505/Backtest!H493-1</f>
        <v>-0.0814416062850836</v>
      </c>
      <c r="H6" s="12" t="n">
        <f aca="false">STDEV(Backtest!G494:G505)*SQRT(Inputs!B6)</f>
        <v>0.0790434561146301</v>
      </c>
    </row>
    <row r="7" customFormat="false" ht="30" hidden="false" customHeight="true" outlineLevel="0" collapsed="false">
      <c r="A7" s="15" t="n">
        <v>2005</v>
      </c>
      <c r="B7" s="3" t="s">
        <v>76</v>
      </c>
      <c r="C7" s="15" t="n">
        <v>504</v>
      </c>
      <c r="D7" s="4" t="n">
        <f aca="false">AVERAGE(Backtest!G2:G505)/STDEV(Backtest!G2:G505)*SQRT(Inputs!B6)</f>
        <v>0.63575955274792</v>
      </c>
      <c r="E7" s="13" t="n">
        <f aca="false">STDEV(Backtest!G2:G505)*SQRT(Inputs!B6)</f>
        <v>0.110686874921626</v>
      </c>
      <c r="F7" s="15" t="n">
        <v>12</v>
      </c>
      <c r="G7" s="13" t="n">
        <f aca="false">Backtest!H517/Backtest!H505-1</f>
        <v>0.0706161140965465</v>
      </c>
      <c r="H7" s="13" t="n">
        <f aca="false">STDEV(Backtest!G506:G517)*SQRT(Inputs!B6)</f>
        <v>0.047358408584288</v>
      </c>
    </row>
    <row r="8" customFormat="false" ht="30" hidden="false" customHeight="true" outlineLevel="0" collapsed="false">
      <c r="A8" s="14" t="n">
        <v>2006</v>
      </c>
      <c r="B8" s="2" t="s">
        <v>77</v>
      </c>
      <c r="C8" s="14" t="n">
        <v>516</v>
      </c>
      <c r="D8" s="5" t="n">
        <f aca="false">AVERAGE(Backtest!G2:G517)/STDEV(Backtest!G2:G517)*SQRT(Inputs!B6)</f>
        <v>0.641819345486407</v>
      </c>
      <c r="E8" s="12" t="n">
        <f aca="false">STDEV(Backtest!G2:G517)*SQRT(Inputs!B6)</f>
        <v>0.109608471143836</v>
      </c>
      <c r="F8" s="14" t="n">
        <v>12</v>
      </c>
      <c r="G8" s="12" t="n">
        <f aca="false">Backtest!H529/Backtest!H517-1</f>
        <v>-0.0939279981444319</v>
      </c>
      <c r="H8" s="12" t="n">
        <f aca="false">STDEV(Backtest!G518:G529)*SQRT(Inputs!B6)</f>
        <v>0.0635414163432724</v>
      </c>
    </row>
    <row r="9" customFormat="false" ht="30" hidden="false" customHeight="true" outlineLevel="0" collapsed="false">
      <c r="A9" s="15" t="n">
        <v>2007</v>
      </c>
      <c r="B9" s="3" t="s">
        <v>78</v>
      </c>
      <c r="C9" s="15" t="n">
        <v>528</v>
      </c>
      <c r="D9" s="4" t="n">
        <f aca="false">AVERAGE(Backtest!G2:G529)/STDEV(Backtest!G2:G529)*SQRT(Inputs!B6)</f>
        <v>0.610766168674703</v>
      </c>
      <c r="E9" s="13" t="n">
        <f aca="false">STDEV(Backtest!G2:G529)*SQRT(Inputs!B6)</f>
        <v>0.108978248446792</v>
      </c>
      <c r="F9" s="15" t="n">
        <v>12</v>
      </c>
      <c r="G9" s="13" t="n">
        <f aca="false">Backtest!H541/Backtest!H529-1</f>
        <v>0.207312663191912</v>
      </c>
      <c r="H9" s="13" t="n">
        <f aca="false">STDEV(Backtest!G530:G541)*SQRT(Inputs!B6)</f>
        <v>0.0717942514791717</v>
      </c>
    </row>
    <row r="10" customFormat="false" ht="30" hidden="false" customHeight="true" outlineLevel="0" collapsed="false">
      <c r="A10" s="14" t="n">
        <v>2008</v>
      </c>
      <c r="B10" s="2" t="s">
        <v>79</v>
      </c>
      <c r="C10" s="14" t="n">
        <v>540</v>
      </c>
      <c r="D10" s="5" t="n">
        <f aca="false">AVERAGE(Backtest!G2:G541)/STDEV(Backtest!G2:G541)*SQRT(Inputs!B6)</f>
        <v>0.639913544131824</v>
      </c>
      <c r="E10" s="12" t="n">
        <f aca="false">STDEV(Backtest!G2:G541)*SQRT(Inputs!B6)</f>
        <v>0.108377487643761</v>
      </c>
      <c r="F10" s="14" t="n">
        <v>12</v>
      </c>
      <c r="G10" s="12" t="n">
        <f aca="false">Backtest!H553/Backtest!H541-1</f>
        <v>0.278918022359037</v>
      </c>
      <c r="H10" s="12" t="n">
        <f aca="false">STDEV(Backtest!G542:G553)*SQRT(Inputs!B6)</f>
        <v>0.185825291237862</v>
      </c>
    </row>
    <row r="11" customFormat="false" ht="30" hidden="false" customHeight="true" outlineLevel="0" collapsed="false">
      <c r="A11" s="15" t="n">
        <v>2009</v>
      </c>
      <c r="B11" s="3" t="s">
        <v>80</v>
      </c>
      <c r="C11" s="15" t="n">
        <v>552</v>
      </c>
      <c r="D11" s="4" t="n">
        <f aca="false">AVERAGE(Backtest!G2:G553)/STDEV(Backtest!G2:G553)*SQRT(Inputs!B6)</f>
        <v>0.665009177812518</v>
      </c>
      <c r="E11" s="13" t="n">
        <f aca="false">STDEV(Backtest!G2:G553)*SQRT(Inputs!B6)</f>
        <v>0.110665357285666</v>
      </c>
      <c r="F11" s="15" t="n">
        <v>12</v>
      </c>
      <c r="G11" s="13" t="n">
        <f aca="false">Backtest!H565/Backtest!H553-1</f>
        <v>-0.449786637698919</v>
      </c>
      <c r="H11" s="13" t="n">
        <f aca="false">STDEV(Backtest!G554:G565)*SQRT(Inputs!B6)</f>
        <v>0.350537694445651</v>
      </c>
    </row>
    <row r="12" customFormat="false" ht="30" hidden="false" customHeight="true" outlineLevel="0" collapsed="false">
      <c r="A12" s="14" t="n">
        <v>2010</v>
      </c>
      <c r="B12" s="2" t="s">
        <v>81</v>
      </c>
      <c r="C12" s="14" t="n">
        <v>564</v>
      </c>
      <c r="D12" s="5" t="n">
        <f aca="false">AVERAGE(Backtest!G2:G565)/STDEV(Backtest!G2:G565)*SQRT(Inputs!B6)</f>
        <v>0.497543183964264</v>
      </c>
      <c r="E12" s="12" t="n">
        <f aca="false">STDEV(Backtest!G2:G565)*SQRT(Inputs!B6)</f>
        <v>0.12248054775182</v>
      </c>
      <c r="F12" s="14" t="n">
        <v>12</v>
      </c>
      <c r="G12" s="12" t="n">
        <f aca="false">Backtest!H577/Backtest!H565-1</f>
        <v>0.0045878942426103</v>
      </c>
      <c r="H12" s="12" t="n">
        <f aca="false">STDEV(Backtest!G566:G577)*SQRT(Inputs!B6)</f>
        <v>0.0993664693308197</v>
      </c>
    </row>
    <row r="13" customFormat="false" ht="30" hidden="false" customHeight="true" outlineLevel="0" collapsed="false">
      <c r="A13" s="15" t="n">
        <v>2011</v>
      </c>
      <c r="B13" s="3" t="s">
        <v>82</v>
      </c>
      <c r="C13" s="15" t="n">
        <v>576</v>
      </c>
      <c r="D13" s="4" t="n">
        <f aca="false">AVERAGE(Backtest!G2:G577)/STDEV(Backtest!G2:G577)*SQRT(Inputs!B6)</f>
        <v>0.490694337480567</v>
      </c>
      <c r="E13" s="13" t="n">
        <f aca="false">STDEV(Backtest!G2:G577)*SQRT(Inputs!B6)</f>
        <v>0.121991252179545</v>
      </c>
      <c r="F13" s="15" t="n">
        <v>12</v>
      </c>
      <c r="G13" s="13" t="n">
        <f aca="false">Backtest!H589/Backtest!H577-1</f>
        <v>0.102370980774489</v>
      </c>
      <c r="H13" s="13" t="n">
        <f aca="false">STDEV(Backtest!G578:G589)*SQRT(Inputs!B6)</f>
        <v>0.058950848170319</v>
      </c>
    </row>
    <row r="14" customFormat="false" ht="30" hidden="false" customHeight="true" outlineLevel="0" collapsed="false">
      <c r="A14" s="14" t="n">
        <v>2012</v>
      </c>
      <c r="B14" s="2" t="s">
        <v>83</v>
      </c>
      <c r="C14" s="14" t="n">
        <v>588</v>
      </c>
      <c r="D14" s="5" t="n">
        <f aca="false">AVERAGE(Backtest!G2:G589)/STDEV(Backtest!G2:G589)*SQRT(Inputs!B6)</f>
        <v>0.501316564836732</v>
      </c>
      <c r="E14" s="12" t="n">
        <f aca="false">STDEV(Backtest!G2:G589)*SQRT(Inputs!B6)</f>
        <v>0.121018078400615</v>
      </c>
      <c r="F14" s="14" t="n">
        <v>12</v>
      </c>
      <c r="G14" s="12" t="n">
        <f aca="false">Backtest!H601/Backtest!H589-1</f>
        <v>-0.0280891391835137</v>
      </c>
      <c r="H14" s="12" t="n">
        <f aca="false">STDEV(Backtest!G590:G601)*SQRT(Inputs!B6)</f>
        <v>0.107631247574975</v>
      </c>
    </row>
    <row r="15" customFormat="false" ht="30" hidden="false" customHeight="true" outlineLevel="0" collapsed="false">
      <c r="A15" s="15" t="n">
        <v>2013</v>
      </c>
      <c r="B15" s="3" t="s">
        <v>84</v>
      </c>
      <c r="C15" s="15" t="n">
        <v>600</v>
      </c>
      <c r="D15" s="4" t="n">
        <f aca="false">AVERAGE(Backtest!G2:G601)/STDEV(Backtest!G2:G601)*SQRT(Inputs!B6)</f>
        <v>0.488645060464496</v>
      </c>
      <c r="E15" s="13" t="n">
        <f aca="false">STDEV(Backtest!G2:G601)*SQRT(Inputs!B6)</f>
        <v>0.120731804684407</v>
      </c>
      <c r="F15" s="15" t="n">
        <v>12</v>
      </c>
      <c r="G15" s="13" t="n">
        <f aca="false">Backtest!H613/Backtest!H601-1</f>
        <v>-0.0288613507482984</v>
      </c>
      <c r="H15" s="13" t="n">
        <f aca="false">STDEV(Backtest!G602:G613)*SQRT(Inputs!B6)</f>
        <v>0.0532783833872954</v>
      </c>
    </row>
    <row r="16" customFormat="false" ht="30" hidden="false" customHeight="true" outlineLevel="0" collapsed="false">
      <c r="A16" s="14" t="n">
        <v>2014</v>
      </c>
      <c r="B16" s="2" t="s">
        <v>85</v>
      </c>
      <c r="C16" s="14" t="n">
        <v>612</v>
      </c>
      <c r="D16" s="5" t="n">
        <f aca="false">AVERAGE(Backtest!G2:G613)/STDEV(Backtest!G2:G613)*SQRT(Inputs!B6)</f>
        <v>0.478197215201254</v>
      </c>
      <c r="E16" s="12" t="n">
        <f aca="false">STDEV(Backtest!G2:G613)*SQRT(Inputs!B6)</f>
        <v>0.11980453724374</v>
      </c>
      <c r="F16" s="14" t="n">
        <v>12</v>
      </c>
      <c r="G16" s="12" t="n">
        <f aca="false">Backtest!H625/Backtest!H613-1</f>
        <v>0.0089735944381073</v>
      </c>
      <c r="H16" s="12" t="n">
        <f aca="false">STDEV(Backtest!G614:G625)*SQRT(Inputs!B6)</f>
        <v>0.0651306309727542</v>
      </c>
    </row>
    <row r="17" customFormat="false" ht="30" hidden="false" customHeight="true" outlineLevel="0" collapsed="false">
      <c r="A17" s="15" t="n">
        <v>2015</v>
      </c>
      <c r="B17" s="3" t="s">
        <v>86</v>
      </c>
      <c r="C17" s="15" t="n">
        <v>624</v>
      </c>
      <c r="D17" s="4" t="n">
        <f aca="false">AVERAGE(Backtest!G2:G625)/STDEV(Backtest!G2:G625)*SQRT(Inputs!B6)</f>
        <v>0.474034704905017</v>
      </c>
      <c r="E17" s="13" t="n">
        <f aca="false">STDEV(Backtest!G2:G625)*SQRT(Inputs!B6)</f>
        <v>0.11897457367468</v>
      </c>
      <c r="F17" s="15" t="n">
        <v>12</v>
      </c>
      <c r="G17" s="13" t="n">
        <f aca="false">Backtest!H637/Backtest!H625-1</f>
        <v>0.208457115584308</v>
      </c>
      <c r="H17" s="13" t="n">
        <f aca="false">STDEV(Backtest!G626:G637)*SQRT(Inputs!B6)</f>
        <v>0.159852466071346</v>
      </c>
    </row>
    <row r="18" customFormat="false" ht="30" hidden="false" customHeight="true" outlineLevel="0" collapsed="false">
      <c r="A18" s="14" t="n">
        <v>2016</v>
      </c>
      <c r="B18" s="2" t="s">
        <v>87</v>
      </c>
      <c r="C18" s="14" t="n">
        <v>636</v>
      </c>
      <c r="D18" s="5" t="n">
        <f aca="false">AVERAGE(Backtest!G2:G637)/STDEV(Backtest!G2:G637)*SQRT(Inputs!B6)</f>
        <v>0.493574126714673</v>
      </c>
      <c r="E18" s="12" t="n">
        <f aca="false">STDEV(Backtest!G2:G637)*SQRT(Inputs!B6)</f>
        <v>0.119845889375142</v>
      </c>
      <c r="F18" s="14" t="n">
        <v>12</v>
      </c>
      <c r="G18" s="12" t="n">
        <f aca="false">Backtest!H649/Backtest!H637-1</f>
        <v>-0.15308409573615</v>
      </c>
      <c r="H18" s="12" t="n">
        <f aca="false">STDEV(Backtest!G638:G649)*SQRT(Inputs!B6)</f>
        <v>0.122184335404265</v>
      </c>
    </row>
    <row r="19" customFormat="false" ht="30" hidden="false" customHeight="true" outlineLevel="0" collapsed="false">
      <c r="A19" s="15" t="n">
        <v>2017</v>
      </c>
      <c r="B19" s="3" t="s">
        <v>88</v>
      </c>
      <c r="C19" s="15" t="n">
        <v>648</v>
      </c>
      <c r="D19" s="4" t="n">
        <f aca="false">AVERAGE(Backtest!G2:G649)/STDEV(Backtest!G2:G649)*SQRT(Inputs!B6)</f>
        <v>0.459095031891677</v>
      </c>
      <c r="E19" s="13" t="n">
        <f aca="false">STDEV(Backtest!G2:G649)*SQRT(Inputs!B6)</f>
        <v>0.120091330777768</v>
      </c>
      <c r="F19" s="15" t="n">
        <v>12</v>
      </c>
      <c r="G19" s="13" t="n">
        <f aca="false">Backtest!H661/Backtest!H649-1</f>
        <v>-0.00533970835861175</v>
      </c>
      <c r="H19" s="13" t="n">
        <f aca="false">STDEV(Backtest!G650:G661)*SQRT(Inputs!B6)</f>
        <v>0.0830769085081572</v>
      </c>
    </row>
    <row r="20" customFormat="false" ht="30" hidden="false" customHeight="true" outlineLevel="0" collapsed="false">
      <c r="A20" s="14" t="n">
        <v>2018</v>
      </c>
      <c r="B20" s="2" t="s">
        <v>89</v>
      </c>
      <c r="C20" s="14" t="n">
        <v>660</v>
      </c>
      <c r="D20" s="5" t="n">
        <f aca="false">AVERAGE(Backtest!G2:G661)/STDEV(Backtest!G2:G661)*SQRT(Inputs!B6)</f>
        <v>0.452656834479753</v>
      </c>
      <c r="E20" s="12" t="n">
        <f aca="false">STDEV(Backtest!G2:G661)*SQRT(Inputs!B6)</f>
        <v>0.119496503688223</v>
      </c>
      <c r="F20" s="14" t="n">
        <v>12</v>
      </c>
      <c r="G20" s="12" t="n">
        <f aca="false">Backtest!H673/Backtest!H661-1</f>
        <v>0.102711528812442</v>
      </c>
      <c r="H20" s="12" t="n">
        <f aca="false">STDEV(Backtest!G662:G673)*SQRT(Inputs!B6)</f>
        <v>0.0990727372829038</v>
      </c>
    </row>
    <row r="21" customFormat="false" ht="30" hidden="false" customHeight="true" outlineLevel="0" collapsed="false">
      <c r="A21" s="15" t="n">
        <v>2019</v>
      </c>
      <c r="B21" s="3" t="s">
        <v>90</v>
      </c>
      <c r="C21" s="15" t="n">
        <v>672</v>
      </c>
      <c r="D21" s="4" t="n">
        <f aca="false">AVERAGE(Backtest!G2:G673)/STDEV(Backtest!G2:G673)*SQRT(Inputs!B6)</f>
        <v>0.461378628566976</v>
      </c>
      <c r="E21" s="13" t="n">
        <f aca="false">STDEV(Backtest!G2:G673)*SQRT(Inputs!B6)</f>
        <v>0.119115059637326</v>
      </c>
      <c r="F21" s="15" t="n">
        <v>12</v>
      </c>
      <c r="G21" s="13" t="n">
        <f aca="false">Backtest!H685/Backtest!H673-1</f>
        <v>-0.0294606297494542</v>
      </c>
      <c r="H21" s="13" t="n">
        <f aca="false">STDEV(Backtest!G674:G685)*SQRT(Inputs!B6)</f>
        <v>0.130592686520828</v>
      </c>
    </row>
    <row r="22" customFormat="false" ht="30" hidden="false" customHeight="true" outlineLevel="0" collapsed="false">
      <c r="A22" s="14" t="n">
        <v>2020</v>
      </c>
      <c r="B22" s="2" t="s">
        <v>91</v>
      </c>
      <c r="C22" s="14" t="n">
        <v>684</v>
      </c>
      <c r="D22" s="5" t="n">
        <f aca="false">AVERAGE(Backtest!G2:G685)/STDEV(Backtest!G2:G685)*SQRT(Inputs!B6)</f>
        <v>0.449484658225353</v>
      </c>
      <c r="E22" s="12" t="n">
        <f aca="false">STDEV(Backtest!G2:G685)*SQRT(Inputs!B6)</f>
        <v>0.119257431780991</v>
      </c>
      <c r="F22" s="14" t="n">
        <v>12</v>
      </c>
      <c r="G22" s="12" t="n">
        <f aca="false">Backtest!H697/Backtest!H685-1</f>
        <v>-0.0797576481874769</v>
      </c>
      <c r="H22" s="12" t="n">
        <f aca="false">STDEV(Backtest!G686:G697)*SQRT(Inputs!B6)</f>
        <v>0.274114310511642</v>
      </c>
    </row>
    <row r="23" customFormat="false" ht="30" hidden="false" customHeight="true" outlineLevel="0" collapsed="false">
      <c r="A23" s="15" t="n">
        <v>2021</v>
      </c>
      <c r="B23" s="3" t="s">
        <v>92</v>
      </c>
      <c r="C23" s="15" t="n">
        <v>696</v>
      </c>
      <c r="D23" s="4" t="n">
        <f aca="false">AVERAGE(Backtest!G2:G697)/STDEV(Backtest!G2:G697)*SQRT(Inputs!B6)</f>
        <v>0.421071524982138</v>
      </c>
      <c r="E23" s="13" t="n">
        <f aca="false">STDEV(Backtest!G2:G697)*SQRT(Inputs!B6)</f>
        <v>0.123207833507688</v>
      </c>
      <c r="F23" s="15" t="n">
        <v>12</v>
      </c>
      <c r="G23" s="13" t="n">
        <f aca="false">Backtest!H709/Backtest!H697-1</f>
        <v>-0.188474315805729</v>
      </c>
      <c r="H23" s="13" t="n">
        <f aca="false">STDEV(Backtest!G698:G709)*SQRT(Inputs!B6)</f>
        <v>0.151190087307336</v>
      </c>
    </row>
    <row r="24" customFormat="false" ht="30" hidden="false" customHeight="true" outlineLevel="0" collapsed="false">
      <c r="A24" s="14" t="n">
        <v>2022</v>
      </c>
      <c r="B24" s="2" t="s">
        <v>93</v>
      </c>
      <c r="C24" s="14" t="n">
        <v>708</v>
      </c>
      <c r="D24" s="5" t="n">
        <f aca="false">AVERAGE(Backtest!G2:G709)/STDEV(Backtest!G2:G709)*SQRT(Inputs!B6)</f>
        <v>0.384647614944477</v>
      </c>
      <c r="E24" s="12" t="n">
        <f aca="false">STDEV(Backtest!G2:G709)*SQRT(Inputs!B6)</f>
        <v>0.12395012159623</v>
      </c>
      <c r="F24" s="14" t="n">
        <v>12</v>
      </c>
      <c r="G24" s="12" t="n">
        <f aca="false">Backtest!H721/Backtest!H709-1</f>
        <v>0.203574361008722</v>
      </c>
      <c r="H24" s="12" t="n">
        <f aca="false">STDEV(Backtest!G710:G721)*SQRT(Inputs!B6)</f>
        <v>0.0885680580632256</v>
      </c>
    </row>
    <row r="25" customFormat="false" ht="30" hidden="false" customHeight="true" outlineLevel="0" collapsed="false">
      <c r="A25" s="15" t="n">
        <v>2023</v>
      </c>
      <c r="B25" s="3" t="s">
        <v>94</v>
      </c>
      <c r="C25" s="15" t="n">
        <v>720</v>
      </c>
      <c r="D25" s="4" t="n">
        <f aca="false">AVERAGE(Backtest!G2:G721)/STDEV(Backtest!G2:G721)*SQRT(Inputs!B6)</f>
        <v>0.405259756308953</v>
      </c>
      <c r="E25" s="13" t="n">
        <f aca="false">STDEV(Backtest!G2:G721)*SQRT(Inputs!B6)</f>
        <v>0.123511318080415</v>
      </c>
      <c r="F25" s="15" t="n">
        <v>12</v>
      </c>
      <c r="G25" s="13" t="n">
        <f aca="false">Backtest!H733/Backtest!H721-1</f>
        <v>-0.140628459355516</v>
      </c>
      <c r="H25" s="13" t="n">
        <f aca="false">STDEV(Backtest!G722:G733)*SQRT(Inputs!B6)</f>
        <v>0.175638582942877</v>
      </c>
    </row>
    <row r="26" customFormat="false" ht="30" hidden="false" customHeight="true" outlineLevel="0" collapsed="false">
      <c r="A26" s="14" t="n">
        <v>2024</v>
      </c>
      <c r="B26" s="2" t="s">
        <v>95</v>
      </c>
      <c r="C26" s="14" t="n">
        <v>732</v>
      </c>
      <c r="D26" s="5" t="n">
        <f aca="false">AVERAGE(Backtest!G2:G733)/STDEV(Backtest!G2:G733)*SQRT(Inputs!B6)</f>
        <v>0.377372238577772</v>
      </c>
      <c r="E26" s="12" t="n">
        <f aca="false">STDEV(Backtest!G2:G733)*SQRT(Inputs!B6)</f>
        <v>0.124560666895031</v>
      </c>
      <c r="F26" s="14" t="n">
        <v>12</v>
      </c>
      <c r="G26" s="12" t="n">
        <f aca="false">Backtest!H745/Backtest!H733-1</f>
        <v>0.163197763288975</v>
      </c>
      <c r="H26" s="12" t="n">
        <f aca="false">STDEV(Backtest!G734:G745)*SQRT(Inputs!B6)</f>
        <v>0.138266596899547</v>
      </c>
    </row>
    <row r="27" customFormat="false" ht="30" hidden="false" customHeight="true" outlineLevel="0" collapsed="false">
      <c r="A27" s="15" t="n">
        <v>2025</v>
      </c>
      <c r="B27" s="3" t="s">
        <v>96</v>
      </c>
      <c r="C27" s="15" t="n">
        <v>744</v>
      </c>
      <c r="D27" s="4" t="n">
        <f aca="false">AVERAGE(Backtest!G2:G745)/STDEV(Backtest!G2:G745)*SQRT(Inputs!B6)</f>
        <v>0.391519596708752</v>
      </c>
      <c r="E27" s="13" t="n">
        <f aca="false">STDEV(Backtest!G2:G745)*SQRT(Inputs!B6)</f>
        <v>0.124759956213052</v>
      </c>
      <c r="F27" s="15" t="n">
        <v>12</v>
      </c>
      <c r="G27" s="13" t="n">
        <f aca="false">Backtest!H757/Backtest!H745-1</f>
        <v>-0.0852220781482541</v>
      </c>
      <c r="H27" s="13" t="n">
        <f aca="false">STDEV(Backtest!G746:G757)*SQRT(Inputs!B6)</f>
        <v>0.112394858949072</v>
      </c>
    </row>
    <row r="28" customFormat="false" ht="30" hidden="false" customHeight="true" outlineLevel="0" collapsed="false">
      <c r="A28" s="14" t="n">
        <v>2026</v>
      </c>
      <c r="B28" s="2" t="s">
        <v>97</v>
      </c>
      <c r="C28" s="14" t="n">
        <v>756</v>
      </c>
      <c r="D28" s="5" t="n">
        <f aca="false">AVERAGE(Backtest!G2:G757)/STDEV(Backtest!G2:G757)*SQRT(Inputs!B6)</f>
        <v>0.375242302382298</v>
      </c>
      <c r="E28" s="12" t="n">
        <f aca="false">STDEV(Backtest!G2:G757)*SQRT(Inputs!B6)</f>
        <v>0.124596741777624</v>
      </c>
      <c r="F28" s="14" t="n">
        <v>9</v>
      </c>
      <c r="G28" s="12" t="n">
        <f aca="false">Backtest!H766/Backtest!H757-1</f>
        <v>0.193745053559057</v>
      </c>
      <c r="H28" s="12" t="n">
        <f aca="false">STDEV(Backtest!G758:G766)*SQRT(Inputs!B6)</f>
        <v>0.272540865437338</v>
      </c>
    </row>
  </sheetData>
  <autoFilter ref="A1:H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23"/>
  </cols>
  <sheetData>
    <row r="1" customFormat="false" ht="33.75" hidden="false" customHeight="true" outlineLevel="0" collapsed="false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customFormat="false" ht="30" hidden="false" customHeight="true" outlineLevel="0" collapsed="false">
      <c r="A2" s="16" t="n">
        <v>0.25</v>
      </c>
      <c r="B2" s="11" t="n">
        <v>0</v>
      </c>
      <c r="C2" s="12" t="n">
        <f aca="false">4*Inputs!B2*A2*B2/10000+Inputs!B2*Inputs!B5/Inputs!B6</f>
        <v>0.000833333333333333</v>
      </c>
      <c r="D2" s="5" t="n">
        <f aca="false">(AVERAGE(Backtest!D446:D766)-C2)/STDEV(Backtest!D446:D766)*SQRT(Inputs!B6)</f>
        <v>0.124774087951064</v>
      </c>
      <c r="E2" s="12" t="n">
        <f aca="false">C2*Inputs!B6</f>
        <v>0.01</v>
      </c>
    </row>
    <row r="3" customFormat="false" ht="30" hidden="false" customHeight="true" outlineLevel="0" collapsed="false">
      <c r="A3" s="17" t="n">
        <v>0.25</v>
      </c>
      <c r="B3" s="9" t="n">
        <v>10</v>
      </c>
      <c r="C3" s="13" t="n">
        <f aca="false">4*Inputs!B2*A3*B3/10000+Inputs!B2*Inputs!B5/Inputs!B6</f>
        <v>0.00133333333333333</v>
      </c>
      <c r="D3" s="4" t="n">
        <f aca="false">(AVERAGE(Backtest!D446:D766)-C3)/STDEV(Backtest!D446:D766)*SQRT(Inputs!B6)</f>
        <v>0.0875471316983531</v>
      </c>
      <c r="E3" s="13" t="n">
        <f aca="false">C3*Inputs!B6</f>
        <v>0.016</v>
      </c>
    </row>
    <row r="4" customFormat="false" ht="30" hidden="false" customHeight="true" outlineLevel="0" collapsed="false">
      <c r="A4" s="16" t="n">
        <v>0.25</v>
      </c>
      <c r="B4" s="11" t="n">
        <v>25</v>
      </c>
      <c r="C4" s="12" t="n">
        <f aca="false">4*Inputs!B2*A4*B4/10000+Inputs!B2*Inputs!B5/Inputs!B6</f>
        <v>0.00208333333333333</v>
      </c>
      <c r="D4" s="5" t="n">
        <f aca="false">(AVERAGE(Backtest!D446:D766)-C4)/STDEV(Backtest!D446:D766)*SQRT(Inputs!B6)</f>
        <v>0.031706697319287</v>
      </c>
      <c r="E4" s="12" t="n">
        <f aca="false">C4*Inputs!B6</f>
        <v>0.025</v>
      </c>
    </row>
    <row r="5" customFormat="false" ht="30" hidden="false" customHeight="true" outlineLevel="0" collapsed="false">
      <c r="A5" s="17" t="n">
        <v>0.25</v>
      </c>
      <c r="B5" s="9" t="n">
        <v>50</v>
      </c>
      <c r="C5" s="13" t="n">
        <f aca="false">4*Inputs!B2*A5*B5/10000+Inputs!B2*Inputs!B5/Inputs!B6</f>
        <v>0.00333333333333333</v>
      </c>
      <c r="D5" s="4" t="n">
        <f aca="false">(AVERAGE(Backtest!D446:D766)-C5)/STDEV(Backtest!D446:D766)*SQRT(Inputs!B6)</f>
        <v>-0.0613606933124899</v>
      </c>
      <c r="E5" s="13" t="n">
        <f aca="false">C5*Inputs!B6</f>
        <v>0.04</v>
      </c>
    </row>
    <row r="6" customFormat="false" ht="30" hidden="false" customHeight="true" outlineLevel="0" collapsed="false">
      <c r="A6" s="16" t="n">
        <v>0.5</v>
      </c>
      <c r="B6" s="11" t="n">
        <v>0</v>
      </c>
      <c r="C6" s="12" t="n">
        <f aca="false">4*Inputs!B2*A6*B6/10000+Inputs!B2*Inputs!B5/Inputs!B6</f>
        <v>0.000833333333333333</v>
      </c>
      <c r="D6" s="5" t="n">
        <f aca="false">(AVERAGE(Backtest!D446:D766)-C6)/STDEV(Backtest!D446:D766)*SQRT(Inputs!B6)</f>
        <v>0.124774087951064</v>
      </c>
      <c r="E6" s="12" t="n">
        <f aca="false">C6*Inputs!B6</f>
        <v>0.01</v>
      </c>
    </row>
    <row r="7" customFormat="false" ht="30" hidden="false" customHeight="true" outlineLevel="0" collapsed="false">
      <c r="A7" s="17" t="n">
        <v>0.5</v>
      </c>
      <c r="B7" s="9" t="n">
        <v>10</v>
      </c>
      <c r="C7" s="13" t="n">
        <f aca="false">4*Inputs!B2*A7*B7/10000+Inputs!B2*Inputs!B5/Inputs!B6</f>
        <v>0.00183333333333333</v>
      </c>
      <c r="D7" s="4" t="n">
        <f aca="false">(AVERAGE(Backtest!D446:D766)-C7)/STDEV(Backtest!D446:D766)*SQRT(Inputs!B6)</f>
        <v>0.0503201754456423</v>
      </c>
      <c r="E7" s="13" t="n">
        <f aca="false">C7*Inputs!B6</f>
        <v>0.022</v>
      </c>
    </row>
    <row r="8" customFormat="false" ht="30" hidden="false" customHeight="true" outlineLevel="0" collapsed="false">
      <c r="A8" s="16" t="n">
        <v>0.5</v>
      </c>
      <c r="B8" s="11" t="n">
        <v>25</v>
      </c>
      <c r="C8" s="12" t="n">
        <f aca="false">4*Inputs!B2*A8*B8/10000+Inputs!B2*Inputs!B5/Inputs!B6</f>
        <v>0.00333333333333333</v>
      </c>
      <c r="D8" s="5" t="n">
        <f aca="false">(AVERAGE(Backtest!D446:D766)-C8)/STDEV(Backtest!D446:D766)*SQRT(Inputs!B6)</f>
        <v>-0.0613606933124899</v>
      </c>
      <c r="E8" s="12" t="n">
        <f aca="false">C8*Inputs!B6</f>
        <v>0.04</v>
      </c>
    </row>
    <row r="9" customFormat="false" ht="30" hidden="false" customHeight="true" outlineLevel="0" collapsed="false">
      <c r="A9" s="17" t="n">
        <v>0.5</v>
      </c>
      <c r="B9" s="9" t="n">
        <v>50</v>
      </c>
      <c r="C9" s="13" t="n">
        <f aca="false">4*Inputs!B2*A9*B9/10000+Inputs!B2*Inputs!B5/Inputs!B6</f>
        <v>0.00583333333333333</v>
      </c>
      <c r="D9" s="4" t="n">
        <f aca="false">(AVERAGE(Backtest!D446:D766)-C9)/STDEV(Backtest!D446:D766)*SQRT(Inputs!B6)</f>
        <v>-0.247495474576044</v>
      </c>
      <c r="E9" s="13" t="n">
        <f aca="false">C9*Inputs!B6</f>
        <v>0.07</v>
      </c>
    </row>
    <row r="10" customFormat="false" ht="30" hidden="false" customHeight="true" outlineLevel="0" collapsed="false">
      <c r="A10" s="16" t="n">
        <v>1</v>
      </c>
      <c r="B10" s="11" t="n">
        <v>0</v>
      </c>
      <c r="C10" s="12" t="n">
        <f aca="false">4*Inputs!B2*A10*B10/10000+Inputs!B2*Inputs!B5/Inputs!B6</f>
        <v>0.000833333333333333</v>
      </c>
      <c r="D10" s="5" t="n">
        <f aca="false">(AVERAGE(Backtest!D446:D766)-C10)/STDEV(Backtest!D446:D766)*SQRT(Inputs!B6)</f>
        <v>0.124774087951064</v>
      </c>
      <c r="E10" s="12" t="n">
        <f aca="false">C10*Inputs!B6</f>
        <v>0.01</v>
      </c>
    </row>
    <row r="11" customFormat="false" ht="30" hidden="false" customHeight="true" outlineLevel="0" collapsed="false">
      <c r="A11" s="17" t="n">
        <v>1</v>
      </c>
      <c r="B11" s="9" t="n">
        <v>10</v>
      </c>
      <c r="C11" s="13" t="n">
        <f aca="false">4*Inputs!B2*A11*B11/10000+Inputs!B2*Inputs!B5/Inputs!B6</f>
        <v>0.00283333333333333</v>
      </c>
      <c r="D11" s="4" t="n">
        <f aca="false">(AVERAGE(Backtest!D446:D766)-C11)/STDEV(Backtest!D446:D766)*SQRT(Inputs!B6)</f>
        <v>-0.0241337370597791</v>
      </c>
      <c r="E11" s="13" t="n">
        <f aca="false">C11*Inputs!B6</f>
        <v>0.034</v>
      </c>
    </row>
    <row r="12" customFormat="false" ht="30" hidden="false" customHeight="true" outlineLevel="0" collapsed="false">
      <c r="A12" s="16" t="n">
        <v>1</v>
      </c>
      <c r="B12" s="11" t="n">
        <v>25</v>
      </c>
      <c r="C12" s="12" t="n">
        <f aca="false">4*Inputs!B2*A12*B12/10000+Inputs!B2*Inputs!B5/Inputs!B6</f>
        <v>0.00583333333333333</v>
      </c>
      <c r="D12" s="5" t="n">
        <f aca="false">(AVERAGE(Backtest!D446:D766)-C12)/STDEV(Backtest!D446:D766)*SQRT(Inputs!B6)</f>
        <v>-0.247495474576044</v>
      </c>
      <c r="E12" s="12" t="n">
        <f aca="false">C12*Inputs!B6</f>
        <v>0.07</v>
      </c>
    </row>
    <row r="13" customFormat="false" ht="30" hidden="false" customHeight="true" outlineLevel="0" collapsed="false">
      <c r="A13" s="17" t="n">
        <v>1</v>
      </c>
      <c r="B13" s="9" t="n">
        <v>50</v>
      </c>
      <c r="C13" s="13" t="n">
        <f aca="false">4*Inputs!B2*A13*B13/10000+Inputs!B2*Inputs!B5/Inputs!B6</f>
        <v>0.0108333333333333</v>
      </c>
      <c r="D13" s="4" t="n">
        <f aca="false">(AVERAGE(Backtest!D446:D766)-C13)/STDEV(Backtest!D446:D766)*SQRT(Inputs!B6)</f>
        <v>-0.619765037103151</v>
      </c>
      <c r="E13" s="13" t="n">
        <f aca="false">C13*Inputs!B6</f>
        <v>0.13</v>
      </c>
    </row>
    <row r="14" customFormat="false" ht="30" hidden="false" customHeight="true" outlineLevel="0" collapsed="false">
      <c r="A14" s="18" t="s">
        <v>103</v>
      </c>
      <c r="B14" s="5" t="n">
        <f aca="false">(AVERAGE(Backtest!D446:D766)-Inputs!B2*Inputs!B5/12)/(4*Inputs!B2*Inputs!B4)*10000</f>
        <v>16.7585669781931</v>
      </c>
      <c r="C14" s="18"/>
      <c r="D14" s="2"/>
      <c r="E14" s="18"/>
    </row>
  </sheetData>
  <autoFilter ref="A1:E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3"/>
  </cols>
  <sheetData>
    <row r="1" customFormat="false" ht="33.75" hidden="false" customHeight="true" outlineLevel="0" collapsed="false">
      <c r="A1" s="1" t="s">
        <v>104</v>
      </c>
      <c r="B1" s="1" t="s">
        <v>105</v>
      </c>
      <c r="C1" s="1" t="s">
        <v>106</v>
      </c>
      <c r="D1" s="1" t="s">
        <v>107</v>
      </c>
    </row>
    <row r="2" customFormat="false" ht="30" hidden="false" customHeight="true" outlineLevel="0" collapsed="false">
      <c r="A2" s="2" t="s">
        <v>108</v>
      </c>
      <c r="B2" s="2" t="s">
        <v>109</v>
      </c>
      <c r="C2" s="2" t="s">
        <v>110</v>
      </c>
      <c r="D2" s="19" t="n">
        <v>-0.575999438823279</v>
      </c>
    </row>
    <row r="3" customFormat="false" ht="30" hidden="false" customHeight="true" outlineLevel="0" collapsed="false">
      <c r="A3" s="3" t="s">
        <v>111</v>
      </c>
      <c r="B3" s="3" t="s">
        <v>112</v>
      </c>
      <c r="C3" s="3" t="s">
        <v>113</v>
      </c>
      <c r="D3" s="20" t="n">
        <v>-0.348253568831865</v>
      </c>
    </row>
    <row r="4" customFormat="false" ht="30" hidden="false" customHeight="true" outlineLevel="0" collapsed="false">
      <c r="A4" s="2" t="s">
        <v>72</v>
      </c>
      <c r="B4" s="2" t="s">
        <v>114</v>
      </c>
      <c r="C4" s="2" t="s">
        <v>115</v>
      </c>
      <c r="D4" s="19" t="n">
        <v>-0.211033333333333</v>
      </c>
    </row>
    <row r="5" customFormat="false" ht="30" hidden="false" customHeight="true" outlineLevel="0" collapsed="false">
      <c r="A5" s="3" t="s">
        <v>116</v>
      </c>
      <c r="B5" s="3" t="s">
        <v>117</v>
      </c>
      <c r="C5" s="3" t="s">
        <v>118</v>
      </c>
      <c r="D5" s="20" t="n">
        <v>-0.166752879839473</v>
      </c>
    </row>
    <row r="6" customFormat="false" ht="30" hidden="false" customHeight="true" outlineLevel="0" collapsed="false">
      <c r="A6" s="2" t="s">
        <v>119</v>
      </c>
      <c r="B6" s="2" t="s">
        <v>120</v>
      </c>
      <c r="C6" s="2" t="s">
        <v>121</v>
      </c>
      <c r="D6" s="19" t="n">
        <v>-0.163436717740148</v>
      </c>
    </row>
    <row r="7" customFormat="false" ht="30" hidden="false" customHeight="true" outlineLevel="0" collapsed="false">
      <c r="A7" s="3" t="s">
        <v>122</v>
      </c>
      <c r="B7" s="3" t="s">
        <v>123</v>
      </c>
      <c r="C7" s="3" t="s">
        <v>124</v>
      </c>
      <c r="D7" s="3"/>
    </row>
    <row r="8" customFormat="false" ht="30" hidden="false" customHeight="true" outlineLevel="0" collapsed="false">
      <c r="A8" s="2" t="s">
        <v>125</v>
      </c>
      <c r="B8" s="19" t="n">
        <v>-0.449786637698919</v>
      </c>
      <c r="C8" s="14" t="n">
        <v>12</v>
      </c>
      <c r="D8" s="2"/>
    </row>
    <row r="9" customFormat="false" ht="30" hidden="false" customHeight="true" outlineLevel="0" collapsed="false">
      <c r="A9" s="3" t="s">
        <v>126</v>
      </c>
      <c r="B9" s="20" t="n">
        <v>-0.188474315805729</v>
      </c>
      <c r="C9" s="15" t="n">
        <v>12</v>
      </c>
      <c r="D9" s="3"/>
    </row>
    <row r="10" customFormat="false" ht="30" hidden="false" customHeight="true" outlineLevel="0" collapsed="false">
      <c r="A10" s="2" t="s">
        <v>127</v>
      </c>
      <c r="B10" s="19" t="n">
        <v>-0.15308409573615</v>
      </c>
      <c r="C10" s="14" t="n">
        <v>12</v>
      </c>
      <c r="D10" s="2"/>
    </row>
    <row r="11" customFormat="false" ht="30" hidden="false" customHeight="true" outlineLevel="0" collapsed="false">
      <c r="A11" s="3" t="s">
        <v>128</v>
      </c>
      <c r="B11" s="20" t="n">
        <v>-0.152718486120033</v>
      </c>
      <c r="C11" s="15" t="n">
        <v>12</v>
      </c>
      <c r="D11" s="3"/>
    </row>
    <row r="12" customFormat="false" ht="30" hidden="false" customHeight="true" outlineLevel="0" collapsed="false">
      <c r="A12" s="2" t="s">
        <v>129</v>
      </c>
      <c r="B12" s="19" t="n">
        <v>-0.140628459355516</v>
      </c>
      <c r="C12" s="14" t="n">
        <v>12</v>
      </c>
      <c r="D12" s="2"/>
    </row>
    <row r="13" customFormat="false" ht="30" hidden="false" customHeight="true" outlineLevel="0" collapsed="false">
      <c r="A13" s="3" t="s">
        <v>130</v>
      </c>
      <c r="B13" s="3"/>
      <c r="C13" s="3"/>
      <c r="D13" s="3"/>
    </row>
  </sheetData>
  <autoFilter ref="A1:D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2" min="2" style="0" width="23"/>
  </cols>
  <sheetData>
    <row r="1" customFormat="false" ht="33.75" hidden="false" customHeight="true" outlineLevel="0" collapsed="false">
      <c r="A1" s="1" t="s">
        <v>40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50</v>
      </c>
    </row>
    <row r="2" customFormat="false" ht="30" hidden="false" customHeight="true" outlineLevel="0" collapsed="false">
      <c r="A2" s="2" t="s">
        <v>141</v>
      </c>
      <c r="B2" s="16" t="n">
        <v>0.0488</v>
      </c>
      <c r="C2" s="16" t="n">
        <v>0.0791</v>
      </c>
      <c r="D2" s="16" t="n">
        <v>0.0679</v>
      </c>
      <c r="E2" s="16" t="n">
        <v>0.0634</v>
      </c>
      <c r="F2" s="16" t="n">
        <v>0.0403</v>
      </c>
      <c r="G2" s="16" t="n">
        <v>0.0583</v>
      </c>
      <c r="H2" s="16" t="n">
        <v>0.0467</v>
      </c>
      <c r="I2" s="16" t="n">
        <v>0.0505</v>
      </c>
      <c r="J2" s="16" t="n">
        <v>0.0521</v>
      </c>
      <c r="K2" s="16" t="n">
        <v>0.0317</v>
      </c>
      <c r="L2" s="16" t="n">
        <v>-0.0214</v>
      </c>
    </row>
    <row r="3" customFormat="false" ht="30" hidden="false" customHeight="true" outlineLevel="0" collapsed="false">
      <c r="A3" s="3" t="s">
        <v>142</v>
      </c>
      <c r="B3" s="17" t="n">
        <v>-0.0377</v>
      </c>
      <c r="C3" s="17" t="n">
        <v>-0.0222</v>
      </c>
      <c r="D3" s="17" t="n">
        <v>-0.038</v>
      </c>
      <c r="E3" s="17" t="n">
        <v>-0.0293</v>
      </c>
      <c r="F3" s="17" t="n">
        <v>-0.0302</v>
      </c>
      <c r="G3" s="17" t="n">
        <v>-0.0286</v>
      </c>
      <c r="H3" s="17" t="n">
        <v>-0.0114</v>
      </c>
      <c r="I3" s="17" t="n">
        <v>-0.0125</v>
      </c>
      <c r="J3" s="17" t="n">
        <v>-0.0243</v>
      </c>
      <c r="K3" s="17" t="n">
        <v>-0.0159</v>
      </c>
      <c r="L3" s="17" t="n">
        <v>0.0252</v>
      </c>
    </row>
    <row r="4" customFormat="false" ht="30" hidden="false" customHeight="true" outlineLevel="0" collapsed="false">
      <c r="A4" s="2" t="s">
        <v>143</v>
      </c>
      <c r="B4" s="16" t="n">
        <v>0.02</v>
      </c>
      <c r="C4" s="16" t="n">
        <v>0.0221</v>
      </c>
      <c r="D4" s="16" t="n">
        <v>0.0395</v>
      </c>
      <c r="E4" s="16" t="n">
        <v>0.0237</v>
      </c>
      <c r="F4" s="16" t="n">
        <v>0.0253</v>
      </c>
      <c r="G4" s="16" t="n">
        <v>0.0212</v>
      </c>
      <c r="H4" s="16" t="n">
        <v>0.0299</v>
      </c>
      <c r="I4" s="16" t="n">
        <v>0.031</v>
      </c>
      <c r="J4" s="16" t="n">
        <v>0.0441</v>
      </c>
      <c r="K4" s="16" t="n">
        <v>0.0539</v>
      </c>
      <c r="L4" s="16" t="n">
        <v>0.0158</v>
      </c>
    </row>
    <row r="5" customFormat="false" ht="30" hidden="false" customHeight="true" outlineLevel="0" collapsed="false">
      <c r="A5" s="3" t="s">
        <v>144</v>
      </c>
      <c r="B5" s="17" t="n">
        <v>0.0361</v>
      </c>
      <c r="C5" s="17" t="n">
        <v>0.0773</v>
      </c>
      <c r="D5" s="17" t="n">
        <v>0.0393</v>
      </c>
      <c r="E5" s="17" t="n">
        <v>0.0495</v>
      </c>
      <c r="F5" s="17" t="n">
        <v>0.0452</v>
      </c>
      <c r="G5" s="17" t="n">
        <v>0.0404</v>
      </c>
      <c r="H5" s="17" t="n">
        <v>0.0517</v>
      </c>
      <c r="I5" s="17" t="n">
        <v>0.0438</v>
      </c>
      <c r="J5" s="17" t="n">
        <v>0.0428</v>
      </c>
      <c r="K5" s="17" t="n">
        <v>0.0505</v>
      </c>
      <c r="L5" s="17" t="n">
        <v>-0.0006</v>
      </c>
    </row>
    <row r="6" customFormat="false" ht="30" hidden="false" customHeight="true" outlineLevel="0" collapsed="false">
      <c r="A6" s="2" t="s">
        <v>145</v>
      </c>
      <c r="B6" s="16" t="n">
        <v>0.0297</v>
      </c>
      <c r="C6" s="16" t="n">
        <v>0.0231</v>
      </c>
      <c r="D6" s="16" t="n">
        <v>0.0279</v>
      </c>
      <c r="E6" s="16" t="n">
        <v>0.0149</v>
      </c>
      <c r="F6" s="16" t="n">
        <v>0.0255</v>
      </c>
      <c r="G6" s="16" t="n">
        <v>0.0044</v>
      </c>
      <c r="H6" s="16" t="n">
        <v>0.014</v>
      </c>
      <c r="I6" s="16" t="n">
        <v>0.0333</v>
      </c>
      <c r="J6" s="16" t="n">
        <v>0.0164</v>
      </c>
      <c r="K6" s="16" t="n">
        <v>0.0312</v>
      </c>
      <c r="L6" s="16" t="n">
        <v>0.0029</v>
      </c>
    </row>
    <row r="7" customFormat="false" ht="30" hidden="false" customHeight="true" outlineLevel="0" collapsed="false">
      <c r="A7" s="3" t="s">
        <v>146</v>
      </c>
      <c r="B7" s="17" t="n">
        <v>-0.0174</v>
      </c>
      <c r="C7" s="17" t="n">
        <v>-0.0286</v>
      </c>
      <c r="D7" s="17" t="n">
        <v>-0.0292</v>
      </c>
      <c r="E7" s="17" t="n">
        <v>-0.0138</v>
      </c>
      <c r="F7" s="17" t="n">
        <v>-0.0192</v>
      </c>
      <c r="G7" s="17" t="n">
        <v>-0.0366</v>
      </c>
      <c r="H7" s="17" t="n">
        <v>-0.0237</v>
      </c>
      <c r="I7" s="17" t="n">
        <v>-0.0032</v>
      </c>
      <c r="J7" s="17" t="n">
        <v>-0.0067</v>
      </c>
      <c r="K7" s="17" t="n">
        <v>-0.0214</v>
      </c>
      <c r="L7" s="17" t="n">
        <v>0.0116</v>
      </c>
    </row>
    <row r="8" customFormat="false" ht="30" hidden="false" customHeight="true" outlineLevel="0" collapsed="false">
      <c r="A8" s="2" t="s">
        <v>147</v>
      </c>
      <c r="B8" s="16" t="n">
        <v>-0.0277</v>
      </c>
      <c r="C8" s="16" t="n">
        <v>-0.0116</v>
      </c>
      <c r="D8" s="16" t="n">
        <v>-0.0101</v>
      </c>
      <c r="E8" s="16" t="n">
        <v>-0.0044</v>
      </c>
      <c r="F8" s="16" t="n">
        <v>-0.0099</v>
      </c>
      <c r="G8" s="16" t="n">
        <v>0.0151</v>
      </c>
      <c r="H8" s="16" t="n">
        <v>-0.0058</v>
      </c>
      <c r="I8" s="16" t="n">
        <v>0.0051</v>
      </c>
      <c r="J8" s="16" t="n">
        <v>-0.0056</v>
      </c>
      <c r="K8" s="16" t="n">
        <v>0.0041</v>
      </c>
      <c r="L8" s="16" t="n">
        <v>0.0101</v>
      </c>
    </row>
    <row r="9" customFormat="false" ht="30" hidden="false" customHeight="true" outlineLevel="0" collapsed="false">
      <c r="A9" s="3" t="s">
        <v>148</v>
      </c>
      <c r="B9" s="17" t="n">
        <v>0.0603</v>
      </c>
      <c r="C9" s="17" t="n">
        <v>0.0463</v>
      </c>
      <c r="D9" s="17" t="n">
        <v>0.0572</v>
      </c>
      <c r="E9" s="17" t="n">
        <v>0.0461</v>
      </c>
      <c r="F9" s="17" t="n">
        <v>0.0584</v>
      </c>
      <c r="G9" s="17" t="n">
        <v>0.0503</v>
      </c>
      <c r="H9" s="17" t="n">
        <v>0.0526</v>
      </c>
      <c r="I9" s="17" t="n">
        <v>0.0397</v>
      </c>
      <c r="J9" s="17" t="n">
        <v>0.0648</v>
      </c>
      <c r="K9" s="17" t="n">
        <v>0.0922</v>
      </c>
      <c r="L9" s="17" t="n">
        <v>0.01</v>
      </c>
    </row>
    <row r="10" customFormat="false" ht="30" hidden="false" customHeight="true" outlineLevel="0" collapsed="false">
      <c r="A10" s="2" t="s">
        <v>149</v>
      </c>
      <c r="B10" s="16" t="n">
        <v>-0.0308</v>
      </c>
      <c r="C10" s="16" t="n">
        <v>-0.0304</v>
      </c>
      <c r="D10" s="16" t="n">
        <v>-0.0125</v>
      </c>
      <c r="E10" s="16" t="n">
        <v>0.0155</v>
      </c>
      <c r="F10" s="16" t="n">
        <v>-0.0173</v>
      </c>
      <c r="G10" s="16" t="n">
        <v>-0.0139</v>
      </c>
      <c r="H10" s="16" t="n">
        <v>-0.0068</v>
      </c>
      <c r="I10" s="16" t="n">
        <v>-0.0283</v>
      </c>
      <c r="J10" s="16" t="n">
        <v>-0.0266</v>
      </c>
      <c r="K10" s="16" t="n">
        <v>-0.0207</v>
      </c>
      <c r="L10" s="16" t="n">
        <v>0.0012</v>
      </c>
    </row>
    <row r="11" customFormat="false" ht="30" hidden="false" customHeight="true" outlineLevel="0" collapsed="false">
      <c r="A11" s="3" t="s">
        <v>150</v>
      </c>
      <c r="B11" s="17" t="n">
        <v>0.019</v>
      </c>
      <c r="C11" s="17" t="n">
        <v>0.0161</v>
      </c>
      <c r="D11" s="17" t="n">
        <v>-0.0009</v>
      </c>
      <c r="E11" s="17" t="n">
        <v>0.0179</v>
      </c>
      <c r="F11" s="17" t="n">
        <v>0.0275</v>
      </c>
      <c r="G11" s="17" t="n">
        <v>0.028</v>
      </c>
      <c r="H11" s="17" t="n">
        <v>0.01</v>
      </c>
      <c r="I11" s="17" t="n">
        <v>0.0089</v>
      </c>
      <c r="J11" s="17" t="n">
        <v>0.0815</v>
      </c>
      <c r="K11" s="17" t="n">
        <v>0.0549</v>
      </c>
      <c r="L11" s="17" t="n">
        <v>0.0313</v>
      </c>
    </row>
    <row r="12" customFormat="false" ht="30" hidden="false" customHeight="true" outlineLevel="0" collapsed="false">
      <c r="A12" s="2" t="s">
        <v>151</v>
      </c>
      <c r="B12" s="16" t="n">
        <v>0.002</v>
      </c>
      <c r="C12" s="16" t="n">
        <v>-0.0136</v>
      </c>
      <c r="D12" s="16" t="n">
        <v>-0.0055</v>
      </c>
      <c r="E12" s="16" t="n">
        <v>0.0195</v>
      </c>
      <c r="F12" s="16" t="n">
        <v>-0.0111</v>
      </c>
      <c r="G12" s="16" t="n">
        <v>-0.0102</v>
      </c>
      <c r="H12" s="16" t="n">
        <v>0.0046</v>
      </c>
      <c r="I12" s="16" t="n">
        <v>-0.0417</v>
      </c>
      <c r="J12" s="16" t="n">
        <v>-0.0095</v>
      </c>
      <c r="K12" s="16" t="n">
        <v>-0.0018</v>
      </c>
      <c r="L12" s="16" t="n">
        <v>-0.0077</v>
      </c>
    </row>
    <row r="13" customFormat="false" ht="30" hidden="false" customHeight="true" outlineLevel="0" collapsed="false">
      <c r="A13" s="3" t="s">
        <v>152</v>
      </c>
      <c r="B13" s="17" t="n">
        <v>-0.0249</v>
      </c>
      <c r="C13" s="17" t="n">
        <v>-0.0101</v>
      </c>
      <c r="D13" s="17" t="n">
        <v>0.0199</v>
      </c>
      <c r="E13" s="17" t="n">
        <v>0.0211</v>
      </c>
      <c r="F13" s="17" t="n">
        <v>0.0231</v>
      </c>
      <c r="G13" s="17" t="n">
        <v>0.0178</v>
      </c>
      <c r="H13" s="17" t="n">
        <v>0.0251</v>
      </c>
      <c r="I13" s="17" t="n">
        <v>0.0368</v>
      </c>
      <c r="J13" s="17" t="n">
        <v>0.0281</v>
      </c>
      <c r="K13" s="17" t="n">
        <v>0.0077</v>
      </c>
      <c r="L13" s="17" t="n">
        <v>0.0184</v>
      </c>
    </row>
    <row r="14" customFormat="false" ht="30" hidden="false" customHeight="true" outlineLevel="0" collapsed="false">
      <c r="A14" s="2" t="s">
        <v>153</v>
      </c>
      <c r="B14" s="16" t="n">
        <v>0.0096</v>
      </c>
      <c r="C14" s="16" t="n">
        <v>0.0116</v>
      </c>
      <c r="D14" s="16" t="n">
        <v>0.0019</v>
      </c>
      <c r="E14" s="16" t="n">
        <v>0.016</v>
      </c>
      <c r="F14" s="16" t="n">
        <v>0.0274</v>
      </c>
      <c r="G14" s="16" t="n">
        <v>0.0223</v>
      </c>
      <c r="H14" s="16" t="n">
        <v>0.0409</v>
      </c>
      <c r="I14" s="16" t="n">
        <v>0.0401</v>
      </c>
      <c r="J14" s="16" t="n">
        <v>0.0188</v>
      </c>
      <c r="K14" s="16" t="n">
        <v>0.0191</v>
      </c>
      <c r="L14" s="16" t="n">
        <v>0.0081</v>
      </c>
    </row>
    <row r="15" customFormat="false" ht="30" hidden="false" customHeight="true" outlineLevel="0" collapsed="false">
      <c r="A15" s="3" t="s">
        <v>154</v>
      </c>
      <c r="B15" s="17" t="n">
        <v>0.0176</v>
      </c>
      <c r="C15" s="17" t="n">
        <v>0.0276</v>
      </c>
      <c r="D15" s="17" t="n">
        <v>0.0105</v>
      </c>
      <c r="E15" s="17" t="n">
        <v>0.0147</v>
      </c>
      <c r="F15" s="17" t="n">
        <v>0.0203</v>
      </c>
      <c r="G15" s="17" t="n">
        <v>0.0182</v>
      </c>
      <c r="H15" s="17" t="n">
        <v>0.0214</v>
      </c>
      <c r="I15" s="17" t="n">
        <v>0.013</v>
      </c>
      <c r="J15" s="17" t="n">
        <v>0.0168</v>
      </c>
      <c r="K15" s="17" t="n">
        <v>0.0355</v>
      </c>
      <c r="L15" s="17" t="n">
        <v>0.0033</v>
      </c>
    </row>
    <row r="16" customFormat="false" ht="30" hidden="false" customHeight="true" outlineLevel="0" collapsed="false">
      <c r="A16" s="2" t="s">
        <v>155</v>
      </c>
      <c r="B16" s="16" t="n">
        <v>0.0051</v>
      </c>
      <c r="C16" s="16" t="n">
        <v>0.0194</v>
      </c>
      <c r="D16" s="16" t="n">
        <v>0.0223</v>
      </c>
      <c r="E16" s="16" t="n">
        <v>0.018</v>
      </c>
      <c r="F16" s="16" t="n">
        <v>0.0062</v>
      </c>
      <c r="G16" s="16" t="n">
        <v>0.0156</v>
      </c>
      <c r="H16" s="16" t="n">
        <v>0.0253</v>
      </c>
      <c r="I16" s="16" t="n">
        <v>0.01</v>
      </c>
      <c r="J16" s="16" t="n">
        <v>0.0214</v>
      </c>
      <c r="K16" s="16" t="n">
        <v>0.036</v>
      </c>
      <c r="L16" s="16" t="n">
        <v>0.0073</v>
      </c>
    </row>
    <row r="17" customFormat="false" ht="30" hidden="false" customHeight="true" outlineLevel="0" collapsed="false">
      <c r="A17" s="3" t="s">
        <v>156</v>
      </c>
      <c r="B17" s="17" t="n">
        <v>-0.0065</v>
      </c>
      <c r="C17" s="17" t="n">
        <v>0.0222</v>
      </c>
      <c r="D17" s="17" t="n">
        <v>0.0052</v>
      </c>
      <c r="E17" s="17" t="n">
        <v>-0.001</v>
      </c>
      <c r="F17" s="17" t="n">
        <v>0.0081</v>
      </c>
      <c r="G17" s="17" t="n">
        <v>0.0166</v>
      </c>
      <c r="H17" s="17" t="n">
        <v>0.0018</v>
      </c>
      <c r="I17" s="17" t="n">
        <v>0.0097</v>
      </c>
      <c r="J17" s="17" t="n">
        <v>-0.004</v>
      </c>
      <c r="K17" s="17" t="n">
        <v>-0.0051</v>
      </c>
      <c r="L17" s="17" t="n">
        <v>-0.0064</v>
      </c>
    </row>
    <row r="18" customFormat="false" ht="30" hidden="false" customHeight="true" outlineLevel="0" collapsed="false">
      <c r="A18" s="2" t="s">
        <v>157</v>
      </c>
      <c r="B18" s="16" t="n">
        <v>0.0024</v>
      </c>
      <c r="C18" s="16" t="n">
        <v>-0.0041</v>
      </c>
      <c r="D18" s="16" t="n">
        <v>0.0071</v>
      </c>
      <c r="E18" s="16" t="n">
        <v>0.0045</v>
      </c>
      <c r="F18" s="16" t="n">
        <v>0.0192</v>
      </c>
      <c r="G18" s="16" t="n">
        <v>0.0045</v>
      </c>
      <c r="H18" s="16" t="n">
        <v>0.0111</v>
      </c>
      <c r="I18" s="16" t="n">
        <v>0.0314</v>
      </c>
      <c r="J18" s="16" t="n">
        <v>0.0212</v>
      </c>
      <c r="K18" s="16" t="n">
        <v>0.0395</v>
      </c>
      <c r="L18" s="16" t="n">
        <v>0.0253</v>
      </c>
    </row>
    <row r="19" customFormat="false" ht="30" hidden="false" customHeight="true" outlineLevel="0" collapsed="false">
      <c r="A19" s="3" t="s">
        <v>158</v>
      </c>
      <c r="B19" s="17" t="n">
        <v>0.0102</v>
      </c>
      <c r="C19" s="17" t="n">
        <v>0.017</v>
      </c>
      <c r="D19" s="17" t="n">
        <v>0.0108</v>
      </c>
      <c r="E19" s="17" t="n">
        <v>0.0143</v>
      </c>
      <c r="F19" s="17" t="n">
        <v>0.0192</v>
      </c>
      <c r="G19" s="17" t="n">
        <v>0.026</v>
      </c>
      <c r="H19" s="17" t="n">
        <v>0.0014</v>
      </c>
      <c r="I19" s="17" t="n">
        <v>0.0252</v>
      </c>
      <c r="J19" s="17" t="n">
        <v>0.0017</v>
      </c>
      <c r="K19" s="17" t="n">
        <v>0.0089</v>
      </c>
      <c r="L19" s="17" t="n">
        <v>0.0047</v>
      </c>
    </row>
    <row r="20" customFormat="false" ht="30" hidden="false" customHeight="true" outlineLevel="0" collapsed="false">
      <c r="A20" s="2" t="s">
        <v>159</v>
      </c>
      <c r="B20" s="16" t="n">
        <v>0.0189</v>
      </c>
      <c r="C20" s="16" t="n">
        <v>0.02</v>
      </c>
      <c r="D20" s="16" t="n">
        <v>0.0337</v>
      </c>
      <c r="E20" s="16" t="n">
        <v>0.0303</v>
      </c>
      <c r="F20" s="16" t="n">
        <v>0.0347</v>
      </c>
      <c r="G20" s="16" t="n">
        <v>0.0262</v>
      </c>
      <c r="H20" s="16" t="n">
        <v>0.0011</v>
      </c>
      <c r="I20" s="16" t="n">
        <v>0.0306</v>
      </c>
      <c r="J20" s="16" t="n">
        <v>0.0205</v>
      </c>
      <c r="K20" s="16" t="n">
        <v>0.0073</v>
      </c>
      <c r="L20" s="16" t="n">
        <v>-0.0037</v>
      </c>
    </row>
    <row r="21" customFormat="false" ht="30" hidden="false" customHeight="true" outlineLevel="0" collapsed="false">
      <c r="A21" s="3" t="s">
        <v>160</v>
      </c>
      <c r="B21" s="17" t="n">
        <v>-0.0131</v>
      </c>
      <c r="C21" s="17" t="n">
        <v>0.0048</v>
      </c>
      <c r="D21" s="17" t="n">
        <v>-0.0114</v>
      </c>
      <c r="E21" s="17" t="n">
        <v>-0.0006</v>
      </c>
      <c r="F21" s="17" t="n">
        <v>-0.0134</v>
      </c>
      <c r="G21" s="17" t="n">
        <v>-0.0193</v>
      </c>
      <c r="H21" s="17" t="n">
        <v>-0.0154</v>
      </c>
      <c r="I21" s="17" t="n">
        <v>-0.0106</v>
      </c>
      <c r="J21" s="17" t="n">
        <v>-0.0175</v>
      </c>
      <c r="K21" s="17" t="n">
        <v>-0.0088</v>
      </c>
      <c r="L21" s="17" t="n">
        <v>-0.0024</v>
      </c>
    </row>
    <row r="22" customFormat="false" ht="30" hidden="false" customHeight="true" outlineLevel="0" collapsed="false">
      <c r="A22" s="2" t="s">
        <v>161</v>
      </c>
      <c r="B22" s="16" t="n">
        <v>0.0579</v>
      </c>
      <c r="C22" s="16" t="n">
        <v>0.03</v>
      </c>
      <c r="D22" s="16" t="n">
        <v>0.0382</v>
      </c>
      <c r="E22" s="16" t="n">
        <v>0.0298</v>
      </c>
      <c r="F22" s="16" t="n">
        <v>0.0262</v>
      </c>
      <c r="G22" s="16" t="n">
        <v>0.0231</v>
      </c>
      <c r="H22" s="16" t="n">
        <v>0.0181</v>
      </c>
      <c r="I22" s="16" t="n">
        <v>0.0371</v>
      </c>
      <c r="J22" s="16" t="n">
        <v>0.0224</v>
      </c>
      <c r="K22" s="16" t="n">
        <v>0.0639</v>
      </c>
      <c r="L22" s="16" t="n">
        <v>-0.0039</v>
      </c>
    </row>
    <row r="23" customFormat="false" ht="30" hidden="false" customHeight="true" outlineLevel="0" collapsed="false">
      <c r="A23" s="3" t="s">
        <v>162</v>
      </c>
      <c r="B23" s="17" t="n">
        <v>0.0154</v>
      </c>
      <c r="C23" s="17" t="n">
        <v>0.018</v>
      </c>
      <c r="D23" s="17" t="n">
        <v>0.013</v>
      </c>
      <c r="E23" s="17" t="n">
        <v>0.0062</v>
      </c>
      <c r="F23" s="17" t="n">
        <v>0.0066</v>
      </c>
      <c r="G23" s="17" t="n">
        <v>-0.0048</v>
      </c>
      <c r="H23" s="17" t="n">
        <v>0.0191</v>
      </c>
      <c r="I23" s="17" t="n">
        <v>0.0071</v>
      </c>
      <c r="J23" s="17" t="n">
        <v>0.0109</v>
      </c>
      <c r="K23" s="17" t="n">
        <v>0.0004</v>
      </c>
      <c r="L23" s="17" t="n">
        <v>0.0019</v>
      </c>
    </row>
    <row r="24" customFormat="false" ht="30" hidden="false" customHeight="true" outlineLevel="0" collapsed="false">
      <c r="A24" s="2" t="s">
        <v>163</v>
      </c>
      <c r="B24" s="16" t="n">
        <v>-0.0306</v>
      </c>
      <c r="C24" s="16" t="n">
        <v>0.0034</v>
      </c>
      <c r="D24" s="16" t="n">
        <v>0.0075</v>
      </c>
      <c r="E24" s="16" t="n">
        <v>-0.0022</v>
      </c>
      <c r="F24" s="16" t="n">
        <v>-0.0031</v>
      </c>
      <c r="G24" s="16" t="n">
        <v>0.0018</v>
      </c>
      <c r="H24" s="16" t="n">
        <v>-0.001</v>
      </c>
      <c r="I24" s="16" t="n">
        <v>0.0186</v>
      </c>
      <c r="J24" s="16" t="n">
        <v>-0.0022</v>
      </c>
      <c r="K24" s="16" t="n">
        <v>0.0001</v>
      </c>
      <c r="L24" s="16" t="n">
        <v>0.011</v>
      </c>
    </row>
    <row r="25" customFormat="false" ht="30" hidden="false" customHeight="true" outlineLevel="0" collapsed="false">
      <c r="A25" s="3" t="s">
        <v>164</v>
      </c>
      <c r="B25" s="17" t="n">
        <v>-0.0022</v>
      </c>
      <c r="C25" s="17" t="n">
        <v>-0.0019</v>
      </c>
      <c r="D25" s="17" t="n">
        <v>0.0234</v>
      </c>
      <c r="E25" s="17" t="n">
        <v>-0.0001</v>
      </c>
      <c r="F25" s="17" t="n">
        <v>-0.0071</v>
      </c>
      <c r="G25" s="17" t="n">
        <v>0.0107</v>
      </c>
      <c r="H25" s="17" t="n">
        <v>-0.0004</v>
      </c>
      <c r="I25" s="17" t="n">
        <v>0.0069</v>
      </c>
      <c r="J25" s="17" t="n">
        <v>-0.0117</v>
      </c>
      <c r="K25" s="17" t="n">
        <v>-0.0079</v>
      </c>
      <c r="L25" s="17" t="n">
        <v>-0.007</v>
      </c>
    </row>
    <row r="26" customFormat="false" ht="30" hidden="false" customHeight="true" outlineLevel="0" collapsed="false">
      <c r="A26" s="2" t="s">
        <v>165</v>
      </c>
      <c r="B26" s="16" t="n">
        <v>0.078</v>
      </c>
      <c r="C26" s="16" t="n">
        <v>0.0175</v>
      </c>
      <c r="D26" s="16" t="n">
        <v>0.0591</v>
      </c>
      <c r="E26" s="16" t="n">
        <v>0.0463</v>
      </c>
      <c r="F26" s="16" t="n">
        <v>0.0483</v>
      </c>
      <c r="G26" s="16" t="n">
        <v>0.0519</v>
      </c>
      <c r="H26" s="16" t="n">
        <v>0.0295</v>
      </c>
      <c r="I26" s="16" t="n">
        <v>0.0282</v>
      </c>
      <c r="J26" s="16" t="n">
        <v>0.0202</v>
      </c>
      <c r="K26" s="16" t="n">
        <v>0.0452</v>
      </c>
      <c r="L26" s="16" t="n">
        <v>-0.0139</v>
      </c>
    </row>
    <row r="27" customFormat="false" ht="30" hidden="false" customHeight="true" outlineLevel="0" collapsed="false">
      <c r="A27" s="3" t="s">
        <v>166</v>
      </c>
      <c r="B27" s="17" t="n">
        <v>0.0249</v>
      </c>
      <c r="C27" s="17" t="n">
        <v>0.0168</v>
      </c>
      <c r="D27" s="17" t="n">
        <v>0.0133</v>
      </c>
      <c r="E27" s="17" t="n">
        <v>0.0119</v>
      </c>
      <c r="F27" s="17" t="n">
        <v>0.0025</v>
      </c>
      <c r="G27" s="17" t="n">
        <v>-0.0088</v>
      </c>
      <c r="H27" s="17" t="n">
        <v>-0.0034</v>
      </c>
      <c r="I27" s="17" t="n">
        <v>0.0093</v>
      </c>
      <c r="J27" s="17" t="n">
        <v>-0.0006</v>
      </c>
      <c r="K27" s="17" t="n">
        <v>0.0281</v>
      </c>
      <c r="L27" s="17" t="n">
        <v>0.0024</v>
      </c>
    </row>
    <row r="28" customFormat="false" ht="30" hidden="false" customHeight="true" outlineLevel="0" collapsed="false">
      <c r="A28" s="2" t="s">
        <v>167</v>
      </c>
      <c r="B28" s="16" t="n">
        <v>-0.0111</v>
      </c>
      <c r="C28" s="16" t="n">
        <v>-0.011</v>
      </c>
      <c r="D28" s="16" t="n">
        <v>-0.0007</v>
      </c>
      <c r="E28" s="16" t="n">
        <v>-0.0139</v>
      </c>
      <c r="F28" s="16" t="n">
        <v>-0.0085</v>
      </c>
      <c r="G28" s="16" t="n">
        <v>-0.0136</v>
      </c>
      <c r="H28" s="16" t="n">
        <v>-0.0205</v>
      </c>
      <c r="I28" s="16" t="n">
        <v>-0.0051</v>
      </c>
      <c r="J28" s="16" t="n">
        <v>-0.0055</v>
      </c>
      <c r="K28" s="16" t="n">
        <v>0.0028</v>
      </c>
      <c r="L28" s="16" t="n">
        <v>0.0017</v>
      </c>
    </row>
    <row r="29" customFormat="false" ht="30" hidden="false" customHeight="true" outlineLevel="0" collapsed="false">
      <c r="A29" s="3" t="s">
        <v>168</v>
      </c>
      <c r="B29" s="17" t="n">
        <v>0.0271</v>
      </c>
      <c r="C29" s="17" t="n">
        <v>0.0264</v>
      </c>
      <c r="D29" s="17" t="n">
        <v>0.0215</v>
      </c>
      <c r="E29" s="17" t="n">
        <v>0.0323</v>
      </c>
      <c r="F29" s="17" t="n">
        <v>0.0223</v>
      </c>
      <c r="G29" s="17" t="n">
        <v>0.0174</v>
      </c>
      <c r="H29" s="17" t="n">
        <v>0.0302</v>
      </c>
      <c r="I29" s="17" t="n">
        <v>0.0573</v>
      </c>
      <c r="J29" s="17" t="n">
        <v>0.0594</v>
      </c>
      <c r="K29" s="17" t="n">
        <v>0.0507</v>
      </c>
      <c r="L29" s="17" t="n">
        <v>0.0253</v>
      </c>
    </row>
    <row r="30" customFormat="false" ht="30" hidden="false" customHeight="true" outlineLevel="0" collapsed="false">
      <c r="A30" s="2" t="s">
        <v>169</v>
      </c>
      <c r="B30" s="16" t="n">
        <v>-0.0123</v>
      </c>
      <c r="C30" s="16" t="n">
        <v>0.0053</v>
      </c>
      <c r="D30" s="16" t="n">
        <v>-0.012</v>
      </c>
      <c r="E30" s="16" t="n">
        <v>0.002</v>
      </c>
      <c r="F30" s="16" t="n">
        <v>0.0058</v>
      </c>
      <c r="G30" s="16" t="n">
        <v>-0.0072</v>
      </c>
      <c r="H30" s="16" t="n">
        <v>-0.0227</v>
      </c>
      <c r="I30" s="16" t="n">
        <v>0.0101</v>
      </c>
      <c r="J30" s="16" t="n">
        <v>-0.0081</v>
      </c>
      <c r="K30" s="16" t="n">
        <v>-0.0062</v>
      </c>
      <c r="L30" s="16" t="n">
        <v>0.0056</v>
      </c>
    </row>
    <row r="31" customFormat="false" ht="30" hidden="false" customHeight="true" outlineLevel="0" collapsed="false">
      <c r="A31" s="3" t="s">
        <v>170</v>
      </c>
      <c r="B31" s="17" t="n">
        <v>-0.0346</v>
      </c>
      <c r="C31" s="17" t="n">
        <v>-0.0415</v>
      </c>
      <c r="D31" s="17" t="n">
        <v>-0.0332</v>
      </c>
      <c r="E31" s="17" t="n">
        <v>-0.0446</v>
      </c>
      <c r="F31" s="17" t="n">
        <v>-0.0547</v>
      </c>
      <c r="G31" s="17" t="n">
        <v>-0.046</v>
      </c>
      <c r="H31" s="17" t="n">
        <v>-0.0624</v>
      </c>
      <c r="I31" s="17" t="n">
        <v>-0.0748</v>
      </c>
      <c r="J31" s="17" t="n">
        <v>-0.0796</v>
      </c>
      <c r="K31" s="17" t="n">
        <v>-0.094</v>
      </c>
      <c r="L31" s="17" t="n">
        <v>-0.0318</v>
      </c>
    </row>
    <row r="32" customFormat="false" ht="30" hidden="false" customHeight="true" outlineLevel="0" collapsed="false">
      <c r="A32" s="2" t="s">
        <v>171</v>
      </c>
      <c r="B32" s="16" t="n">
        <v>0.0095</v>
      </c>
      <c r="C32" s="16" t="n">
        <v>0.001</v>
      </c>
      <c r="D32" s="16" t="n">
        <v>0.0033</v>
      </c>
      <c r="E32" s="16" t="n">
        <v>0.0264</v>
      </c>
      <c r="F32" s="16" t="n">
        <v>0.0132</v>
      </c>
      <c r="G32" s="16" t="n">
        <v>0.0024</v>
      </c>
      <c r="H32" s="16" t="n">
        <v>0.0292</v>
      </c>
      <c r="I32" s="16" t="n">
        <v>0.031</v>
      </c>
      <c r="J32" s="16" t="n">
        <v>0.0622</v>
      </c>
      <c r="K32" s="16" t="n">
        <v>0.0746</v>
      </c>
      <c r="L32" s="16" t="n">
        <v>0.0409</v>
      </c>
    </row>
    <row r="33" customFormat="false" ht="30" hidden="false" customHeight="true" outlineLevel="0" collapsed="false">
      <c r="A33" s="3" t="s">
        <v>172</v>
      </c>
      <c r="B33" s="17" t="n">
        <v>0.0465</v>
      </c>
      <c r="C33" s="17" t="n">
        <v>0.0096</v>
      </c>
      <c r="D33" s="17" t="n">
        <v>0.0278</v>
      </c>
      <c r="E33" s="17" t="n">
        <v>0.0265</v>
      </c>
      <c r="F33" s="17" t="n">
        <v>0.0241</v>
      </c>
      <c r="G33" s="17" t="n">
        <v>0.0197</v>
      </c>
      <c r="H33" s="17" t="n">
        <v>0.02</v>
      </c>
      <c r="I33" s="17" t="n">
        <v>0.0331</v>
      </c>
      <c r="J33" s="17" t="n">
        <v>0.0676</v>
      </c>
      <c r="K33" s="17" t="n">
        <v>0.0766</v>
      </c>
      <c r="L33" s="17" t="n">
        <v>0.0257</v>
      </c>
    </row>
    <row r="34" customFormat="false" ht="30" hidden="false" customHeight="true" outlineLevel="0" collapsed="false">
      <c r="A34" s="2" t="s">
        <v>173</v>
      </c>
      <c r="B34" s="16" t="n">
        <v>0.0191</v>
      </c>
      <c r="C34" s="16" t="n">
        <v>0.0266</v>
      </c>
      <c r="D34" s="16" t="n">
        <v>0.0167</v>
      </c>
      <c r="E34" s="16" t="n">
        <v>0.0143</v>
      </c>
      <c r="F34" s="16" t="n">
        <v>0.0508</v>
      </c>
      <c r="G34" s="16" t="n">
        <v>0.0118</v>
      </c>
      <c r="H34" s="16" t="n">
        <v>0.0317</v>
      </c>
      <c r="I34" s="16" t="n">
        <v>0.0582</v>
      </c>
      <c r="J34" s="16" t="n">
        <v>0.053</v>
      </c>
      <c r="K34" s="16" t="n">
        <v>0.0533</v>
      </c>
      <c r="L34" s="16" t="n">
        <v>0.0328</v>
      </c>
    </row>
    <row r="35" customFormat="false" ht="30" hidden="false" customHeight="true" outlineLevel="0" collapsed="false">
      <c r="A35" s="3" t="s">
        <v>174</v>
      </c>
      <c r="B35" s="17" t="n">
        <v>0.0392</v>
      </c>
      <c r="C35" s="17" t="n">
        <v>0.0252</v>
      </c>
      <c r="D35" s="17" t="n">
        <v>0.0026</v>
      </c>
      <c r="E35" s="17" t="n">
        <v>0.043</v>
      </c>
      <c r="F35" s="17" t="n">
        <v>0.012</v>
      </c>
      <c r="G35" s="17" t="n">
        <v>0.0159</v>
      </c>
      <c r="H35" s="17" t="n">
        <v>0.0279</v>
      </c>
      <c r="I35" s="17" t="n">
        <v>0.0516</v>
      </c>
      <c r="J35" s="17" t="n">
        <v>0.0414</v>
      </c>
      <c r="K35" s="17" t="n">
        <v>0.0786</v>
      </c>
      <c r="L35" s="17" t="n">
        <v>0.0344</v>
      </c>
    </row>
    <row r="36" customFormat="false" ht="30" hidden="false" customHeight="true" outlineLevel="0" collapsed="false">
      <c r="A36" s="2" t="s">
        <v>175</v>
      </c>
      <c r="B36" s="16" t="n">
        <v>-0.0141</v>
      </c>
      <c r="C36" s="16" t="n">
        <v>0.008</v>
      </c>
      <c r="D36" s="16" t="n">
        <v>-0.0082</v>
      </c>
      <c r="E36" s="16" t="n">
        <v>-0.0211</v>
      </c>
      <c r="F36" s="16" t="n">
        <v>-0.0247</v>
      </c>
      <c r="G36" s="16" t="n">
        <v>0.004</v>
      </c>
      <c r="H36" s="16" t="n">
        <v>0.0267</v>
      </c>
      <c r="I36" s="16" t="n">
        <v>0.0126</v>
      </c>
      <c r="J36" s="16" t="n">
        <v>0.0152</v>
      </c>
      <c r="K36" s="16" t="n">
        <v>0.085</v>
      </c>
      <c r="L36" s="16" t="n">
        <v>0.0441</v>
      </c>
    </row>
    <row r="37" customFormat="false" ht="30" hidden="false" customHeight="true" outlineLevel="0" collapsed="false">
      <c r="A37" s="3" t="s">
        <v>176</v>
      </c>
      <c r="B37" s="17" t="n">
        <v>0.0335</v>
      </c>
      <c r="C37" s="17" t="n">
        <v>0.0136</v>
      </c>
      <c r="D37" s="17" t="n">
        <v>0.0072</v>
      </c>
      <c r="E37" s="17" t="n">
        <v>0.0089</v>
      </c>
      <c r="F37" s="17" t="n">
        <v>0.0034</v>
      </c>
      <c r="G37" s="17" t="n">
        <v>0.0148</v>
      </c>
      <c r="H37" s="17" t="n">
        <v>0.0111</v>
      </c>
      <c r="I37" s="17" t="n">
        <v>0.0081</v>
      </c>
      <c r="J37" s="17" t="n">
        <v>0.0136</v>
      </c>
      <c r="K37" s="17" t="n">
        <v>0.0405</v>
      </c>
      <c r="L37" s="17" t="n">
        <v>-0.001</v>
      </c>
    </row>
    <row r="38" customFormat="false" ht="30" hidden="false" customHeight="true" outlineLevel="0" collapsed="false">
      <c r="A38" s="2" t="s">
        <v>177</v>
      </c>
      <c r="B38" s="16" t="n">
        <v>-0.002</v>
      </c>
      <c r="C38" s="16" t="n">
        <v>-0.0066</v>
      </c>
      <c r="D38" s="16" t="n">
        <v>-0.0233</v>
      </c>
      <c r="E38" s="16" t="n">
        <v>0.0012</v>
      </c>
      <c r="F38" s="16" t="n">
        <v>0.0125</v>
      </c>
      <c r="G38" s="16" t="n">
        <v>0.0068</v>
      </c>
      <c r="H38" s="16" t="n">
        <v>0.0184</v>
      </c>
      <c r="I38" s="16" t="n">
        <v>0.0439</v>
      </c>
      <c r="J38" s="16" t="n">
        <v>0.0451</v>
      </c>
      <c r="K38" s="16" t="n">
        <v>0.09</v>
      </c>
      <c r="L38" s="16" t="n">
        <v>0.0525</v>
      </c>
    </row>
    <row r="39" customFormat="false" ht="30" hidden="false" customHeight="true" outlineLevel="0" collapsed="false">
      <c r="A39" s="3" t="s">
        <v>178</v>
      </c>
      <c r="B39" s="17" t="n">
        <v>-0.0259</v>
      </c>
      <c r="C39" s="17" t="n">
        <v>-0.0237</v>
      </c>
      <c r="D39" s="17" t="n">
        <v>-0.021</v>
      </c>
      <c r="E39" s="17" t="n">
        <v>-0.0203</v>
      </c>
      <c r="F39" s="17" t="n">
        <v>-0.0074</v>
      </c>
      <c r="G39" s="17" t="n">
        <v>-0.0216</v>
      </c>
      <c r="H39" s="17" t="n">
        <v>-0.005</v>
      </c>
      <c r="I39" s="17" t="n">
        <v>-0.0037</v>
      </c>
      <c r="J39" s="17" t="n">
        <v>0.0158</v>
      </c>
      <c r="K39" s="17" t="n">
        <v>0.0827</v>
      </c>
      <c r="L39" s="17" t="n">
        <v>0.0459</v>
      </c>
    </row>
    <row r="40" customFormat="false" ht="30" hidden="false" customHeight="true" outlineLevel="0" collapsed="false">
      <c r="A40" s="2" t="s">
        <v>179</v>
      </c>
      <c r="B40" s="16" t="n">
        <v>-0.0382</v>
      </c>
      <c r="C40" s="16" t="n">
        <v>-0.0186</v>
      </c>
      <c r="D40" s="16" t="n">
        <v>-0.0264</v>
      </c>
      <c r="E40" s="16" t="n">
        <v>-0.0418</v>
      </c>
      <c r="F40" s="16" t="n">
        <v>-0.0089</v>
      </c>
      <c r="G40" s="16" t="n">
        <v>-0.0138</v>
      </c>
      <c r="H40" s="16" t="n">
        <v>-0.0184</v>
      </c>
      <c r="I40" s="16" t="n">
        <v>-0.0098</v>
      </c>
      <c r="J40" s="16" t="n">
        <v>-0.0117</v>
      </c>
      <c r="K40" s="16" t="n">
        <v>0.0112</v>
      </c>
      <c r="L40" s="16" t="n">
        <v>0.0146</v>
      </c>
    </row>
    <row r="41" customFormat="false" ht="30" hidden="false" customHeight="true" outlineLevel="0" collapsed="false">
      <c r="A41" s="3" t="s">
        <v>180</v>
      </c>
      <c r="B41" s="17" t="n">
        <v>0.0189</v>
      </c>
      <c r="C41" s="17" t="n">
        <v>0.0026</v>
      </c>
      <c r="D41" s="17" t="n">
        <v>0.0174</v>
      </c>
      <c r="E41" s="17" t="n">
        <v>-0.002</v>
      </c>
      <c r="F41" s="17" t="n">
        <v>0.0329</v>
      </c>
      <c r="G41" s="17" t="n">
        <v>0.0435</v>
      </c>
      <c r="H41" s="17" t="n">
        <v>0.0405</v>
      </c>
      <c r="I41" s="17" t="n">
        <v>0.0447</v>
      </c>
      <c r="J41" s="17" t="n">
        <v>0.0608</v>
      </c>
      <c r="K41" s="17" t="n">
        <v>0.0508</v>
      </c>
      <c r="L41" s="17" t="n">
        <v>0.0593</v>
      </c>
    </row>
    <row r="42" customFormat="false" ht="30" hidden="false" customHeight="true" outlineLevel="0" collapsed="false">
      <c r="A42" s="2" t="s">
        <v>181</v>
      </c>
      <c r="B42" s="16" t="n">
        <v>-0.0336</v>
      </c>
      <c r="C42" s="16" t="n">
        <v>-0.04</v>
      </c>
      <c r="D42" s="16" t="n">
        <v>-0.0478</v>
      </c>
      <c r="E42" s="16" t="n">
        <v>-0.0408</v>
      </c>
      <c r="F42" s="16" t="n">
        <v>-0.045</v>
      </c>
      <c r="G42" s="16" t="n">
        <v>-0.0444</v>
      </c>
      <c r="H42" s="16" t="n">
        <v>-0.0803</v>
      </c>
      <c r="I42" s="16" t="n">
        <v>-0.0608</v>
      </c>
      <c r="J42" s="16" t="n">
        <v>-0.073</v>
      </c>
      <c r="K42" s="16" t="n">
        <v>-0.1098</v>
      </c>
      <c r="L42" s="16" t="n">
        <v>-0.0473</v>
      </c>
    </row>
    <row r="43" customFormat="false" ht="30" hidden="false" customHeight="true" outlineLevel="0" collapsed="false">
      <c r="A43" s="3" t="s">
        <v>182</v>
      </c>
      <c r="B43" s="17" t="n">
        <v>-0.0152</v>
      </c>
      <c r="C43" s="17" t="n">
        <v>-0.0192</v>
      </c>
      <c r="D43" s="17" t="n">
        <v>-0.0224</v>
      </c>
      <c r="E43" s="17" t="n">
        <v>-0.0253</v>
      </c>
      <c r="F43" s="17" t="n">
        <v>-0.0149</v>
      </c>
      <c r="G43" s="17" t="n">
        <v>-0.0198</v>
      </c>
      <c r="H43" s="17" t="n">
        <v>-0.0048</v>
      </c>
      <c r="I43" s="17" t="n">
        <v>0.0146</v>
      </c>
      <c r="J43" s="17" t="n">
        <v>0.0056</v>
      </c>
      <c r="K43" s="17" t="n">
        <v>0.0361</v>
      </c>
      <c r="L43" s="17" t="n">
        <v>0.0324</v>
      </c>
    </row>
    <row r="44" customFormat="false" ht="30" hidden="false" customHeight="true" outlineLevel="0" collapsed="false">
      <c r="A44" s="2" t="s">
        <v>183</v>
      </c>
      <c r="B44" s="16" t="n">
        <v>-0.0177</v>
      </c>
      <c r="C44" s="16" t="n">
        <v>0.0046</v>
      </c>
      <c r="D44" s="16" t="n">
        <v>-0.0056</v>
      </c>
      <c r="E44" s="16" t="n">
        <v>-0.0092</v>
      </c>
      <c r="F44" s="16" t="n">
        <v>-0.0267</v>
      </c>
      <c r="G44" s="16" t="n">
        <v>-0.0312</v>
      </c>
      <c r="H44" s="16" t="n">
        <v>0</v>
      </c>
      <c r="I44" s="16" t="n">
        <v>-0.0304</v>
      </c>
      <c r="J44" s="16" t="n">
        <v>-0.0039</v>
      </c>
      <c r="K44" s="16" t="n">
        <v>-0.0216</v>
      </c>
      <c r="L44" s="16" t="n">
        <v>-0.013</v>
      </c>
    </row>
    <row r="45" customFormat="false" ht="30" hidden="false" customHeight="true" outlineLevel="0" collapsed="false">
      <c r="A45" s="3" t="s">
        <v>184</v>
      </c>
      <c r="B45" s="17" t="n">
        <v>-0.0507</v>
      </c>
      <c r="C45" s="17" t="n">
        <v>-0.0705</v>
      </c>
      <c r="D45" s="17" t="n">
        <v>-0.0779</v>
      </c>
      <c r="E45" s="17" t="n">
        <v>-0.0658</v>
      </c>
      <c r="F45" s="17" t="n">
        <v>-0.0853</v>
      </c>
      <c r="G45" s="17" t="n">
        <v>-0.0755</v>
      </c>
      <c r="H45" s="17" t="n">
        <v>-0.074</v>
      </c>
      <c r="I45" s="17" t="n">
        <v>-0.0904</v>
      </c>
      <c r="J45" s="17" t="n">
        <v>-0.0963</v>
      </c>
      <c r="K45" s="17" t="n">
        <v>-0.0918</v>
      </c>
      <c r="L45" s="17" t="n">
        <v>-0.0221</v>
      </c>
    </row>
    <row r="46" customFormat="false" ht="30" hidden="false" customHeight="true" outlineLevel="0" collapsed="false">
      <c r="A46" s="2" t="s">
        <v>185</v>
      </c>
      <c r="B46" s="16" t="n">
        <v>-0.0387</v>
      </c>
      <c r="C46" s="16" t="n">
        <v>-0.0011</v>
      </c>
      <c r="D46" s="16" t="n">
        <v>0.0266</v>
      </c>
      <c r="E46" s="16" t="n">
        <v>0.0047</v>
      </c>
      <c r="F46" s="16" t="n">
        <v>-0.0083</v>
      </c>
      <c r="G46" s="16" t="n">
        <v>0.0243</v>
      </c>
      <c r="H46" s="16" t="n">
        <v>-0.0161</v>
      </c>
      <c r="I46" s="16" t="n">
        <v>-0.0136</v>
      </c>
      <c r="J46" s="16" t="n">
        <v>-0.023</v>
      </c>
      <c r="K46" s="16" t="n">
        <v>-0.0487</v>
      </c>
      <c r="L46" s="16" t="n">
        <v>-0.0187</v>
      </c>
    </row>
    <row r="47" customFormat="false" ht="30" hidden="false" customHeight="true" outlineLevel="0" collapsed="false">
      <c r="A47" s="3" t="s">
        <v>186</v>
      </c>
      <c r="B47" s="17" t="n">
        <v>0.0233</v>
      </c>
      <c r="C47" s="17" t="n">
        <v>0.081</v>
      </c>
      <c r="D47" s="17" t="n">
        <v>0.0704</v>
      </c>
      <c r="E47" s="17" t="n">
        <v>0.0711</v>
      </c>
      <c r="F47" s="17" t="n">
        <v>0.0628</v>
      </c>
      <c r="G47" s="17" t="n">
        <v>0.0488</v>
      </c>
      <c r="H47" s="17" t="n">
        <v>0.0529</v>
      </c>
      <c r="I47" s="17" t="n">
        <v>0.0051</v>
      </c>
      <c r="J47" s="17" t="n">
        <v>0.0092</v>
      </c>
      <c r="K47" s="17" t="n">
        <v>-0.0576</v>
      </c>
      <c r="L47" s="17" t="n">
        <v>-0.052</v>
      </c>
    </row>
    <row r="48" customFormat="false" ht="30" hidden="false" customHeight="true" outlineLevel="0" collapsed="false">
      <c r="A48" s="2" t="s">
        <v>187</v>
      </c>
      <c r="B48" s="16" t="n">
        <v>-0.0093</v>
      </c>
      <c r="C48" s="16" t="n">
        <v>-0.0193</v>
      </c>
      <c r="D48" s="16" t="n">
        <v>-0.0102</v>
      </c>
      <c r="E48" s="16" t="n">
        <v>-0.0258</v>
      </c>
      <c r="F48" s="16" t="n">
        <v>0.0171</v>
      </c>
      <c r="G48" s="16" t="n">
        <v>0.0734</v>
      </c>
      <c r="H48" s="16" t="n">
        <v>0.0191</v>
      </c>
      <c r="I48" s="16" t="n">
        <v>0.0325</v>
      </c>
      <c r="J48" s="16" t="n">
        <v>0.073</v>
      </c>
      <c r="K48" s="16" t="n">
        <v>0.121</v>
      </c>
      <c r="L48" s="16" t="n">
        <v>0.0576</v>
      </c>
    </row>
    <row r="49" customFormat="false" ht="30" hidden="false" customHeight="true" outlineLevel="0" collapsed="false">
      <c r="A49" s="3" t="s">
        <v>188</v>
      </c>
      <c r="B49" s="17" t="n">
        <v>0.0249</v>
      </c>
      <c r="C49" s="17" t="n">
        <v>-0.0025</v>
      </c>
      <c r="D49" s="17" t="n">
        <v>-0.0006</v>
      </c>
      <c r="E49" s="17" t="n">
        <v>0.0059</v>
      </c>
      <c r="F49" s="17" t="n">
        <v>-0.0129</v>
      </c>
      <c r="G49" s="17" t="n">
        <v>0.0052</v>
      </c>
      <c r="H49" s="17" t="n">
        <v>0.016</v>
      </c>
      <c r="I49" s="17" t="n">
        <v>0.0028</v>
      </c>
      <c r="J49" s="17" t="n">
        <v>0.0023</v>
      </c>
      <c r="K49" s="17" t="n">
        <v>0.0138</v>
      </c>
      <c r="L49" s="17" t="n">
        <v>0.0099</v>
      </c>
    </row>
    <row r="50" customFormat="false" ht="30" hidden="false" customHeight="true" outlineLevel="0" collapsed="false">
      <c r="A50" s="2" t="s">
        <v>189</v>
      </c>
      <c r="B50" s="16" t="n">
        <v>0.1446</v>
      </c>
      <c r="C50" s="16" t="n">
        <v>0.1522</v>
      </c>
      <c r="D50" s="16" t="n">
        <v>0.1398</v>
      </c>
      <c r="E50" s="16" t="n">
        <v>0.0596</v>
      </c>
      <c r="F50" s="16" t="n">
        <v>0.0895</v>
      </c>
      <c r="G50" s="16" t="n">
        <v>0.0603</v>
      </c>
      <c r="H50" s="16" t="n">
        <v>0.0615</v>
      </c>
      <c r="I50" s="16" t="n">
        <v>0.0721</v>
      </c>
      <c r="J50" s="16" t="n">
        <v>0.0682</v>
      </c>
      <c r="K50" s="16" t="n">
        <v>0.0852</v>
      </c>
      <c r="L50" s="16" t="n">
        <v>-0.0694</v>
      </c>
    </row>
    <row r="51" customFormat="false" ht="30" hidden="false" customHeight="true" outlineLevel="0" collapsed="false">
      <c r="A51" s="3" t="s">
        <v>190</v>
      </c>
      <c r="B51" s="17" t="n">
        <v>0.0031</v>
      </c>
      <c r="C51" s="17" t="n">
        <v>-0.0191</v>
      </c>
      <c r="D51" s="17" t="n">
        <v>-0.0101</v>
      </c>
      <c r="E51" s="17" t="n">
        <v>-0.001</v>
      </c>
      <c r="F51" s="17" t="n">
        <v>0.0044</v>
      </c>
      <c r="G51" s="17" t="n">
        <v>0.0135</v>
      </c>
      <c r="H51" s="17" t="n">
        <v>0.0115</v>
      </c>
      <c r="I51" s="17" t="n">
        <v>-0.0008</v>
      </c>
      <c r="J51" s="17" t="n">
        <v>0.0205</v>
      </c>
      <c r="K51" s="17" t="n">
        <v>0.0529</v>
      </c>
      <c r="L51" s="17" t="n">
        <v>0.0351</v>
      </c>
    </row>
    <row r="52" customFormat="false" ht="30" hidden="false" customHeight="true" outlineLevel="0" collapsed="false">
      <c r="A52" s="2" t="s">
        <v>191</v>
      </c>
      <c r="B52" s="16" t="n">
        <v>0.0248</v>
      </c>
      <c r="C52" s="16" t="n">
        <v>0.039</v>
      </c>
      <c r="D52" s="16" t="n">
        <v>0.0474</v>
      </c>
      <c r="E52" s="16" t="n">
        <v>0.0458</v>
      </c>
      <c r="F52" s="16" t="n">
        <v>0.0496</v>
      </c>
      <c r="G52" s="16" t="n">
        <v>0.0403</v>
      </c>
      <c r="H52" s="16" t="n">
        <v>0.0537</v>
      </c>
      <c r="I52" s="16" t="n">
        <v>0.0362</v>
      </c>
      <c r="J52" s="16" t="n">
        <v>0.0404</v>
      </c>
      <c r="K52" s="16" t="n">
        <v>0.0639</v>
      </c>
      <c r="L52" s="16" t="n">
        <v>0.0139</v>
      </c>
    </row>
    <row r="53" customFormat="false" ht="30" hidden="false" customHeight="true" outlineLevel="0" collapsed="false">
      <c r="A53" s="3" t="s">
        <v>192</v>
      </c>
      <c r="B53" s="17" t="n">
        <v>0.0682</v>
      </c>
      <c r="C53" s="17" t="n">
        <v>0.0667</v>
      </c>
      <c r="D53" s="17" t="n">
        <v>0.0553</v>
      </c>
      <c r="E53" s="17" t="n">
        <v>0.0367</v>
      </c>
      <c r="F53" s="17" t="n">
        <v>0.0328</v>
      </c>
      <c r="G53" s="17" t="n">
        <v>0.0243</v>
      </c>
      <c r="H53" s="17" t="n">
        <v>0.005</v>
      </c>
      <c r="I53" s="17" t="n">
        <v>0.0365</v>
      </c>
      <c r="J53" s="17" t="n">
        <v>0.053</v>
      </c>
      <c r="K53" s="17" t="n">
        <v>0.0631</v>
      </c>
      <c r="L53" s="17" t="n">
        <v>0.0052</v>
      </c>
    </row>
    <row r="54" customFormat="false" ht="30" hidden="false" customHeight="true" outlineLevel="0" collapsed="false">
      <c r="A54" s="2" t="s">
        <v>193</v>
      </c>
      <c r="B54" s="16" t="n">
        <v>-0.0702</v>
      </c>
      <c r="C54" s="16" t="n">
        <v>-0.0242</v>
      </c>
      <c r="D54" s="16" t="n">
        <v>-0.0511</v>
      </c>
      <c r="E54" s="16" t="n">
        <v>-0.0269</v>
      </c>
      <c r="F54" s="16" t="n">
        <v>-0.0228</v>
      </c>
      <c r="G54" s="16" t="n">
        <v>-0.0348</v>
      </c>
      <c r="H54" s="16" t="n">
        <v>-0.0512</v>
      </c>
      <c r="I54" s="16" t="n">
        <v>-0.0357</v>
      </c>
      <c r="J54" s="16" t="n">
        <v>-0.037</v>
      </c>
      <c r="K54" s="16" t="n">
        <v>-0.0336</v>
      </c>
      <c r="L54" s="16" t="n">
        <v>0.0065</v>
      </c>
    </row>
    <row r="55" customFormat="false" ht="30" hidden="false" customHeight="true" outlineLevel="0" collapsed="false">
      <c r="A55" s="3" t="s">
        <v>194</v>
      </c>
      <c r="B55" s="17" t="n">
        <v>0.0258</v>
      </c>
      <c r="C55" s="17" t="n">
        <v>0.0021</v>
      </c>
      <c r="D55" s="17" t="n">
        <v>0.0172</v>
      </c>
      <c r="E55" s="17" t="n">
        <v>0.0178</v>
      </c>
      <c r="F55" s="17" t="n">
        <v>-0.0045</v>
      </c>
      <c r="G55" s="17" t="n">
        <v>0.0222</v>
      </c>
      <c r="H55" s="17" t="n">
        <v>0.0224</v>
      </c>
      <c r="I55" s="17" t="n">
        <v>0.0361</v>
      </c>
      <c r="J55" s="17" t="n">
        <v>0.0612</v>
      </c>
      <c r="K55" s="17" t="n">
        <v>0.0846</v>
      </c>
      <c r="L55" s="17" t="n">
        <v>0.0601</v>
      </c>
    </row>
    <row r="56" customFormat="false" ht="30" hidden="false" customHeight="true" outlineLevel="0" collapsed="false">
      <c r="A56" s="2" t="s">
        <v>195</v>
      </c>
      <c r="B56" s="16" t="n">
        <v>0.1006</v>
      </c>
      <c r="C56" s="16" t="n">
        <v>0.0561</v>
      </c>
      <c r="D56" s="16" t="n">
        <v>0.0626</v>
      </c>
      <c r="E56" s="16" t="n">
        <v>0.0127</v>
      </c>
      <c r="F56" s="16" t="n">
        <v>0.0321</v>
      </c>
      <c r="G56" s="16" t="n">
        <v>0.0472</v>
      </c>
      <c r="H56" s="16" t="n">
        <v>0.0584</v>
      </c>
      <c r="I56" s="16" t="n">
        <v>0.0579</v>
      </c>
      <c r="J56" s="16" t="n">
        <v>0.0469</v>
      </c>
      <c r="K56" s="16" t="n">
        <v>0.0725</v>
      </c>
      <c r="L56" s="16" t="n">
        <v>-0.0108</v>
      </c>
    </row>
    <row r="57" customFormat="false" ht="30" hidden="false" customHeight="true" outlineLevel="0" collapsed="false">
      <c r="A57" s="3" t="s">
        <v>196</v>
      </c>
      <c r="B57" s="17" t="n">
        <v>-0.0061</v>
      </c>
      <c r="C57" s="17" t="n">
        <v>-0.0081</v>
      </c>
      <c r="D57" s="17" t="n">
        <v>-0.0048</v>
      </c>
      <c r="E57" s="17" t="n">
        <v>-0.0024</v>
      </c>
      <c r="F57" s="17" t="n">
        <v>0.0013</v>
      </c>
      <c r="G57" s="17" t="n">
        <v>-0.0056</v>
      </c>
      <c r="H57" s="17" t="n">
        <v>0.0017</v>
      </c>
      <c r="I57" s="17" t="n">
        <v>-0.0079</v>
      </c>
      <c r="J57" s="17" t="n">
        <v>-0.012</v>
      </c>
      <c r="K57" s="17" t="n">
        <v>-0.0174</v>
      </c>
      <c r="L57" s="17" t="n">
        <v>-0.0133</v>
      </c>
    </row>
    <row r="58" customFormat="false" ht="30" hidden="false" customHeight="true" outlineLevel="0" collapsed="false">
      <c r="A58" s="2" t="s">
        <v>197</v>
      </c>
      <c r="B58" s="16" t="n">
        <v>0.0436</v>
      </c>
      <c r="C58" s="16" t="n">
        <v>0.0222</v>
      </c>
      <c r="D58" s="16" t="n">
        <v>0.0322</v>
      </c>
      <c r="E58" s="16" t="n">
        <v>0.0204</v>
      </c>
      <c r="F58" s="16" t="n">
        <v>0.0223</v>
      </c>
      <c r="G58" s="16" t="n">
        <v>0.0307</v>
      </c>
      <c r="H58" s="16" t="n">
        <v>0.0252</v>
      </c>
      <c r="I58" s="16" t="n">
        <v>0.0513</v>
      </c>
      <c r="J58" s="16" t="n">
        <v>0.0544</v>
      </c>
      <c r="K58" s="16" t="n">
        <v>0.0448</v>
      </c>
      <c r="L58" s="16" t="n">
        <v>0.0239</v>
      </c>
    </row>
    <row r="59" customFormat="false" ht="30" hidden="false" customHeight="true" outlineLevel="0" collapsed="false">
      <c r="A59" s="3" t="s">
        <v>198</v>
      </c>
      <c r="B59" s="17" t="n">
        <v>-0.0401</v>
      </c>
      <c r="C59" s="17" t="n">
        <v>-0.0314</v>
      </c>
      <c r="D59" s="17" t="n">
        <v>-0.0446</v>
      </c>
      <c r="E59" s="17" t="n">
        <v>-0.0361</v>
      </c>
      <c r="F59" s="17" t="n">
        <v>-0.0548</v>
      </c>
      <c r="G59" s="17" t="n">
        <v>-0.0255</v>
      </c>
      <c r="H59" s="17" t="n">
        <v>-0.0243</v>
      </c>
      <c r="I59" s="17" t="n">
        <v>0.0252</v>
      </c>
      <c r="J59" s="17" t="n">
        <v>-0.0183</v>
      </c>
      <c r="K59" s="17" t="n">
        <v>0.0071</v>
      </c>
      <c r="L59" s="17" t="n">
        <v>0.0364</v>
      </c>
    </row>
    <row r="60" customFormat="false" ht="30" hidden="false" customHeight="true" outlineLevel="0" collapsed="false">
      <c r="A60" s="2" t="s">
        <v>199</v>
      </c>
      <c r="B60" s="16" t="n">
        <v>0.0137</v>
      </c>
      <c r="C60" s="16" t="n">
        <v>0.0063</v>
      </c>
      <c r="D60" s="16" t="n">
        <v>-0.0048</v>
      </c>
      <c r="E60" s="16" t="n">
        <v>-0.0062</v>
      </c>
      <c r="F60" s="16" t="n">
        <v>-0.0176</v>
      </c>
      <c r="G60" s="16" t="n">
        <v>0.0157</v>
      </c>
      <c r="H60" s="16" t="n">
        <v>0.0239</v>
      </c>
      <c r="I60" s="16" t="n">
        <v>0.0241</v>
      </c>
      <c r="J60" s="16" t="n">
        <v>0.008</v>
      </c>
      <c r="K60" s="16" t="n">
        <v>0.0112</v>
      </c>
      <c r="L60" s="16" t="n">
        <v>0.0122</v>
      </c>
    </row>
    <row r="61" customFormat="false" ht="30" hidden="false" customHeight="true" outlineLevel="0" collapsed="false">
      <c r="A61" s="3" t="s">
        <v>200</v>
      </c>
      <c r="B61" s="17" t="n">
        <v>0.0237</v>
      </c>
      <c r="C61" s="17" t="n">
        <v>0.0393</v>
      </c>
      <c r="D61" s="17" t="n">
        <v>0.021</v>
      </c>
      <c r="E61" s="17" t="n">
        <v>0.0405</v>
      </c>
      <c r="F61" s="17" t="n">
        <v>0.0243</v>
      </c>
      <c r="G61" s="17" t="n">
        <v>0.0329</v>
      </c>
      <c r="H61" s="17" t="n">
        <v>0.0265</v>
      </c>
      <c r="I61" s="17" t="n">
        <v>0.0213</v>
      </c>
      <c r="J61" s="17" t="n">
        <v>0.0554</v>
      </c>
      <c r="K61" s="17" t="n">
        <v>0.0901</v>
      </c>
      <c r="L61" s="17" t="n">
        <v>0.0321</v>
      </c>
    </row>
    <row r="62" customFormat="false" ht="30" hidden="false" customHeight="true" outlineLevel="0" collapsed="false">
      <c r="A62" s="2" t="s">
        <v>201</v>
      </c>
      <c r="B62" s="16" t="n">
        <v>0.0018</v>
      </c>
      <c r="C62" s="16" t="n">
        <v>-0.0192</v>
      </c>
      <c r="D62" s="16" t="n">
        <v>-0.0096</v>
      </c>
      <c r="E62" s="16" t="n">
        <v>-0.0473</v>
      </c>
      <c r="F62" s="16" t="n">
        <v>-0.0341</v>
      </c>
      <c r="G62" s="16" t="n">
        <v>-0.0476</v>
      </c>
      <c r="H62" s="16" t="n">
        <v>-0.0623</v>
      </c>
      <c r="I62" s="16" t="n">
        <v>-0.0603</v>
      </c>
      <c r="J62" s="16" t="n">
        <v>-0.0565</v>
      </c>
      <c r="K62" s="16" t="n">
        <v>-0.0694</v>
      </c>
      <c r="L62" s="16" t="n">
        <v>-0.0449</v>
      </c>
    </row>
    <row r="63" customFormat="false" ht="30" hidden="false" customHeight="true" outlineLevel="0" collapsed="false">
      <c r="A63" s="3" t="s">
        <v>202</v>
      </c>
      <c r="B63" s="17" t="n">
        <v>-0.036</v>
      </c>
      <c r="C63" s="17" t="n">
        <v>-0.0202</v>
      </c>
      <c r="D63" s="17" t="n">
        <v>-0.0201</v>
      </c>
      <c r="E63" s="17" t="n">
        <v>-0.0187</v>
      </c>
      <c r="F63" s="17" t="n">
        <v>-0.024</v>
      </c>
      <c r="G63" s="17" t="n">
        <v>-0.0394</v>
      </c>
      <c r="H63" s="17" t="n">
        <v>-0.0198</v>
      </c>
      <c r="I63" s="17" t="n">
        <v>-0.0681</v>
      </c>
      <c r="J63" s="17" t="n">
        <v>-0.0328</v>
      </c>
      <c r="K63" s="17" t="n">
        <v>-0.0895</v>
      </c>
      <c r="L63" s="17" t="n">
        <v>-0.0336</v>
      </c>
    </row>
    <row r="64" customFormat="false" ht="30" hidden="false" customHeight="true" outlineLevel="0" collapsed="false">
      <c r="A64" s="2" t="s">
        <v>203</v>
      </c>
      <c r="B64" s="16" t="n">
        <v>-0.0185</v>
      </c>
      <c r="C64" s="16" t="n">
        <v>0.0033</v>
      </c>
      <c r="D64" s="16" t="n">
        <v>-0.0096</v>
      </c>
      <c r="E64" s="16" t="n">
        <v>-0.0153</v>
      </c>
      <c r="F64" s="16" t="n">
        <v>0.0093</v>
      </c>
      <c r="G64" s="16" t="n">
        <v>0.014</v>
      </c>
      <c r="H64" s="16" t="n">
        <v>-0.0004</v>
      </c>
      <c r="I64" s="16" t="n">
        <v>0.0486</v>
      </c>
      <c r="J64" s="16" t="n">
        <v>0.0135</v>
      </c>
      <c r="K64" s="16" t="n">
        <v>0.0256</v>
      </c>
      <c r="L64" s="16" t="n">
        <v>0.0319</v>
      </c>
    </row>
    <row r="65" customFormat="false" ht="30" hidden="false" customHeight="true" outlineLevel="0" collapsed="false">
      <c r="A65" s="3" t="s">
        <v>204</v>
      </c>
      <c r="B65" s="17" t="n">
        <v>0.1094</v>
      </c>
      <c r="C65" s="17" t="n">
        <v>0.066</v>
      </c>
      <c r="D65" s="17" t="n">
        <v>0.0661</v>
      </c>
      <c r="E65" s="17" t="n">
        <v>0.0803</v>
      </c>
      <c r="F65" s="17" t="n">
        <v>0.0855</v>
      </c>
      <c r="G65" s="17" t="n">
        <v>0.0804</v>
      </c>
      <c r="H65" s="17" t="n">
        <v>0.099</v>
      </c>
      <c r="I65" s="17" t="n">
        <v>0.1166</v>
      </c>
      <c r="J65" s="17" t="n">
        <v>0.1362</v>
      </c>
      <c r="K65" s="17" t="n">
        <v>0.1922</v>
      </c>
      <c r="L65" s="17" t="n">
        <v>0.0513</v>
      </c>
    </row>
    <row r="66" customFormat="false" ht="30" hidden="false" customHeight="true" outlineLevel="0" collapsed="false">
      <c r="A66" s="2" t="s">
        <v>205</v>
      </c>
      <c r="B66" s="16" t="n">
        <v>0.0157</v>
      </c>
      <c r="C66" s="16" t="n">
        <v>0.0078</v>
      </c>
      <c r="D66" s="16" t="n">
        <v>0.0142</v>
      </c>
      <c r="E66" s="16" t="n">
        <v>0.0027</v>
      </c>
      <c r="F66" s="16" t="n">
        <v>0.0432</v>
      </c>
      <c r="G66" s="16" t="n">
        <v>0.028</v>
      </c>
      <c r="H66" s="16" t="n">
        <v>0.0026</v>
      </c>
      <c r="I66" s="16" t="n">
        <v>0.0508</v>
      </c>
      <c r="J66" s="16" t="n">
        <v>0.0404</v>
      </c>
      <c r="K66" s="16" t="n">
        <v>0.1024</v>
      </c>
      <c r="L66" s="16" t="n">
        <v>0.0377</v>
      </c>
    </row>
    <row r="67" customFormat="false" ht="30" hidden="false" customHeight="true" outlineLevel="0" collapsed="false">
      <c r="A67" s="3" t="s">
        <v>206</v>
      </c>
      <c r="B67" s="17" t="n">
        <v>0.018</v>
      </c>
      <c r="C67" s="17" t="n">
        <v>0.0393</v>
      </c>
      <c r="D67" s="17" t="n">
        <v>0.0194</v>
      </c>
      <c r="E67" s="17" t="n">
        <v>0.0033</v>
      </c>
      <c r="F67" s="17" t="n">
        <v>0.014</v>
      </c>
      <c r="G67" s="17" t="n">
        <v>0.0066</v>
      </c>
      <c r="H67" s="17" t="n">
        <v>0.0085</v>
      </c>
      <c r="I67" s="17" t="n">
        <v>-0.0031</v>
      </c>
      <c r="J67" s="17" t="n">
        <v>-0.0084</v>
      </c>
      <c r="K67" s="17" t="n">
        <v>0.0073</v>
      </c>
      <c r="L67" s="17" t="n">
        <v>-0.021</v>
      </c>
    </row>
    <row r="68" customFormat="false" ht="30" hidden="false" customHeight="true" outlineLevel="0" collapsed="false">
      <c r="A68" s="2" t="s">
        <v>207</v>
      </c>
      <c r="B68" s="16" t="n">
        <v>-0.0239</v>
      </c>
      <c r="C68" s="16" t="n">
        <v>-0.0157</v>
      </c>
      <c r="D68" s="16" t="n">
        <v>-0.0153</v>
      </c>
      <c r="E68" s="16" t="n">
        <v>-0.0321</v>
      </c>
      <c r="F68" s="16" t="n">
        <v>0.0168</v>
      </c>
      <c r="G68" s="16" t="n">
        <v>-0.0129</v>
      </c>
      <c r="H68" s="16" t="n">
        <v>-0.0487</v>
      </c>
      <c r="I68" s="16" t="n">
        <v>-0.0407</v>
      </c>
      <c r="J68" s="16" t="n">
        <v>-0.0341</v>
      </c>
      <c r="K68" s="16" t="n">
        <v>-0.0445</v>
      </c>
      <c r="L68" s="16" t="n">
        <v>-0.0088</v>
      </c>
    </row>
    <row r="69" customFormat="false" ht="30" hidden="false" customHeight="true" outlineLevel="0" collapsed="false">
      <c r="A69" s="3" t="s">
        <v>208</v>
      </c>
      <c r="B69" s="17" t="n">
        <v>0.0086</v>
      </c>
      <c r="C69" s="17" t="n">
        <v>0.0171</v>
      </c>
      <c r="D69" s="17" t="n">
        <v>0.0138</v>
      </c>
      <c r="E69" s="17" t="n">
        <v>0.0062</v>
      </c>
      <c r="F69" s="17" t="n">
        <v>0.0206</v>
      </c>
      <c r="G69" s="17" t="n">
        <v>0.0183</v>
      </c>
      <c r="H69" s="17" t="n">
        <v>0.0252</v>
      </c>
      <c r="I69" s="17" t="n">
        <v>0.0128</v>
      </c>
      <c r="J69" s="17" t="n">
        <v>0.0372</v>
      </c>
      <c r="K69" s="17" t="n">
        <v>0.0491</v>
      </c>
      <c r="L69" s="17" t="n">
        <v>0.0193</v>
      </c>
    </row>
    <row r="70" customFormat="false" ht="30" hidden="false" customHeight="true" outlineLevel="0" collapsed="false">
      <c r="A70" s="2" t="s">
        <v>209</v>
      </c>
      <c r="B70" s="16" t="n">
        <v>0.0685</v>
      </c>
      <c r="C70" s="16" t="n">
        <v>0.0701</v>
      </c>
      <c r="D70" s="16" t="n">
        <v>0.0413</v>
      </c>
      <c r="E70" s="16" t="n">
        <v>0.0326</v>
      </c>
      <c r="F70" s="16" t="n">
        <v>0.0416</v>
      </c>
      <c r="G70" s="16" t="n">
        <v>0.0389</v>
      </c>
      <c r="H70" s="16" t="n">
        <v>0.0321</v>
      </c>
      <c r="I70" s="16" t="n">
        <v>0.0208</v>
      </c>
      <c r="J70" s="16" t="n">
        <v>0.0565</v>
      </c>
      <c r="K70" s="16" t="n">
        <v>0.0983</v>
      </c>
      <c r="L70" s="16" t="n">
        <v>-0.0068</v>
      </c>
    </row>
    <row r="71" customFormat="false" ht="30" hidden="false" customHeight="true" outlineLevel="0" collapsed="false">
      <c r="A71" s="3" t="s">
        <v>210</v>
      </c>
      <c r="B71" s="17" t="n">
        <v>0.019</v>
      </c>
      <c r="C71" s="17" t="n">
        <v>0.0117</v>
      </c>
      <c r="D71" s="17" t="n">
        <v>0.0313</v>
      </c>
      <c r="E71" s="17" t="n">
        <v>0.02</v>
      </c>
      <c r="F71" s="17" t="n">
        <v>0.0109</v>
      </c>
      <c r="G71" s="17" t="n">
        <v>-0.0035</v>
      </c>
      <c r="H71" s="17" t="n">
        <v>-0.0088</v>
      </c>
      <c r="I71" s="17" t="n">
        <v>-0.0029</v>
      </c>
      <c r="J71" s="17" t="n">
        <v>0.0304</v>
      </c>
      <c r="K71" s="17" t="n">
        <v>-0.0157</v>
      </c>
      <c r="L71" s="17" t="n">
        <v>-0.0144</v>
      </c>
    </row>
    <row r="72" customFormat="false" ht="30" hidden="false" customHeight="true" outlineLevel="0" collapsed="false">
      <c r="A72" s="2" t="s">
        <v>211</v>
      </c>
      <c r="B72" s="16" t="n">
        <v>0.0855</v>
      </c>
      <c r="C72" s="16" t="n">
        <v>0.0684</v>
      </c>
      <c r="D72" s="16" t="n">
        <v>0.0286</v>
      </c>
      <c r="E72" s="16" t="n">
        <v>0.0545</v>
      </c>
      <c r="F72" s="16" t="n">
        <v>0.0634</v>
      </c>
      <c r="G72" s="16" t="n">
        <v>0.0438</v>
      </c>
      <c r="H72" s="16" t="n">
        <v>0.0419</v>
      </c>
      <c r="I72" s="16" t="n">
        <v>0.0772</v>
      </c>
      <c r="J72" s="16" t="n">
        <v>0.0767</v>
      </c>
      <c r="K72" s="16" t="n">
        <v>0.1004</v>
      </c>
      <c r="L72" s="16" t="n">
        <v>0.0179</v>
      </c>
    </row>
    <row r="73" customFormat="false" ht="30" hidden="false" customHeight="true" outlineLevel="0" collapsed="false">
      <c r="A73" s="3" t="s">
        <v>212</v>
      </c>
      <c r="B73" s="17" t="n">
        <v>-0.0495</v>
      </c>
      <c r="C73" s="17" t="n">
        <v>-0.0413</v>
      </c>
      <c r="D73" s="17" t="n">
        <v>-0.0399</v>
      </c>
      <c r="E73" s="17" t="n">
        <v>-0.0399</v>
      </c>
      <c r="F73" s="17" t="n">
        <v>-0.0223</v>
      </c>
      <c r="G73" s="17" t="n">
        <v>-0.035</v>
      </c>
      <c r="H73" s="17" t="n">
        <v>-0.0317</v>
      </c>
      <c r="I73" s="17" t="n">
        <v>-0.0256</v>
      </c>
      <c r="J73" s="17" t="n">
        <v>-0.0339</v>
      </c>
      <c r="K73" s="17" t="n">
        <v>-0.0287</v>
      </c>
      <c r="L73" s="17" t="n">
        <v>0.0032</v>
      </c>
    </row>
    <row r="74" customFormat="false" ht="30" hidden="false" customHeight="true" outlineLevel="0" collapsed="false">
      <c r="A74" s="2" t="s">
        <v>213</v>
      </c>
      <c r="B74" s="16" t="n">
        <v>-0.0282</v>
      </c>
      <c r="C74" s="16" t="n">
        <v>0.0142</v>
      </c>
      <c r="D74" s="16" t="n">
        <v>-0.019</v>
      </c>
      <c r="E74" s="16" t="n">
        <v>0.0026</v>
      </c>
      <c r="F74" s="16" t="n">
        <v>0.0005</v>
      </c>
      <c r="G74" s="16" t="n">
        <v>-0.0133</v>
      </c>
      <c r="H74" s="16" t="n">
        <v>-0.002</v>
      </c>
      <c r="I74" s="16" t="n">
        <v>-0.0162</v>
      </c>
      <c r="J74" s="16" t="n">
        <v>-0.0045</v>
      </c>
      <c r="K74" s="16" t="n">
        <v>-0.0187</v>
      </c>
      <c r="L74" s="16" t="n">
        <v>-0.0013</v>
      </c>
    </row>
    <row r="75" customFormat="false" ht="30" hidden="false" customHeight="true" outlineLevel="0" collapsed="false">
      <c r="A75" s="3" t="s">
        <v>214</v>
      </c>
      <c r="B75" s="17" t="n">
        <v>-0.0788</v>
      </c>
      <c r="C75" s="17" t="n">
        <v>-0.0523</v>
      </c>
      <c r="D75" s="17" t="n">
        <v>-0.023</v>
      </c>
      <c r="E75" s="17" t="n">
        <v>-0.0623</v>
      </c>
      <c r="F75" s="17" t="n">
        <v>-0.0477</v>
      </c>
      <c r="G75" s="17" t="n">
        <v>-0.0585</v>
      </c>
      <c r="H75" s="17" t="n">
        <v>-0.0722</v>
      </c>
      <c r="I75" s="17" t="n">
        <v>-0.0764</v>
      </c>
      <c r="J75" s="17" t="n">
        <v>-0.0665</v>
      </c>
      <c r="K75" s="17" t="n">
        <v>-0.1046</v>
      </c>
      <c r="L75" s="17" t="n">
        <v>-0.025</v>
      </c>
    </row>
    <row r="76" customFormat="false" ht="30" hidden="false" customHeight="true" outlineLevel="0" collapsed="false">
      <c r="A76" s="2" t="s">
        <v>215</v>
      </c>
      <c r="B76" s="16" t="n">
        <v>-0.0109</v>
      </c>
      <c r="C76" s="16" t="n">
        <v>0.0374</v>
      </c>
      <c r="D76" s="16" t="n">
        <v>0.0113</v>
      </c>
      <c r="E76" s="16" t="n">
        <v>0.0304</v>
      </c>
      <c r="F76" s="16" t="n">
        <v>0.0351</v>
      </c>
      <c r="G76" s="16" t="n">
        <v>0.0447</v>
      </c>
      <c r="H76" s="16" t="n">
        <v>0.0476</v>
      </c>
      <c r="I76" s="16" t="n">
        <v>0.0453</v>
      </c>
      <c r="J76" s="16" t="n">
        <v>0.046</v>
      </c>
      <c r="K76" s="16" t="n">
        <v>0.0569</v>
      </c>
      <c r="L76" s="16" t="n">
        <v>0.0406</v>
      </c>
    </row>
    <row r="77" customFormat="false" ht="30" hidden="false" customHeight="true" outlineLevel="0" collapsed="false">
      <c r="A77" s="3" t="s">
        <v>216</v>
      </c>
      <c r="B77" s="17" t="n">
        <v>0.0038</v>
      </c>
      <c r="C77" s="17" t="n">
        <v>0.0357</v>
      </c>
      <c r="D77" s="17" t="n">
        <v>0.0188</v>
      </c>
      <c r="E77" s="17" t="n">
        <v>0.0257</v>
      </c>
      <c r="F77" s="17" t="n">
        <v>-0.0009</v>
      </c>
      <c r="G77" s="17" t="n">
        <v>0.0132</v>
      </c>
      <c r="H77" s="17" t="n">
        <v>0.0231</v>
      </c>
      <c r="I77" s="17" t="n">
        <v>0.0217</v>
      </c>
      <c r="J77" s="17" t="n">
        <v>0.0231</v>
      </c>
      <c r="K77" s="17" t="n">
        <v>0.0336</v>
      </c>
      <c r="L77" s="17" t="n">
        <v>0.011</v>
      </c>
    </row>
    <row r="78" customFormat="false" ht="30" hidden="false" customHeight="true" outlineLevel="0" collapsed="false">
      <c r="A78" s="2" t="s">
        <v>217</v>
      </c>
      <c r="B78" s="16" t="n">
        <v>-0.0274</v>
      </c>
      <c r="C78" s="16" t="n">
        <v>0.0046</v>
      </c>
      <c r="D78" s="16" t="n">
        <v>-0.0109</v>
      </c>
      <c r="E78" s="16" t="n">
        <v>0.0002</v>
      </c>
      <c r="F78" s="16" t="n">
        <v>0.0143</v>
      </c>
      <c r="G78" s="16" t="n">
        <v>0.002</v>
      </c>
      <c r="H78" s="16" t="n">
        <v>0.0127</v>
      </c>
      <c r="I78" s="16" t="n">
        <v>0.0078</v>
      </c>
      <c r="J78" s="16" t="n">
        <v>-0.0022</v>
      </c>
      <c r="K78" s="16" t="n">
        <v>0.0299</v>
      </c>
      <c r="L78" s="16" t="n">
        <v>0.0177</v>
      </c>
    </row>
    <row r="79" customFormat="false" ht="30" hidden="false" customHeight="true" outlineLevel="0" collapsed="false">
      <c r="A79" s="3" t="s">
        <v>218</v>
      </c>
      <c r="B79" s="17" t="n">
        <v>-0.1188</v>
      </c>
      <c r="C79" s="17" t="n">
        <v>-0.0695</v>
      </c>
      <c r="D79" s="17" t="n">
        <v>-0.0068</v>
      </c>
      <c r="E79" s="17" t="n">
        <v>-0.0646</v>
      </c>
      <c r="F79" s="17" t="n">
        <v>-0.0522</v>
      </c>
      <c r="G79" s="17" t="n">
        <v>-0.0762</v>
      </c>
      <c r="H79" s="17" t="n">
        <v>-0.0627</v>
      </c>
      <c r="I79" s="17" t="n">
        <v>-0.063</v>
      </c>
      <c r="J79" s="17" t="n">
        <v>-0.0905</v>
      </c>
      <c r="K79" s="17" t="n">
        <v>-0.1147</v>
      </c>
      <c r="L79" s="17" t="n">
        <v>-0.023</v>
      </c>
    </row>
    <row r="80" customFormat="false" ht="30" hidden="false" customHeight="true" outlineLevel="0" collapsed="false">
      <c r="A80" s="2" t="s">
        <v>219</v>
      </c>
      <c r="B80" s="16" t="n">
        <v>-0.1233</v>
      </c>
      <c r="C80" s="16" t="n">
        <v>-0.117</v>
      </c>
      <c r="D80" s="16" t="n">
        <v>-0.0522</v>
      </c>
      <c r="E80" s="16" t="n">
        <v>-0.0446</v>
      </c>
      <c r="F80" s="16" t="n">
        <v>-0.0528</v>
      </c>
      <c r="G80" s="16" t="n">
        <v>-0.046</v>
      </c>
      <c r="H80" s="16" t="n">
        <v>-0.0709</v>
      </c>
      <c r="I80" s="16" t="n">
        <v>-0.0524</v>
      </c>
      <c r="J80" s="16" t="n">
        <v>-0.0786</v>
      </c>
      <c r="K80" s="16" t="n">
        <v>-0.069</v>
      </c>
      <c r="L80" s="16" t="n">
        <v>0.0181</v>
      </c>
    </row>
    <row r="81" customFormat="false" ht="30" hidden="false" customHeight="true" outlineLevel="0" collapsed="false">
      <c r="A81" s="3" t="s">
        <v>220</v>
      </c>
      <c r="B81" s="17" t="n">
        <v>0.0641</v>
      </c>
      <c r="C81" s="17" t="n">
        <v>0.0444</v>
      </c>
      <c r="D81" s="17" t="n">
        <v>0.0348</v>
      </c>
      <c r="E81" s="17" t="n">
        <v>0.0333</v>
      </c>
      <c r="F81" s="17" t="n">
        <v>0.0356</v>
      </c>
      <c r="G81" s="17" t="n">
        <v>0.0553</v>
      </c>
      <c r="H81" s="17" t="n">
        <v>0.0393</v>
      </c>
      <c r="I81" s="17" t="n">
        <v>0.0352</v>
      </c>
      <c r="J81" s="17" t="n">
        <v>0.0725</v>
      </c>
      <c r="K81" s="17" t="n">
        <v>0.1045</v>
      </c>
      <c r="L81" s="17" t="n">
        <v>0.021</v>
      </c>
    </row>
    <row r="82" customFormat="false" ht="30" hidden="false" customHeight="true" outlineLevel="0" collapsed="false">
      <c r="A82" s="2" t="s">
        <v>221</v>
      </c>
      <c r="B82" s="16" t="n">
        <v>-0.0441</v>
      </c>
      <c r="C82" s="16" t="n">
        <v>-0.029</v>
      </c>
      <c r="D82" s="16" t="n">
        <v>-0.0437</v>
      </c>
      <c r="E82" s="16" t="n">
        <v>-0.0284</v>
      </c>
      <c r="F82" s="16" t="n">
        <v>-0.0424</v>
      </c>
      <c r="G82" s="16" t="n">
        <v>-0.0395</v>
      </c>
      <c r="H82" s="16" t="n">
        <v>-0.0108</v>
      </c>
      <c r="I82" s="16" t="n">
        <v>-0.0154</v>
      </c>
      <c r="J82" s="16" t="n">
        <v>-0.0206</v>
      </c>
      <c r="K82" s="16" t="n">
        <v>-0.0266</v>
      </c>
      <c r="L82" s="16" t="n">
        <v>0.0241</v>
      </c>
    </row>
    <row r="83" customFormat="false" ht="30" hidden="false" customHeight="true" outlineLevel="0" collapsed="false">
      <c r="A83" s="3" t="s">
        <v>222</v>
      </c>
      <c r="B83" s="17" t="n">
        <v>0.1071</v>
      </c>
      <c r="C83" s="17" t="n">
        <v>0.0929</v>
      </c>
      <c r="D83" s="17" t="n">
        <v>0.095</v>
      </c>
      <c r="E83" s="17" t="n">
        <v>0.0382</v>
      </c>
      <c r="F83" s="17" t="n">
        <v>0.0438</v>
      </c>
      <c r="G83" s="17" t="n">
        <v>0.0616</v>
      </c>
      <c r="H83" s="17" t="n">
        <v>0.0619</v>
      </c>
      <c r="I83" s="17" t="n">
        <v>0.0325</v>
      </c>
      <c r="J83" s="17" t="n">
        <v>0.0476</v>
      </c>
      <c r="K83" s="17" t="n">
        <v>0.0665</v>
      </c>
      <c r="L83" s="17" t="n">
        <v>-0.0436</v>
      </c>
    </row>
    <row r="84" customFormat="false" ht="30" hidden="false" customHeight="true" outlineLevel="0" collapsed="false">
      <c r="A84" s="2" t="s">
        <v>223</v>
      </c>
      <c r="B84" s="16" t="n">
        <v>-0.069</v>
      </c>
      <c r="C84" s="16" t="n">
        <v>-0.0598</v>
      </c>
      <c r="D84" s="16" t="n">
        <v>-0.0469</v>
      </c>
      <c r="E84" s="16" t="n">
        <v>-0.0487</v>
      </c>
      <c r="F84" s="16" t="n">
        <v>-0.054</v>
      </c>
      <c r="G84" s="16" t="n">
        <v>-0.0408</v>
      </c>
      <c r="H84" s="16" t="n">
        <v>-0.044</v>
      </c>
      <c r="I84" s="16" t="n">
        <v>-0.0261</v>
      </c>
      <c r="J84" s="16" t="n">
        <v>-0.0205</v>
      </c>
      <c r="K84" s="16" t="n">
        <v>-0.0053</v>
      </c>
      <c r="L84" s="16" t="n">
        <v>0.0368</v>
      </c>
    </row>
    <row r="85" customFormat="false" ht="30" hidden="false" customHeight="true" outlineLevel="0" collapsed="false">
      <c r="A85" s="3" t="s">
        <v>224</v>
      </c>
      <c r="B85" s="17" t="n">
        <v>-0.082</v>
      </c>
      <c r="C85" s="17" t="n">
        <v>-0.0617</v>
      </c>
      <c r="D85" s="17" t="n">
        <v>-0.052</v>
      </c>
      <c r="E85" s="17" t="n">
        <v>-0.0375</v>
      </c>
      <c r="F85" s="17" t="n">
        <v>-0.031</v>
      </c>
      <c r="G85" s="17" t="n">
        <v>-0.0347</v>
      </c>
      <c r="H85" s="17" t="n">
        <v>-0.0364</v>
      </c>
      <c r="I85" s="17" t="n">
        <v>-0.0176</v>
      </c>
      <c r="J85" s="17" t="n">
        <v>0.0078</v>
      </c>
      <c r="K85" s="17" t="n">
        <v>0.0137</v>
      </c>
      <c r="L85" s="17" t="n">
        <v>0.0527</v>
      </c>
    </row>
    <row r="86" customFormat="false" ht="30" hidden="false" customHeight="true" outlineLevel="0" collapsed="false">
      <c r="A86" s="2" t="s">
        <v>225</v>
      </c>
      <c r="B86" s="16" t="n">
        <v>-0.0649</v>
      </c>
      <c r="C86" s="16" t="n">
        <v>-0.0774</v>
      </c>
      <c r="D86" s="16" t="n">
        <v>-0.0931</v>
      </c>
      <c r="E86" s="16" t="n">
        <v>-0.1209</v>
      </c>
      <c r="F86" s="16" t="n">
        <v>-0.0726</v>
      </c>
      <c r="G86" s="16" t="n">
        <v>-0.0909</v>
      </c>
      <c r="H86" s="16" t="n">
        <v>-0.0634</v>
      </c>
      <c r="I86" s="16" t="n">
        <v>-0.0724</v>
      </c>
      <c r="J86" s="16" t="n">
        <v>-0.0601</v>
      </c>
      <c r="K86" s="16" t="n">
        <v>-0.0705</v>
      </c>
      <c r="L86" s="16" t="n">
        <v>0.0056</v>
      </c>
    </row>
    <row r="87" customFormat="false" ht="30" hidden="false" customHeight="true" outlineLevel="0" collapsed="false">
      <c r="A87" s="3" t="s">
        <v>226</v>
      </c>
      <c r="B87" s="17" t="n">
        <v>0.0353</v>
      </c>
      <c r="C87" s="17" t="n">
        <v>0.0454</v>
      </c>
      <c r="D87" s="17" t="n">
        <v>0.0663</v>
      </c>
      <c r="E87" s="17" t="n">
        <v>0.0686</v>
      </c>
      <c r="F87" s="17" t="n">
        <v>0.0709</v>
      </c>
      <c r="G87" s="17" t="n">
        <v>0.0536</v>
      </c>
      <c r="H87" s="17" t="n">
        <v>0.0567</v>
      </c>
      <c r="I87" s="17" t="n">
        <v>0.0803</v>
      </c>
      <c r="J87" s="17" t="n">
        <v>0.0731</v>
      </c>
      <c r="K87" s="17" t="n">
        <v>0.0318</v>
      </c>
      <c r="L87" s="17" t="n">
        <v>0.0027</v>
      </c>
    </row>
    <row r="88" customFormat="false" ht="30" hidden="false" customHeight="true" outlineLevel="0" collapsed="false">
      <c r="A88" s="2" t="s">
        <v>227</v>
      </c>
      <c r="B88" s="16" t="n">
        <v>-0.0387</v>
      </c>
      <c r="C88" s="16" t="n">
        <v>-0.0257</v>
      </c>
      <c r="D88" s="16" t="n">
        <v>-0.005</v>
      </c>
      <c r="E88" s="16" t="n">
        <v>0.0024</v>
      </c>
      <c r="F88" s="16" t="n">
        <v>0.0177</v>
      </c>
      <c r="G88" s="16" t="n">
        <v>0.0205</v>
      </c>
      <c r="H88" s="16" t="n">
        <v>0.0322</v>
      </c>
      <c r="I88" s="16" t="n">
        <v>0.0112</v>
      </c>
      <c r="J88" s="16" t="n">
        <v>-0.0168</v>
      </c>
      <c r="K88" s="16" t="n">
        <v>-0.0296</v>
      </c>
      <c r="L88" s="16" t="n">
        <v>-0.0037</v>
      </c>
    </row>
    <row r="89" customFormat="false" ht="30" hidden="false" customHeight="true" outlineLevel="0" collapsed="false">
      <c r="A89" s="3" t="s">
        <v>228</v>
      </c>
      <c r="B89" s="17" t="n">
        <v>-0.1738</v>
      </c>
      <c r="C89" s="17" t="n">
        <v>-0.1298</v>
      </c>
      <c r="D89" s="17" t="n">
        <v>-0.0842</v>
      </c>
      <c r="E89" s="17" t="n">
        <v>-0.1259</v>
      </c>
      <c r="F89" s="17" t="n">
        <v>-0.0988</v>
      </c>
      <c r="G89" s="17" t="n">
        <v>-0.0957</v>
      </c>
      <c r="H89" s="17" t="n">
        <v>-0.0855</v>
      </c>
      <c r="I89" s="17" t="n">
        <v>-0.1011</v>
      </c>
      <c r="J89" s="17" t="n">
        <v>-0.101</v>
      </c>
      <c r="K89" s="17" t="n">
        <v>-0.1146</v>
      </c>
      <c r="L89" s="17" t="n">
        <v>-0.0083</v>
      </c>
    </row>
    <row r="90" customFormat="false" ht="30" hidden="false" customHeight="true" outlineLevel="0" collapsed="false">
      <c r="A90" s="2" t="s">
        <v>229</v>
      </c>
      <c r="B90" s="16" t="n">
        <v>-0.0964</v>
      </c>
      <c r="C90" s="16" t="n">
        <v>-0.0493</v>
      </c>
      <c r="D90" s="16" t="n">
        <v>-0.0092</v>
      </c>
      <c r="E90" s="16" t="n">
        <v>-0.0068</v>
      </c>
      <c r="F90" s="16" t="n">
        <v>-0.0754</v>
      </c>
      <c r="G90" s="16" t="n">
        <v>-0.0855</v>
      </c>
      <c r="H90" s="16" t="n">
        <v>-0.0657</v>
      </c>
      <c r="I90" s="16" t="n">
        <v>-0.0655</v>
      </c>
      <c r="J90" s="16" t="n">
        <v>-0.0834</v>
      </c>
      <c r="K90" s="16" t="n">
        <v>-0.062</v>
      </c>
      <c r="L90" s="16" t="n">
        <v>-0.0266</v>
      </c>
    </row>
    <row r="91" customFormat="false" ht="30" hidden="false" customHeight="true" outlineLevel="0" collapsed="false">
      <c r="A91" s="3" t="s">
        <v>230</v>
      </c>
      <c r="B91" s="17" t="n">
        <v>-0.1146</v>
      </c>
      <c r="C91" s="17" t="n">
        <v>-0.1185</v>
      </c>
      <c r="D91" s="17" t="n">
        <v>-0.0649</v>
      </c>
      <c r="E91" s="17" t="n">
        <v>-0.0302</v>
      </c>
      <c r="F91" s="17" t="n">
        <v>-0.0516</v>
      </c>
      <c r="G91" s="17" t="n">
        <v>-0.0595</v>
      </c>
      <c r="H91" s="17" t="n">
        <v>-0.0639</v>
      </c>
      <c r="I91" s="17" t="n">
        <v>-0.0602</v>
      </c>
      <c r="J91" s="17" t="n">
        <v>-0.051</v>
      </c>
      <c r="K91" s="17" t="n">
        <v>-0.0093</v>
      </c>
      <c r="L91" s="17" t="n">
        <v>0.0563</v>
      </c>
    </row>
    <row r="92" customFormat="false" ht="30" hidden="false" customHeight="true" outlineLevel="0" collapsed="false">
      <c r="A92" s="2" t="s">
        <v>231</v>
      </c>
      <c r="B92" s="16" t="n">
        <v>0.047</v>
      </c>
      <c r="C92" s="16" t="n">
        <v>0.1221</v>
      </c>
      <c r="D92" s="16" t="n">
        <v>0.1074</v>
      </c>
      <c r="E92" s="16" t="n">
        <v>0.1055</v>
      </c>
      <c r="F92" s="16" t="n">
        <v>0.0924</v>
      </c>
      <c r="G92" s="16" t="n">
        <v>0.1083</v>
      </c>
      <c r="H92" s="16" t="n">
        <v>0.0547</v>
      </c>
      <c r="I92" s="16" t="n">
        <v>0.0759</v>
      </c>
      <c r="J92" s="16" t="n">
        <v>0.0592</v>
      </c>
      <c r="K92" s="16" t="n">
        <v>0.0443</v>
      </c>
      <c r="L92" s="16" t="n">
        <v>-0.0311</v>
      </c>
    </row>
    <row r="93" customFormat="false" ht="30" hidden="false" customHeight="true" outlineLevel="0" collapsed="false">
      <c r="A93" s="3" t="s">
        <v>232</v>
      </c>
      <c r="B93" s="17" t="n">
        <v>0.1296</v>
      </c>
      <c r="C93" s="17" t="n">
        <v>0.0943</v>
      </c>
      <c r="D93" s="17" t="n">
        <v>0.0888</v>
      </c>
      <c r="E93" s="17" t="n">
        <v>0.0808</v>
      </c>
      <c r="F93" s="17" t="n">
        <v>0.0643</v>
      </c>
      <c r="G93" s="17" t="n">
        <v>0.0567</v>
      </c>
      <c r="H93" s="17" t="n">
        <v>0.0451</v>
      </c>
      <c r="I93" s="17" t="n">
        <v>0.0554</v>
      </c>
      <c r="J93" s="17" t="n">
        <v>0.0243</v>
      </c>
      <c r="K93" s="17" t="n">
        <v>0.0201</v>
      </c>
      <c r="L93" s="17" t="n">
        <v>-0.0673</v>
      </c>
    </row>
    <row r="94" customFormat="false" ht="30" hidden="false" customHeight="true" outlineLevel="0" collapsed="false">
      <c r="A94" s="2" t="s">
        <v>233</v>
      </c>
      <c r="B94" s="16" t="n">
        <v>0.2269</v>
      </c>
      <c r="C94" s="16" t="n">
        <v>0.1253</v>
      </c>
      <c r="D94" s="16" t="n">
        <v>0.0753</v>
      </c>
      <c r="E94" s="16" t="n">
        <v>0.0827</v>
      </c>
      <c r="F94" s="16" t="n">
        <v>0.0678</v>
      </c>
      <c r="G94" s="16" t="n">
        <v>0.0541</v>
      </c>
      <c r="H94" s="16" t="n">
        <v>0.0188</v>
      </c>
      <c r="I94" s="16" t="n">
        <v>0.0264</v>
      </c>
      <c r="J94" s="16" t="n">
        <v>0.0128</v>
      </c>
      <c r="K94" s="16" t="n">
        <v>0.0414</v>
      </c>
      <c r="L94" s="16" t="n">
        <v>-0.0864</v>
      </c>
    </row>
    <row r="95" customFormat="false" ht="30" hidden="false" customHeight="true" outlineLevel="0" collapsed="false">
      <c r="A95" s="3" t="s">
        <v>234</v>
      </c>
      <c r="B95" s="17" t="n">
        <v>-0.1451</v>
      </c>
      <c r="C95" s="17" t="n">
        <v>-0.1108</v>
      </c>
      <c r="D95" s="17" t="n">
        <v>-0.046</v>
      </c>
      <c r="E95" s="17" t="n">
        <v>-0.0352</v>
      </c>
      <c r="F95" s="17" t="n">
        <v>-0.0112</v>
      </c>
      <c r="G95" s="17" t="n">
        <v>-0.0168</v>
      </c>
      <c r="H95" s="17" t="n">
        <v>-0.0051</v>
      </c>
      <c r="I95" s="17" t="n">
        <v>-0.0142</v>
      </c>
      <c r="J95" s="17" t="n">
        <v>0.0054</v>
      </c>
      <c r="K95" s="17" t="n">
        <v>-0.0128</v>
      </c>
      <c r="L95" s="17" t="n">
        <v>0.0946</v>
      </c>
    </row>
    <row r="96" customFormat="false" ht="30" hidden="false" customHeight="true" outlineLevel="0" collapsed="false">
      <c r="A96" s="2" t="s">
        <v>235</v>
      </c>
      <c r="B96" s="16" t="n">
        <v>-0.0121</v>
      </c>
      <c r="C96" s="16" t="n">
        <v>0.0512</v>
      </c>
      <c r="D96" s="16" t="n">
        <v>0.0325</v>
      </c>
      <c r="E96" s="16" t="n">
        <v>0.0386</v>
      </c>
      <c r="F96" s="16" t="n">
        <v>0.0519</v>
      </c>
      <c r="G96" s="16" t="n">
        <v>0.0532</v>
      </c>
      <c r="H96" s="16" t="n">
        <v>0.0415</v>
      </c>
      <c r="I96" s="16" t="n">
        <v>0.0604</v>
      </c>
      <c r="J96" s="16" t="n">
        <v>0.0586</v>
      </c>
      <c r="K96" s="16" t="n">
        <v>0.0566</v>
      </c>
      <c r="L96" s="16" t="n">
        <v>0.026</v>
      </c>
    </row>
    <row r="97" customFormat="false" ht="30" hidden="false" customHeight="true" outlineLevel="0" collapsed="false">
      <c r="A97" s="3" t="s">
        <v>236</v>
      </c>
      <c r="B97" s="17" t="n">
        <v>0.0589</v>
      </c>
      <c r="C97" s="17" t="n">
        <v>0.11</v>
      </c>
      <c r="D97" s="17" t="n">
        <v>0.0772</v>
      </c>
      <c r="E97" s="17" t="n">
        <v>0.0819</v>
      </c>
      <c r="F97" s="17" t="n">
        <v>0.0736</v>
      </c>
      <c r="G97" s="17" t="n">
        <v>0.0703</v>
      </c>
      <c r="H97" s="17" t="n">
        <v>0.077</v>
      </c>
      <c r="I97" s="17" t="n">
        <v>0.0668</v>
      </c>
      <c r="J97" s="17" t="n">
        <v>0.0445</v>
      </c>
      <c r="K97" s="17" t="n">
        <v>0.0345</v>
      </c>
      <c r="L97" s="17" t="n">
        <v>-0.0229</v>
      </c>
    </row>
    <row r="98" customFormat="false" ht="30" hidden="false" customHeight="true" outlineLevel="0" collapsed="false">
      <c r="A98" s="2" t="s">
        <v>237</v>
      </c>
      <c r="B98" s="16" t="n">
        <v>0.1369</v>
      </c>
      <c r="C98" s="16" t="n">
        <v>0.1176</v>
      </c>
      <c r="D98" s="16" t="n">
        <v>0.1083</v>
      </c>
      <c r="E98" s="16" t="n">
        <v>0.0761</v>
      </c>
      <c r="F98" s="16" t="n">
        <v>0.0362</v>
      </c>
      <c r="G98" s="16" t="n">
        <v>0.0678</v>
      </c>
      <c r="H98" s="16" t="n">
        <v>0.0602</v>
      </c>
      <c r="I98" s="16" t="n">
        <v>0.0321</v>
      </c>
      <c r="J98" s="16" t="n">
        <v>0.0397</v>
      </c>
      <c r="K98" s="16" t="n">
        <v>0.0207</v>
      </c>
      <c r="L98" s="16" t="n">
        <v>-0.0685</v>
      </c>
    </row>
    <row r="99" customFormat="false" ht="30" hidden="false" customHeight="true" outlineLevel="0" collapsed="false">
      <c r="A99" s="3" t="s">
        <v>238</v>
      </c>
      <c r="B99" s="17" t="n">
        <v>0.0452</v>
      </c>
      <c r="C99" s="17" t="n">
        <v>0.0011</v>
      </c>
      <c r="D99" s="17" t="n">
        <v>0.0158</v>
      </c>
      <c r="E99" s="17" t="n">
        <v>0.0227</v>
      </c>
      <c r="F99" s="17" t="n">
        <v>0.0195</v>
      </c>
      <c r="G99" s="17" t="n">
        <v>-0.0061</v>
      </c>
      <c r="H99" s="17" t="n">
        <v>0.0156</v>
      </c>
      <c r="I99" s="17" t="n">
        <v>0.014</v>
      </c>
      <c r="J99" s="17" t="n">
        <v>0.015</v>
      </c>
      <c r="K99" s="17" t="n">
        <v>0.04</v>
      </c>
      <c r="L99" s="17" t="n">
        <v>0.0083</v>
      </c>
    </row>
    <row r="100" customFormat="false" ht="30" hidden="false" customHeight="true" outlineLevel="0" collapsed="false">
      <c r="A100" s="2" t="s">
        <v>239</v>
      </c>
      <c r="B100" s="16" t="n">
        <v>0.0797</v>
      </c>
      <c r="C100" s="16" t="n">
        <v>0.0619</v>
      </c>
      <c r="D100" s="16" t="n">
        <v>0.0585</v>
      </c>
      <c r="E100" s="16" t="n">
        <v>0.0597</v>
      </c>
      <c r="F100" s="16" t="n">
        <v>0.0213</v>
      </c>
      <c r="G100" s="16" t="n">
        <v>0.0406</v>
      </c>
      <c r="H100" s="16" t="n">
        <v>0.026</v>
      </c>
      <c r="I100" s="16" t="n">
        <v>0.04</v>
      </c>
      <c r="J100" s="16" t="n">
        <v>0.032</v>
      </c>
      <c r="K100" s="16" t="n">
        <v>0.0521</v>
      </c>
      <c r="L100" s="16" t="n">
        <v>-0.0136</v>
      </c>
    </row>
    <row r="101" customFormat="false" ht="30" hidden="false" customHeight="true" outlineLevel="0" collapsed="false">
      <c r="A101" s="3" t="s">
        <v>240</v>
      </c>
      <c r="B101" s="17" t="n">
        <v>0.0364</v>
      </c>
      <c r="C101" s="17" t="n">
        <v>0.0268</v>
      </c>
      <c r="D101" s="17" t="n">
        <v>0.0445</v>
      </c>
      <c r="E101" s="17" t="n">
        <v>0.0031</v>
      </c>
      <c r="F101" s="17" t="n">
        <v>0.0339</v>
      </c>
      <c r="G101" s="17" t="n">
        <v>0.0407</v>
      </c>
      <c r="H101" s="17" t="n">
        <v>0.0367</v>
      </c>
      <c r="I101" s="17" t="n">
        <v>0.054</v>
      </c>
      <c r="J101" s="17" t="n">
        <v>0.0532</v>
      </c>
      <c r="K101" s="17" t="n">
        <v>0.0491</v>
      </c>
      <c r="L101" s="17" t="n">
        <v>0.0134</v>
      </c>
    </row>
    <row r="102" customFormat="false" ht="30" hidden="false" customHeight="true" outlineLevel="0" collapsed="false">
      <c r="A102" s="2" t="s">
        <v>241</v>
      </c>
      <c r="B102" s="16" t="n">
        <v>-0.059</v>
      </c>
      <c r="C102" s="16" t="n">
        <v>-0.047</v>
      </c>
      <c r="D102" s="16" t="n">
        <v>-0.0188</v>
      </c>
      <c r="E102" s="16" t="n">
        <v>-0.0337</v>
      </c>
      <c r="F102" s="16" t="n">
        <v>-0.0521</v>
      </c>
      <c r="G102" s="16" t="n">
        <v>-0.022</v>
      </c>
      <c r="H102" s="16" t="n">
        <v>-0.0325</v>
      </c>
      <c r="I102" s="16" t="n">
        <v>-0.0535</v>
      </c>
      <c r="J102" s="16" t="n">
        <v>-0.0284</v>
      </c>
      <c r="K102" s="16" t="n">
        <v>-0.0298</v>
      </c>
      <c r="L102" s="16" t="n">
        <v>0.0093</v>
      </c>
    </row>
    <row r="103" customFormat="false" ht="30" hidden="false" customHeight="true" outlineLevel="0" collapsed="false">
      <c r="A103" s="3" t="s">
        <v>242</v>
      </c>
      <c r="B103" s="17" t="n">
        <v>-0.0312</v>
      </c>
      <c r="C103" s="17" t="n">
        <v>0.0008</v>
      </c>
      <c r="D103" s="17" t="n">
        <v>0.016</v>
      </c>
      <c r="E103" s="17" t="n">
        <v>0.0002</v>
      </c>
      <c r="F103" s="17" t="n">
        <v>-0.0015</v>
      </c>
      <c r="G103" s="17" t="n">
        <v>-0.0009</v>
      </c>
      <c r="H103" s="17" t="n">
        <v>0.0023</v>
      </c>
      <c r="I103" s="17" t="n">
        <v>-0.0036</v>
      </c>
      <c r="J103" s="17" t="n">
        <v>0.0248</v>
      </c>
      <c r="K103" s="17" t="n">
        <v>0.0271</v>
      </c>
      <c r="L103" s="17" t="n">
        <v>0.0269</v>
      </c>
    </row>
    <row r="104" customFormat="false" ht="30" hidden="false" customHeight="true" outlineLevel="0" collapsed="false">
      <c r="A104" s="2" t="s">
        <v>243</v>
      </c>
      <c r="B104" s="16" t="n">
        <v>-0.0497</v>
      </c>
      <c r="C104" s="16" t="n">
        <v>-0.0371</v>
      </c>
      <c r="D104" s="16" t="n">
        <v>-0.0151</v>
      </c>
      <c r="E104" s="16" t="n">
        <v>-0.0519</v>
      </c>
      <c r="F104" s="16" t="n">
        <v>-0.0316</v>
      </c>
      <c r="G104" s="16" t="n">
        <v>-0.0297</v>
      </c>
      <c r="H104" s="16" t="n">
        <v>-0.033</v>
      </c>
      <c r="I104" s="16" t="n">
        <v>-0.0531</v>
      </c>
      <c r="J104" s="16" t="n">
        <v>-0.0813</v>
      </c>
      <c r="K104" s="16" t="n">
        <v>-0.0621</v>
      </c>
      <c r="L104" s="16" t="n">
        <v>-0.0232</v>
      </c>
    </row>
    <row r="105" customFormat="false" ht="30" hidden="false" customHeight="true" outlineLevel="0" collapsed="false">
      <c r="A105" s="3" t="s">
        <v>244</v>
      </c>
      <c r="B105" s="17" t="n">
        <v>0.0237</v>
      </c>
      <c r="C105" s="17" t="n">
        <v>0.0101</v>
      </c>
      <c r="D105" s="17" t="n">
        <v>0.0391</v>
      </c>
      <c r="E105" s="17" t="n">
        <v>0.0267</v>
      </c>
      <c r="F105" s="17" t="n">
        <v>0.0342</v>
      </c>
      <c r="G105" s="17" t="n">
        <v>0.0667</v>
      </c>
      <c r="H105" s="17" t="n">
        <v>0.0578</v>
      </c>
      <c r="I105" s="17" t="n">
        <v>0.0471</v>
      </c>
      <c r="J105" s="17" t="n">
        <v>0.0553</v>
      </c>
      <c r="K105" s="17" t="n">
        <v>0.086</v>
      </c>
      <c r="L105" s="17" t="n">
        <v>0.0345</v>
      </c>
    </row>
    <row r="106" customFormat="false" ht="30" hidden="false" customHeight="true" outlineLevel="0" collapsed="false">
      <c r="A106" s="2" t="s">
        <v>245</v>
      </c>
      <c r="B106" s="16" t="n">
        <v>-0.0367</v>
      </c>
      <c r="C106" s="16" t="n">
        <v>-0.0123</v>
      </c>
      <c r="D106" s="16" t="n">
        <v>-0.0105</v>
      </c>
      <c r="E106" s="16" t="n">
        <v>-0.0145</v>
      </c>
      <c r="F106" s="16" t="n">
        <v>0.0107</v>
      </c>
      <c r="G106" s="16" t="n">
        <v>0.0087</v>
      </c>
      <c r="H106" s="16" t="n">
        <v>-0.0044</v>
      </c>
      <c r="I106" s="16" t="n">
        <v>-0.0055</v>
      </c>
      <c r="J106" s="16" t="n">
        <v>-0.0072</v>
      </c>
      <c r="K106" s="16" t="n">
        <v>0.0062</v>
      </c>
      <c r="L106" s="16" t="n">
        <v>0.021</v>
      </c>
    </row>
    <row r="107" customFormat="false" ht="30" hidden="false" customHeight="true" outlineLevel="0" collapsed="false">
      <c r="A107" s="3" t="s">
        <v>246</v>
      </c>
      <c r="B107" s="17" t="n">
        <v>-0.0915</v>
      </c>
      <c r="C107" s="17" t="n">
        <v>-0.0404</v>
      </c>
      <c r="D107" s="17" t="n">
        <v>-0.028</v>
      </c>
      <c r="E107" s="17" t="n">
        <v>-0.0225</v>
      </c>
      <c r="F107" s="17" t="n">
        <v>-0.0352</v>
      </c>
      <c r="G107" s="17" t="n">
        <v>-0.0371</v>
      </c>
      <c r="H107" s="17" t="n">
        <v>-0.0433</v>
      </c>
      <c r="I107" s="17" t="n">
        <v>-0.0439</v>
      </c>
      <c r="J107" s="17" t="n">
        <v>-0.0603</v>
      </c>
      <c r="K107" s="17" t="n">
        <v>-0.0411</v>
      </c>
      <c r="L107" s="17" t="n">
        <v>0.005</v>
      </c>
    </row>
    <row r="108" customFormat="false" ht="30" hidden="false" customHeight="true" outlineLevel="0" collapsed="false">
      <c r="A108" s="2" t="s">
        <v>247</v>
      </c>
      <c r="B108" s="16" t="n">
        <v>-0.0343</v>
      </c>
      <c r="C108" s="16" t="n">
        <v>-0.015</v>
      </c>
      <c r="D108" s="16" t="n">
        <v>0.003</v>
      </c>
      <c r="E108" s="16" t="n">
        <v>0.004</v>
      </c>
      <c r="F108" s="16" t="n">
        <v>-0.004</v>
      </c>
      <c r="G108" s="16" t="n">
        <v>0.0023</v>
      </c>
      <c r="H108" s="16" t="n">
        <v>0.0078</v>
      </c>
      <c r="I108" s="16" t="n">
        <v>-0.0055</v>
      </c>
      <c r="J108" s="16" t="n">
        <v>0.0018</v>
      </c>
      <c r="K108" s="16" t="n">
        <v>0.0097</v>
      </c>
      <c r="L108" s="16" t="n">
        <v>0.0151</v>
      </c>
    </row>
    <row r="109" customFormat="false" ht="30" hidden="false" customHeight="true" outlineLevel="0" collapsed="false">
      <c r="A109" s="3" t="s">
        <v>248</v>
      </c>
      <c r="B109" s="17" t="n">
        <v>0.118</v>
      </c>
      <c r="C109" s="17" t="n">
        <v>0.1012</v>
      </c>
      <c r="D109" s="17" t="n">
        <v>0.0899</v>
      </c>
      <c r="E109" s="17" t="n">
        <v>0.0774</v>
      </c>
      <c r="F109" s="17" t="n">
        <v>0.0814</v>
      </c>
      <c r="G109" s="17" t="n">
        <v>0.0939</v>
      </c>
      <c r="H109" s="17" t="n">
        <v>0.0856</v>
      </c>
      <c r="I109" s="17" t="n">
        <v>0.0866</v>
      </c>
      <c r="J109" s="17" t="n">
        <v>0.0997</v>
      </c>
      <c r="K109" s="17" t="n">
        <v>0.108</v>
      </c>
      <c r="L109" s="17" t="n">
        <v>-0.0061</v>
      </c>
    </row>
    <row r="110" customFormat="false" ht="30" hidden="false" customHeight="true" outlineLevel="0" collapsed="false">
      <c r="A110" s="2" t="s">
        <v>249</v>
      </c>
      <c r="B110" s="16" t="n">
        <v>0.0624</v>
      </c>
      <c r="C110" s="16" t="n">
        <v>-0.0065</v>
      </c>
      <c r="D110" s="16" t="n">
        <v>0.0159</v>
      </c>
      <c r="E110" s="16" t="n">
        <v>0.0027</v>
      </c>
      <c r="F110" s="16" t="n">
        <v>0.0423</v>
      </c>
      <c r="G110" s="16" t="n">
        <v>0.0309</v>
      </c>
      <c r="H110" s="16" t="n">
        <v>0.0247</v>
      </c>
      <c r="I110" s="16" t="n">
        <v>0.0203</v>
      </c>
      <c r="J110" s="16" t="n">
        <v>0.0186</v>
      </c>
      <c r="K110" s="16" t="n">
        <v>0.0611</v>
      </c>
      <c r="L110" s="16" t="n">
        <v>0.0007</v>
      </c>
    </row>
    <row r="111" customFormat="false" ht="30" hidden="false" customHeight="true" outlineLevel="0" collapsed="false">
      <c r="A111" s="3" t="s">
        <v>250</v>
      </c>
      <c r="B111" s="17" t="n">
        <v>0.0486</v>
      </c>
      <c r="C111" s="17" t="n">
        <v>0.0448</v>
      </c>
      <c r="D111" s="17" t="n">
        <v>-0.0023</v>
      </c>
      <c r="E111" s="17" t="n">
        <v>-0.0015</v>
      </c>
      <c r="F111" s="17" t="n">
        <v>0.0168</v>
      </c>
      <c r="G111" s="17" t="n">
        <v>0.0186</v>
      </c>
      <c r="H111" s="17" t="n">
        <v>0.0508</v>
      </c>
      <c r="I111" s="17" t="n">
        <v>0.0331</v>
      </c>
      <c r="J111" s="17" t="n">
        <v>0.0505</v>
      </c>
      <c r="K111" s="17" t="n">
        <v>0.0568</v>
      </c>
      <c r="L111" s="17" t="n">
        <v>0.0253</v>
      </c>
    </row>
    <row r="112" customFormat="false" ht="30" hidden="false" customHeight="true" outlineLevel="0" collapsed="false">
      <c r="A112" s="2" t="s">
        <v>251</v>
      </c>
      <c r="B112" s="16" t="n">
        <v>-0.0166</v>
      </c>
      <c r="C112" s="16" t="n">
        <v>-0.0287</v>
      </c>
      <c r="D112" s="16" t="n">
        <v>-0.005</v>
      </c>
      <c r="E112" s="16" t="n">
        <v>-0.0151</v>
      </c>
      <c r="F112" s="16" t="n">
        <v>-0.0093</v>
      </c>
      <c r="G112" s="16" t="n">
        <v>0.0277</v>
      </c>
      <c r="H112" s="16" t="n">
        <v>0.0119</v>
      </c>
      <c r="I112" s="16" t="n">
        <v>0.0028</v>
      </c>
      <c r="J112" s="16" t="n">
        <v>0.0346</v>
      </c>
      <c r="K112" s="16" t="n">
        <v>0.0131</v>
      </c>
      <c r="L112" s="16" t="n">
        <v>0.0294</v>
      </c>
    </row>
    <row r="113" customFormat="false" ht="30" hidden="false" customHeight="true" outlineLevel="0" collapsed="false">
      <c r="A113" s="3" t="s">
        <v>252</v>
      </c>
      <c r="B113" s="17" t="n">
        <v>-0.0236</v>
      </c>
      <c r="C113" s="17" t="n">
        <v>0.0082</v>
      </c>
      <c r="D113" s="17" t="n">
        <v>-0.0085</v>
      </c>
      <c r="E113" s="17" t="n">
        <v>-0.0081</v>
      </c>
      <c r="F113" s="17" t="n">
        <v>-0.0122</v>
      </c>
      <c r="G113" s="17" t="n">
        <v>0.0114</v>
      </c>
      <c r="H113" s="17" t="n">
        <v>0.0129</v>
      </c>
      <c r="I113" s="17" t="n">
        <v>0.0022</v>
      </c>
      <c r="J113" s="17" t="n">
        <v>0.0269</v>
      </c>
      <c r="K113" s="17" t="n">
        <v>0.0126</v>
      </c>
      <c r="L113" s="17" t="n">
        <v>0.0279</v>
      </c>
    </row>
    <row r="114" customFormat="false" ht="30" hidden="false" customHeight="true" outlineLevel="0" collapsed="false">
      <c r="A114" s="2" t="s">
        <v>253</v>
      </c>
      <c r="B114" s="16" t="n">
        <v>-0.0255</v>
      </c>
      <c r="C114" s="16" t="n">
        <v>0.01</v>
      </c>
      <c r="D114" s="16" t="n">
        <v>-0.0147</v>
      </c>
      <c r="E114" s="16" t="n">
        <v>0.0175</v>
      </c>
      <c r="F114" s="16" t="n">
        <v>-0.0096</v>
      </c>
      <c r="G114" s="16" t="n">
        <v>0.0004</v>
      </c>
      <c r="H114" s="16" t="n">
        <v>0.0155</v>
      </c>
      <c r="I114" s="16" t="n">
        <v>0.0167</v>
      </c>
      <c r="J114" s="16" t="n">
        <v>0.0348</v>
      </c>
      <c r="K114" s="16" t="n">
        <v>0.0565</v>
      </c>
      <c r="L114" s="16" t="n">
        <v>0.0333</v>
      </c>
    </row>
    <row r="115" customFormat="false" ht="30" hidden="false" customHeight="true" outlineLevel="0" collapsed="false">
      <c r="A115" s="3" t="s">
        <v>254</v>
      </c>
      <c r="B115" s="17" t="n">
        <v>-0.06</v>
      </c>
      <c r="C115" s="17" t="n">
        <v>-0.0393</v>
      </c>
      <c r="D115" s="17" t="n">
        <v>-0.0311</v>
      </c>
      <c r="E115" s="17" t="n">
        <v>-0.0234</v>
      </c>
      <c r="F115" s="17" t="n">
        <v>-0.0164</v>
      </c>
      <c r="G115" s="17" t="n">
        <v>-0.0228</v>
      </c>
      <c r="H115" s="17" t="n">
        <v>-0.0235</v>
      </c>
      <c r="I115" s="17" t="n">
        <v>-0.028</v>
      </c>
      <c r="J115" s="17" t="n">
        <v>-0.0137</v>
      </c>
      <c r="K115" s="17" t="n">
        <v>0.0056</v>
      </c>
      <c r="L115" s="17" t="n">
        <v>0.019</v>
      </c>
    </row>
    <row r="116" customFormat="false" ht="30" hidden="false" customHeight="true" outlineLevel="0" collapsed="false">
      <c r="A116" s="2" t="s">
        <v>255</v>
      </c>
      <c r="B116" s="16" t="n">
        <v>-0.0475</v>
      </c>
      <c r="C116" s="16" t="n">
        <v>-0.0267</v>
      </c>
      <c r="D116" s="16" t="n">
        <v>-0.0329</v>
      </c>
      <c r="E116" s="16" t="n">
        <v>-0.011</v>
      </c>
      <c r="F116" s="16" t="n">
        <v>0.0067</v>
      </c>
      <c r="G116" s="16" t="n">
        <v>-0.0143</v>
      </c>
      <c r="H116" s="16" t="n">
        <v>-0.0129</v>
      </c>
      <c r="I116" s="16" t="n">
        <v>0.012</v>
      </c>
      <c r="J116" s="16" t="n">
        <v>0.0174</v>
      </c>
      <c r="K116" s="16" t="n">
        <v>0.0001</v>
      </c>
      <c r="L116" s="16" t="n">
        <v>0.0268</v>
      </c>
    </row>
    <row r="117" customFormat="false" ht="30" hidden="false" customHeight="true" outlineLevel="0" collapsed="false">
      <c r="A117" s="3" t="s">
        <v>256</v>
      </c>
      <c r="B117" s="17" t="n">
        <v>0.0438</v>
      </c>
      <c r="C117" s="17" t="n">
        <v>0.0927</v>
      </c>
      <c r="D117" s="17" t="n">
        <v>0.0747</v>
      </c>
      <c r="E117" s="17" t="n">
        <v>0.0651</v>
      </c>
      <c r="F117" s="17" t="n">
        <v>0.0567</v>
      </c>
      <c r="G117" s="17" t="n">
        <v>0.0713</v>
      </c>
      <c r="H117" s="17" t="n">
        <v>0.0237</v>
      </c>
      <c r="I117" s="17" t="n">
        <v>0.011</v>
      </c>
      <c r="J117" s="17" t="n">
        <v>0.0206</v>
      </c>
      <c r="K117" s="17" t="n">
        <v>-0.0154</v>
      </c>
      <c r="L117" s="17" t="n">
        <v>-0.0536</v>
      </c>
    </row>
    <row r="118" customFormat="false" ht="30" hidden="false" customHeight="true" outlineLevel="0" collapsed="false">
      <c r="A118" s="2" t="s">
        <v>257</v>
      </c>
      <c r="B118" s="16" t="n">
        <v>-0.0429</v>
      </c>
      <c r="C118" s="16" t="n">
        <v>-0.0317</v>
      </c>
      <c r="D118" s="16" t="n">
        <v>-0.0166</v>
      </c>
      <c r="E118" s="16" t="n">
        <v>-0.0104</v>
      </c>
      <c r="F118" s="16" t="n">
        <v>0.0165</v>
      </c>
      <c r="G118" s="16" t="n">
        <v>-0.0239</v>
      </c>
      <c r="H118" s="16" t="n">
        <v>-0.0242</v>
      </c>
      <c r="I118" s="16" t="n">
        <v>-0.0042</v>
      </c>
      <c r="J118" s="16" t="n">
        <v>-0.0016</v>
      </c>
      <c r="K118" s="16" t="n">
        <v>0.0052</v>
      </c>
      <c r="L118" s="16" t="n">
        <v>0.0182</v>
      </c>
    </row>
    <row r="119" customFormat="false" ht="30" hidden="false" customHeight="true" outlineLevel="0" collapsed="false">
      <c r="A119" s="3" t="s">
        <v>258</v>
      </c>
      <c r="B119" s="17" t="n">
        <v>-0.0333</v>
      </c>
      <c r="C119" s="17" t="n">
        <v>0.0015</v>
      </c>
      <c r="D119" s="17" t="n">
        <v>0.0125</v>
      </c>
      <c r="E119" s="17" t="n">
        <v>-0.0032</v>
      </c>
      <c r="F119" s="17" t="n">
        <v>0.0262</v>
      </c>
      <c r="G119" s="17" t="n">
        <v>0.0126</v>
      </c>
      <c r="H119" s="17" t="n">
        <v>0.0254</v>
      </c>
      <c r="I119" s="17" t="n">
        <v>0.0043</v>
      </c>
      <c r="J119" s="17" t="n">
        <v>-0.0008</v>
      </c>
      <c r="K119" s="17" t="n">
        <v>0.0171</v>
      </c>
      <c r="L119" s="17" t="n">
        <v>0.007</v>
      </c>
    </row>
    <row r="120" customFormat="false" ht="30" hidden="false" customHeight="true" outlineLevel="0" collapsed="false">
      <c r="A120" s="2" t="s">
        <v>259</v>
      </c>
      <c r="B120" s="16" t="n">
        <v>0.0931</v>
      </c>
      <c r="C120" s="16" t="n">
        <v>0.0858</v>
      </c>
      <c r="D120" s="16" t="n">
        <v>0.0965</v>
      </c>
      <c r="E120" s="16" t="n">
        <v>0.076</v>
      </c>
      <c r="F120" s="16" t="n">
        <v>0.0817</v>
      </c>
      <c r="G120" s="16" t="n">
        <v>0.0837</v>
      </c>
      <c r="H120" s="16" t="n">
        <v>0.0554</v>
      </c>
      <c r="I120" s="16" t="n">
        <v>0.0272</v>
      </c>
      <c r="J120" s="16" t="n">
        <v>0.0207</v>
      </c>
      <c r="K120" s="16" t="n">
        <v>0.0158</v>
      </c>
      <c r="L120" s="16" t="n">
        <v>-0.0508</v>
      </c>
    </row>
    <row r="121" customFormat="false" ht="30" hidden="false" customHeight="true" outlineLevel="0" collapsed="false">
      <c r="A121" s="3" t="s">
        <v>260</v>
      </c>
      <c r="B121" s="17" t="n">
        <v>-0.043</v>
      </c>
      <c r="C121" s="17" t="n">
        <v>-0.0319</v>
      </c>
      <c r="D121" s="17" t="n">
        <v>-0.0174</v>
      </c>
      <c r="E121" s="17" t="n">
        <v>-0.012</v>
      </c>
      <c r="F121" s="17" t="n">
        <v>-0.0101</v>
      </c>
      <c r="G121" s="17" t="n">
        <v>-0.0046</v>
      </c>
      <c r="H121" s="17" t="n">
        <v>0.0144</v>
      </c>
      <c r="I121" s="17" t="n">
        <v>0.0187</v>
      </c>
      <c r="J121" s="17" t="n">
        <v>0.0207</v>
      </c>
      <c r="K121" s="17" t="n">
        <v>0.0535</v>
      </c>
      <c r="L121" s="17" t="n">
        <v>0.0495</v>
      </c>
    </row>
    <row r="122" customFormat="false" ht="30" hidden="false" customHeight="true" outlineLevel="0" collapsed="false">
      <c r="A122" s="2" t="s">
        <v>261</v>
      </c>
      <c r="B122" s="16" t="n">
        <v>-0.1075</v>
      </c>
      <c r="C122" s="16" t="n">
        <v>-0.0763</v>
      </c>
      <c r="D122" s="16" t="n">
        <v>-0.0634</v>
      </c>
      <c r="E122" s="16" t="n">
        <v>-0.0533</v>
      </c>
      <c r="F122" s="16" t="n">
        <v>-0.0524</v>
      </c>
      <c r="G122" s="16" t="n">
        <v>-0.0434</v>
      </c>
      <c r="H122" s="16" t="n">
        <v>0.0136</v>
      </c>
      <c r="I122" s="16" t="n">
        <v>-0.0098</v>
      </c>
      <c r="J122" s="16" t="n">
        <v>-0.0116</v>
      </c>
      <c r="K122" s="16" t="n">
        <v>-0.0288</v>
      </c>
      <c r="L122" s="16" t="n">
        <v>0.0382</v>
      </c>
    </row>
    <row r="123" customFormat="false" ht="30" hidden="false" customHeight="true" outlineLevel="0" collapsed="false">
      <c r="A123" s="3" t="s">
        <v>262</v>
      </c>
      <c r="B123" s="17" t="n">
        <v>-0.0929</v>
      </c>
      <c r="C123" s="17" t="n">
        <v>-0.0883</v>
      </c>
      <c r="D123" s="17" t="n">
        <v>-0.0868</v>
      </c>
      <c r="E123" s="17" t="n">
        <v>-0.0423</v>
      </c>
      <c r="F123" s="17" t="n">
        <v>-0.0413</v>
      </c>
      <c r="G123" s="17" t="n">
        <v>-0.0469</v>
      </c>
      <c r="H123" s="17" t="n">
        <v>-0.0311</v>
      </c>
      <c r="I123" s="17" t="n">
        <v>-0.0357</v>
      </c>
      <c r="J123" s="17" t="n">
        <v>-0.0253</v>
      </c>
      <c r="K123" s="17" t="n">
        <v>-0.0512</v>
      </c>
      <c r="L123" s="17" t="n">
        <v>0.0218</v>
      </c>
    </row>
    <row r="124" customFormat="false" ht="30" hidden="false" customHeight="true" outlineLevel="0" collapsed="false">
      <c r="A124" s="2" t="s">
        <v>263</v>
      </c>
      <c r="B124" s="16" t="n">
        <v>-0.041</v>
      </c>
      <c r="C124" s="16" t="n">
        <v>-0.0304</v>
      </c>
      <c r="D124" s="16" t="n">
        <v>-0.0255</v>
      </c>
      <c r="E124" s="16" t="n">
        <v>-0.0386</v>
      </c>
      <c r="F124" s="16" t="n">
        <v>-0.0173</v>
      </c>
      <c r="G124" s="16" t="n">
        <v>-0.014</v>
      </c>
      <c r="H124" s="16" t="n">
        <v>-0.0275</v>
      </c>
      <c r="I124" s="16" t="n">
        <v>-0.0058</v>
      </c>
      <c r="J124" s="16" t="n">
        <v>-0.0023</v>
      </c>
      <c r="K124" s="16" t="n">
        <v>0.0179</v>
      </c>
      <c r="L124" s="16" t="n">
        <v>0.0355</v>
      </c>
    </row>
    <row r="125" customFormat="false" ht="30" hidden="false" customHeight="true" outlineLevel="0" collapsed="false">
      <c r="A125" s="3" t="s">
        <v>264</v>
      </c>
      <c r="B125" s="17" t="n">
        <v>-0.115</v>
      </c>
      <c r="C125" s="17" t="n">
        <v>-0.1299</v>
      </c>
      <c r="D125" s="17" t="n">
        <v>-0.0853</v>
      </c>
      <c r="E125" s="17" t="n">
        <v>-0.0852</v>
      </c>
      <c r="F125" s="17" t="n">
        <v>-0.067</v>
      </c>
      <c r="G125" s="17" t="n">
        <v>-0.0455</v>
      </c>
      <c r="H125" s="17" t="n">
        <v>-0.0362</v>
      </c>
      <c r="I125" s="17" t="n">
        <v>-0.0332</v>
      </c>
      <c r="J125" s="17" t="n">
        <v>-0.0462</v>
      </c>
      <c r="K125" s="17" t="n">
        <v>-0.0308</v>
      </c>
      <c r="L125" s="17" t="n">
        <v>0.0635</v>
      </c>
    </row>
    <row r="126" customFormat="false" ht="30" hidden="false" customHeight="true" outlineLevel="0" collapsed="false">
      <c r="A126" s="2" t="s">
        <v>265</v>
      </c>
      <c r="B126" s="16" t="n">
        <v>-0.1294</v>
      </c>
      <c r="C126" s="16" t="n">
        <v>-0.0924</v>
      </c>
      <c r="D126" s="16" t="n">
        <v>-0.0839</v>
      </c>
      <c r="E126" s="16" t="n">
        <v>-0.0695</v>
      </c>
      <c r="F126" s="16" t="n">
        <v>-0.049</v>
      </c>
      <c r="G126" s="16" t="n">
        <v>-0.0282</v>
      </c>
      <c r="H126" s="16" t="n">
        <v>-0.0205</v>
      </c>
      <c r="I126" s="16" t="n">
        <v>-0.0092</v>
      </c>
      <c r="J126" s="16" t="n">
        <v>-0.0131</v>
      </c>
      <c r="K126" s="16" t="n">
        <v>-0.0023</v>
      </c>
      <c r="L126" s="16" t="n">
        <v>0.0718</v>
      </c>
    </row>
    <row r="127" customFormat="false" ht="30" hidden="false" customHeight="true" outlineLevel="0" collapsed="false">
      <c r="A127" s="3" t="s">
        <v>266</v>
      </c>
      <c r="B127" s="17" t="n">
        <v>-0.0862</v>
      </c>
      <c r="C127" s="17" t="n">
        <v>-0.0551</v>
      </c>
      <c r="D127" s="17" t="n">
        <v>-0.0297</v>
      </c>
      <c r="E127" s="17" t="n">
        <v>-0.0153</v>
      </c>
      <c r="F127" s="17" t="n">
        <v>-0.0454</v>
      </c>
      <c r="G127" s="17" t="n">
        <v>-0.0341</v>
      </c>
      <c r="H127" s="17" t="n">
        <v>-0.0185</v>
      </c>
      <c r="I127" s="17" t="n">
        <v>-0.0014</v>
      </c>
      <c r="J127" s="17" t="n">
        <v>0.0006</v>
      </c>
      <c r="K127" s="17" t="n">
        <v>0.0073</v>
      </c>
      <c r="L127" s="17" t="n">
        <v>0.0431</v>
      </c>
    </row>
    <row r="128" customFormat="false" ht="30" hidden="false" customHeight="true" outlineLevel="0" collapsed="false">
      <c r="A128" s="2" t="s">
        <v>267</v>
      </c>
      <c r="B128" s="16" t="n">
        <v>0.2092</v>
      </c>
      <c r="C128" s="16" t="n">
        <v>0.1339</v>
      </c>
      <c r="D128" s="16" t="n">
        <v>0.1469</v>
      </c>
      <c r="E128" s="16" t="n">
        <v>0.1178</v>
      </c>
      <c r="F128" s="16" t="n">
        <v>0.1134</v>
      </c>
      <c r="G128" s="16" t="n">
        <v>0.1022</v>
      </c>
      <c r="H128" s="16" t="n">
        <v>0.0733</v>
      </c>
      <c r="I128" s="16" t="n">
        <v>0.0306</v>
      </c>
      <c r="J128" s="16" t="n">
        <v>0.0283</v>
      </c>
      <c r="K128" s="16" t="n">
        <v>0.0243</v>
      </c>
      <c r="L128" s="16" t="n">
        <v>-0.1166</v>
      </c>
    </row>
    <row r="129" customFormat="false" ht="30" hidden="false" customHeight="true" outlineLevel="0" collapsed="false">
      <c r="A129" s="3" t="s">
        <v>268</v>
      </c>
      <c r="B129" s="17" t="n">
        <v>-0.0712</v>
      </c>
      <c r="C129" s="17" t="n">
        <v>-0.0557</v>
      </c>
      <c r="D129" s="17" t="n">
        <v>-0.052</v>
      </c>
      <c r="E129" s="17" t="n">
        <v>-0.0417</v>
      </c>
      <c r="F129" s="17" t="n">
        <v>-0.0246</v>
      </c>
      <c r="G129" s="17" t="n">
        <v>-0.0314</v>
      </c>
      <c r="H129" s="17" t="n">
        <v>-0.0317</v>
      </c>
      <c r="I129" s="17" t="n">
        <v>-0.0208</v>
      </c>
      <c r="J129" s="17" t="n">
        <v>-0.0408</v>
      </c>
      <c r="K129" s="17" t="n">
        <v>-0.0287</v>
      </c>
      <c r="L129" s="17" t="n">
        <v>0.0359</v>
      </c>
    </row>
    <row r="130" customFormat="false" ht="30" hidden="false" customHeight="true" outlineLevel="0" collapsed="false">
      <c r="A130" s="2" t="s">
        <v>269</v>
      </c>
      <c r="B130" s="16" t="n">
        <v>0.108</v>
      </c>
      <c r="C130" s="16" t="n">
        <v>0.1293</v>
      </c>
      <c r="D130" s="16" t="n">
        <v>0.1502</v>
      </c>
      <c r="E130" s="16" t="n">
        <v>0.113</v>
      </c>
      <c r="F130" s="16" t="n">
        <v>0.1031</v>
      </c>
      <c r="G130" s="16" t="n">
        <v>0.1214</v>
      </c>
      <c r="H130" s="16" t="n">
        <v>0.0644</v>
      </c>
      <c r="I130" s="16" t="n">
        <v>-0.0096</v>
      </c>
      <c r="J130" s="16" t="n">
        <v>0.0377</v>
      </c>
      <c r="K130" s="16" t="n">
        <v>0.0528</v>
      </c>
      <c r="L130" s="16" t="n">
        <v>-0.0698</v>
      </c>
    </row>
    <row r="131" customFormat="false" ht="30" hidden="false" customHeight="true" outlineLevel="0" collapsed="false">
      <c r="A131" s="3" t="s">
        <v>270</v>
      </c>
      <c r="B131" s="17" t="n">
        <v>-0.0567</v>
      </c>
      <c r="C131" s="17" t="n">
        <v>-0.0552</v>
      </c>
      <c r="D131" s="17" t="n">
        <v>-0.0382</v>
      </c>
      <c r="E131" s="17" t="n">
        <v>-0.0191</v>
      </c>
      <c r="F131" s="17" t="n">
        <v>-0.0292</v>
      </c>
      <c r="G131" s="17" t="n">
        <v>-0.0426</v>
      </c>
      <c r="H131" s="17" t="n">
        <v>0.0091</v>
      </c>
      <c r="I131" s="17" t="n">
        <v>0.0026</v>
      </c>
      <c r="J131" s="17" t="n">
        <v>-0.0099</v>
      </c>
      <c r="K131" s="17" t="n">
        <v>0.0406</v>
      </c>
      <c r="L131" s="17" t="n">
        <v>0.0678</v>
      </c>
    </row>
    <row r="132" customFormat="false" ht="30" hidden="false" customHeight="true" outlineLevel="0" collapsed="false">
      <c r="A132" s="2" t="s">
        <v>271</v>
      </c>
      <c r="B132" s="16" t="n">
        <v>-0.2326</v>
      </c>
      <c r="C132" s="16" t="n">
        <v>-0.2237</v>
      </c>
      <c r="D132" s="16" t="n">
        <v>-0.1989</v>
      </c>
      <c r="E132" s="16" t="n">
        <v>-0.1799</v>
      </c>
      <c r="F132" s="16" t="n">
        <v>-0.1145</v>
      </c>
      <c r="G132" s="16" t="n">
        <v>-0.1379</v>
      </c>
      <c r="H132" s="16" t="n">
        <v>-0.0956</v>
      </c>
      <c r="I132" s="16" t="n">
        <v>-0.1106</v>
      </c>
      <c r="J132" s="16" t="n">
        <v>-0.0922</v>
      </c>
      <c r="K132" s="16" t="n">
        <v>-0.0927</v>
      </c>
      <c r="L132" s="16" t="n">
        <v>0.0878</v>
      </c>
    </row>
    <row r="133" customFormat="false" ht="30" hidden="false" customHeight="true" outlineLevel="0" collapsed="false">
      <c r="A133" s="3" t="s">
        <v>272</v>
      </c>
      <c r="B133" s="17" t="n">
        <v>-0.0599</v>
      </c>
      <c r="C133" s="17" t="n">
        <v>-0.0438</v>
      </c>
      <c r="D133" s="17" t="n">
        <v>-0.0577</v>
      </c>
      <c r="E133" s="17" t="n">
        <v>-0.0305</v>
      </c>
      <c r="F133" s="17" t="n">
        <v>0.0028</v>
      </c>
      <c r="G133" s="17" t="n">
        <v>0.014</v>
      </c>
      <c r="H133" s="17" t="n">
        <v>-0.0186</v>
      </c>
      <c r="I133" s="17" t="n">
        <v>0.0137</v>
      </c>
      <c r="J133" s="17" t="n">
        <v>0.0344</v>
      </c>
      <c r="K133" s="17" t="n">
        <v>0.0744</v>
      </c>
      <c r="L133" s="17" t="n">
        <v>0.1016</v>
      </c>
    </row>
    <row r="134" customFormat="false" ht="30" hidden="false" customHeight="true" outlineLevel="0" collapsed="false">
      <c r="A134" s="2" t="s">
        <v>273</v>
      </c>
      <c r="B134" s="16" t="n">
        <v>0.1265</v>
      </c>
      <c r="C134" s="16" t="n">
        <v>0.0795</v>
      </c>
      <c r="D134" s="16" t="n">
        <v>0.0903</v>
      </c>
      <c r="E134" s="16" t="n">
        <v>0.0621</v>
      </c>
      <c r="F134" s="16" t="n">
        <v>0.0454</v>
      </c>
      <c r="G134" s="16" t="n">
        <v>0.0399</v>
      </c>
      <c r="H134" s="16" t="n">
        <v>-0.0034</v>
      </c>
      <c r="I134" s="16" t="n">
        <v>0.0003</v>
      </c>
      <c r="J134" s="16" t="n">
        <v>-0.0019</v>
      </c>
      <c r="K134" s="16" t="n">
        <v>-0.0609</v>
      </c>
      <c r="L134" s="16" t="n">
        <v>-0.0891</v>
      </c>
    </row>
    <row r="135" customFormat="false" ht="30" hidden="false" customHeight="true" outlineLevel="0" collapsed="false">
      <c r="A135" s="3" t="s">
        <v>274</v>
      </c>
      <c r="B135" s="17" t="n">
        <v>-0.0233</v>
      </c>
      <c r="C135" s="17" t="n">
        <v>-0.002</v>
      </c>
      <c r="D135" s="17" t="n">
        <v>0.017</v>
      </c>
      <c r="E135" s="17" t="n">
        <v>0.0033</v>
      </c>
      <c r="F135" s="17" t="n">
        <v>-0.0059</v>
      </c>
      <c r="G135" s="17" t="n">
        <v>-0.0161</v>
      </c>
      <c r="H135" s="17" t="n">
        <v>-0.0082</v>
      </c>
      <c r="I135" s="17" t="n">
        <v>0.0012</v>
      </c>
      <c r="J135" s="17" t="n">
        <v>0.004</v>
      </c>
      <c r="K135" s="17" t="n">
        <v>0.0179</v>
      </c>
      <c r="L135" s="17" t="n">
        <v>0.0037</v>
      </c>
    </row>
    <row r="136" customFormat="false" ht="30" hidden="false" customHeight="true" outlineLevel="0" collapsed="false">
      <c r="A136" s="2" t="s">
        <v>275</v>
      </c>
      <c r="B136" s="16" t="n">
        <v>0.0063</v>
      </c>
      <c r="C136" s="16" t="n">
        <v>-0.0198</v>
      </c>
      <c r="D136" s="16" t="n">
        <v>-0.041</v>
      </c>
      <c r="E136" s="16" t="n">
        <v>-0.0127</v>
      </c>
      <c r="F136" s="16" t="n">
        <v>-0.0086</v>
      </c>
      <c r="G136" s="16" t="n">
        <v>-0.006</v>
      </c>
      <c r="H136" s="16" t="n">
        <v>-0.0227</v>
      </c>
      <c r="I136" s="16" t="n">
        <v>-0.0256</v>
      </c>
      <c r="J136" s="16" t="n">
        <v>-0.0329</v>
      </c>
      <c r="K136" s="16" t="n">
        <v>-0.0464</v>
      </c>
      <c r="L136" s="16" t="n">
        <v>-0.01</v>
      </c>
    </row>
    <row r="137" customFormat="false" ht="30" hidden="false" customHeight="true" outlineLevel="0" collapsed="false">
      <c r="A137" s="3" t="s">
        <v>276</v>
      </c>
      <c r="B137" s="17" t="n">
        <v>-0.1029</v>
      </c>
      <c r="C137" s="17" t="n">
        <v>-0.0791</v>
      </c>
      <c r="D137" s="17" t="n">
        <v>-0.045</v>
      </c>
      <c r="E137" s="17" t="n">
        <v>-0.0357</v>
      </c>
      <c r="F137" s="17" t="n">
        <v>-0.0364</v>
      </c>
      <c r="G137" s="17" t="n">
        <v>-0.0401</v>
      </c>
      <c r="H137" s="17" t="n">
        <v>-0.0497</v>
      </c>
      <c r="I137" s="17" t="n">
        <v>-0.0368</v>
      </c>
      <c r="J137" s="17" t="n">
        <v>-0.0476</v>
      </c>
      <c r="K137" s="17" t="n">
        <v>-0.0412</v>
      </c>
      <c r="L137" s="17" t="n">
        <v>0.0206</v>
      </c>
    </row>
    <row r="138" customFormat="false" ht="30" hidden="false" customHeight="true" outlineLevel="0" collapsed="false">
      <c r="A138" s="2" t="s">
        <v>277</v>
      </c>
      <c r="B138" s="16" t="n">
        <v>-0.0813</v>
      </c>
      <c r="C138" s="16" t="n">
        <v>-0.0522</v>
      </c>
      <c r="D138" s="16" t="n">
        <v>-0.0363</v>
      </c>
      <c r="E138" s="16" t="n">
        <v>0.0153</v>
      </c>
      <c r="F138" s="16" t="n">
        <v>-0.0191</v>
      </c>
      <c r="G138" s="16" t="n">
        <v>-0.0277</v>
      </c>
      <c r="H138" s="16" t="n">
        <v>-0.0363</v>
      </c>
      <c r="I138" s="16" t="n">
        <v>-0.0538</v>
      </c>
      <c r="J138" s="16" t="n">
        <v>-0.0525</v>
      </c>
      <c r="K138" s="16" t="n">
        <v>-0.0917</v>
      </c>
      <c r="L138" s="16" t="n">
        <v>-0.0029</v>
      </c>
    </row>
    <row r="139" customFormat="false" ht="30" hidden="false" customHeight="true" outlineLevel="0" collapsed="false">
      <c r="A139" s="3" t="s">
        <v>278</v>
      </c>
      <c r="B139" s="17" t="n">
        <v>-0.0523</v>
      </c>
      <c r="C139" s="17" t="n">
        <v>-0.0612</v>
      </c>
      <c r="D139" s="17" t="n">
        <v>-0.0175</v>
      </c>
      <c r="E139" s="17" t="n">
        <v>-0.0277</v>
      </c>
      <c r="F139" s="17" t="n">
        <v>-0.0154</v>
      </c>
      <c r="G139" s="17" t="n">
        <v>-0.0111</v>
      </c>
      <c r="H139" s="17" t="n">
        <v>-0.0253</v>
      </c>
      <c r="I139" s="17" t="n">
        <v>-0.0171</v>
      </c>
      <c r="J139" s="17" t="n">
        <v>-0.0178</v>
      </c>
      <c r="K139" s="17" t="n">
        <v>-0.013</v>
      </c>
      <c r="L139" s="17" t="n">
        <v>0.0232</v>
      </c>
    </row>
    <row r="140" customFormat="false" ht="30" hidden="false" customHeight="true" outlineLevel="0" collapsed="false">
      <c r="A140" s="2" t="s">
        <v>279</v>
      </c>
      <c r="B140" s="16" t="n">
        <v>-0.108</v>
      </c>
      <c r="C140" s="16" t="n">
        <v>-0.0627</v>
      </c>
      <c r="D140" s="16" t="n">
        <v>-0.1052</v>
      </c>
      <c r="E140" s="16" t="n">
        <v>-0.0744</v>
      </c>
      <c r="F140" s="16" t="n">
        <v>-0.0773</v>
      </c>
      <c r="G140" s="16" t="n">
        <v>-0.09</v>
      </c>
      <c r="H140" s="16" t="n">
        <v>-0.081</v>
      </c>
      <c r="I140" s="16" t="n">
        <v>-0.0572</v>
      </c>
      <c r="J140" s="16" t="n">
        <v>-0.0486</v>
      </c>
      <c r="K140" s="16" t="n">
        <v>-0.0363</v>
      </c>
      <c r="L140" s="16" t="n">
        <v>0.03</v>
      </c>
    </row>
    <row r="141" customFormat="false" ht="30" hidden="false" customHeight="true" outlineLevel="0" collapsed="false">
      <c r="A141" s="3" t="s">
        <v>280</v>
      </c>
      <c r="B141" s="17" t="n">
        <v>-0.1194</v>
      </c>
      <c r="C141" s="17" t="n">
        <v>-0.0919</v>
      </c>
      <c r="D141" s="17" t="n">
        <v>-0.1045</v>
      </c>
      <c r="E141" s="17" t="n">
        <v>-0.0799</v>
      </c>
      <c r="F141" s="17" t="n">
        <v>-0.0922</v>
      </c>
      <c r="G141" s="17" t="n">
        <v>-0.1114</v>
      </c>
      <c r="H141" s="17" t="n">
        <v>-0.081</v>
      </c>
      <c r="I141" s="17" t="n">
        <v>-0.0735</v>
      </c>
      <c r="J141" s="17" t="n">
        <v>-0.0777</v>
      </c>
      <c r="K141" s="17" t="n">
        <v>-0.0887</v>
      </c>
      <c r="L141" s="17" t="n">
        <v>0.0303</v>
      </c>
    </row>
    <row r="142" customFormat="false" ht="30" hidden="false" customHeight="true" outlineLevel="0" collapsed="false">
      <c r="A142" s="2" t="s">
        <v>281</v>
      </c>
      <c r="B142" s="16" t="n">
        <v>-0.141</v>
      </c>
      <c r="C142" s="16" t="n">
        <v>-0.1175</v>
      </c>
      <c r="D142" s="16" t="n">
        <v>-0.1324</v>
      </c>
      <c r="E142" s="16" t="n">
        <v>-0.1337</v>
      </c>
      <c r="F142" s="16" t="n">
        <v>-0.1311</v>
      </c>
      <c r="G142" s="16" t="n">
        <v>-0.1187</v>
      </c>
      <c r="H142" s="16" t="n">
        <v>-0.1137</v>
      </c>
      <c r="I142" s="16" t="n">
        <v>-0.0587</v>
      </c>
      <c r="J142" s="16" t="n">
        <v>-0.0932</v>
      </c>
      <c r="K142" s="16" t="n">
        <v>-0.0913</v>
      </c>
      <c r="L142" s="16" t="n">
        <v>0.0424</v>
      </c>
    </row>
    <row r="143" customFormat="false" ht="30" hidden="false" customHeight="true" outlineLevel="0" collapsed="false">
      <c r="A143" s="3" t="s">
        <v>282</v>
      </c>
      <c r="B143" s="17" t="n">
        <v>0.1463</v>
      </c>
      <c r="C143" s="17" t="n">
        <v>0.1984</v>
      </c>
      <c r="D143" s="17" t="n">
        <v>0.1923</v>
      </c>
      <c r="E143" s="17" t="n">
        <v>0.2025</v>
      </c>
      <c r="F143" s="17" t="n">
        <v>0.1356</v>
      </c>
      <c r="G143" s="17" t="n">
        <v>0.099</v>
      </c>
      <c r="H143" s="17" t="n">
        <v>0.1724</v>
      </c>
      <c r="I143" s="17" t="n">
        <v>0.1985</v>
      </c>
      <c r="J143" s="17" t="n">
        <v>0.1433</v>
      </c>
      <c r="K143" s="17" t="n">
        <v>0.2034</v>
      </c>
      <c r="L143" s="17" t="n">
        <v>-0.0052</v>
      </c>
    </row>
    <row r="144" customFormat="false" ht="30" hidden="false" customHeight="true" outlineLevel="0" collapsed="false">
      <c r="A144" s="2" t="s">
        <v>283</v>
      </c>
      <c r="B144" s="16" t="n">
        <v>-0.0299</v>
      </c>
      <c r="C144" s="16" t="n">
        <v>-0.0565</v>
      </c>
      <c r="D144" s="16" t="n">
        <v>-0.043</v>
      </c>
      <c r="E144" s="16" t="n">
        <v>-0.0413</v>
      </c>
      <c r="F144" s="16" t="n">
        <v>-0.0538</v>
      </c>
      <c r="G144" s="16" t="n">
        <v>-0.0359</v>
      </c>
      <c r="H144" s="16" t="n">
        <v>-0.047</v>
      </c>
      <c r="I144" s="16" t="n">
        <v>-0.0329</v>
      </c>
      <c r="J144" s="16" t="n">
        <v>-0.0123</v>
      </c>
      <c r="K144" s="16" t="n">
        <v>-0.037</v>
      </c>
      <c r="L144" s="16" t="n">
        <v>0.022</v>
      </c>
    </row>
    <row r="145" customFormat="false" ht="30" hidden="false" customHeight="true" outlineLevel="0" collapsed="false">
      <c r="A145" s="3" t="s">
        <v>284</v>
      </c>
      <c r="B145" s="17" t="n">
        <v>-0.0499</v>
      </c>
      <c r="C145" s="17" t="n">
        <v>-0.0683</v>
      </c>
      <c r="D145" s="17" t="n">
        <v>-0.0423</v>
      </c>
      <c r="E145" s="17" t="n">
        <v>-0.0346</v>
      </c>
      <c r="F145" s="17" t="n">
        <v>-0.0381</v>
      </c>
      <c r="G145" s="17" t="n">
        <v>-0.0145</v>
      </c>
      <c r="H145" s="17" t="n">
        <v>-0.0073</v>
      </c>
      <c r="I145" s="17" t="n">
        <v>-0.021</v>
      </c>
      <c r="J145" s="17" t="n">
        <v>0.0089</v>
      </c>
      <c r="K145" s="17" t="n">
        <v>-0.0337</v>
      </c>
      <c r="L145" s="17" t="n">
        <v>0.0298</v>
      </c>
    </row>
    <row r="146" customFormat="false" ht="30" hidden="false" customHeight="true" outlineLevel="0" collapsed="false">
      <c r="A146" s="2" t="s">
        <v>285</v>
      </c>
      <c r="B146" s="16" t="n">
        <v>0.3116</v>
      </c>
      <c r="C146" s="16" t="n">
        <v>0.237</v>
      </c>
      <c r="D146" s="16" t="n">
        <v>0.1996</v>
      </c>
      <c r="E146" s="16" t="n">
        <v>0.1317</v>
      </c>
      <c r="F146" s="16" t="n">
        <v>0.1363</v>
      </c>
      <c r="G146" s="16" t="n">
        <v>0.128</v>
      </c>
      <c r="H146" s="16" t="n">
        <v>0.0763</v>
      </c>
      <c r="I146" s="16" t="n">
        <v>0.0956</v>
      </c>
      <c r="J146" s="16" t="n">
        <v>0.1308</v>
      </c>
      <c r="K146" s="16" t="n">
        <v>0.1143</v>
      </c>
      <c r="L146" s="16" t="n">
        <v>-0.1379</v>
      </c>
    </row>
    <row r="147" customFormat="false" ht="30" hidden="false" customHeight="true" outlineLevel="0" collapsed="false">
      <c r="A147" s="3" t="s">
        <v>286</v>
      </c>
      <c r="B147" s="17" t="n">
        <v>0.068</v>
      </c>
      <c r="C147" s="17" t="n">
        <v>0.0655</v>
      </c>
      <c r="D147" s="17" t="n">
        <v>0.053</v>
      </c>
      <c r="E147" s="17" t="n">
        <v>0.0902</v>
      </c>
      <c r="F147" s="17" t="n">
        <v>0.0503</v>
      </c>
      <c r="G147" s="17" t="n">
        <v>0.087</v>
      </c>
      <c r="H147" s="17" t="n">
        <v>0.0424</v>
      </c>
      <c r="I147" s="17" t="n">
        <v>0.0636</v>
      </c>
      <c r="J147" s="17" t="n">
        <v>0.0493</v>
      </c>
      <c r="K147" s="17" t="n">
        <v>0.0397</v>
      </c>
      <c r="L147" s="17" t="n">
        <v>-0.0058</v>
      </c>
    </row>
    <row r="148" customFormat="false" ht="30" hidden="false" customHeight="true" outlineLevel="0" collapsed="false">
      <c r="A148" s="2" t="s">
        <v>287</v>
      </c>
      <c r="B148" s="16" t="n">
        <v>0.0818</v>
      </c>
      <c r="C148" s="16" t="n">
        <v>0.033</v>
      </c>
      <c r="D148" s="16" t="n">
        <v>0.051</v>
      </c>
      <c r="E148" s="16" t="n">
        <v>0.0297</v>
      </c>
      <c r="F148" s="16" t="n">
        <v>0.0132</v>
      </c>
      <c r="G148" s="16" t="n">
        <v>0.0334</v>
      </c>
      <c r="H148" s="16" t="n">
        <v>0.013</v>
      </c>
      <c r="I148" s="16" t="n">
        <v>0.0033</v>
      </c>
      <c r="J148" s="16" t="n">
        <v>0.0409</v>
      </c>
      <c r="K148" s="16" t="n">
        <v>0.071</v>
      </c>
      <c r="L148" s="16" t="n">
        <v>-0.0207</v>
      </c>
    </row>
    <row r="149" customFormat="false" ht="30" hidden="false" customHeight="true" outlineLevel="0" collapsed="false">
      <c r="A149" s="3" t="s">
        <v>288</v>
      </c>
      <c r="B149" s="17" t="n">
        <v>0.045</v>
      </c>
      <c r="C149" s="17" t="n">
        <v>0.071</v>
      </c>
      <c r="D149" s="17" t="n">
        <v>0.0389</v>
      </c>
      <c r="E149" s="17" t="n">
        <v>0.0682</v>
      </c>
      <c r="F149" s="17" t="n">
        <v>0.0606</v>
      </c>
      <c r="G149" s="17" t="n">
        <v>0.0331</v>
      </c>
      <c r="H149" s="17" t="n">
        <v>0.0287</v>
      </c>
      <c r="I149" s="17" t="n">
        <v>0.0403</v>
      </c>
      <c r="J149" s="17" t="n">
        <v>0.0305</v>
      </c>
      <c r="K149" s="17" t="n">
        <v>0.0764</v>
      </c>
      <c r="L149" s="17" t="n">
        <v>0.0152</v>
      </c>
    </row>
    <row r="150" customFormat="false" ht="30" hidden="false" customHeight="true" outlineLevel="0" collapsed="false">
      <c r="A150" s="2" t="s">
        <v>289</v>
      </c>
      <c r="B150" s="16" t="n">
        <v>0.0506</v>
      </c>
      <c r="C150" s="16" t="n">
        <v>0.0791</v>
      </c>
      <c r="D150" s="16" t="n">
        <v>0.057</v>
      </c>
      <c r="E150" s="16" t="n">
        <v>0.0541</v>
      </c>
      <c r="F150" s="16" t="n">
        <v>0.0493</v>
      </c>
      <c r="G150" s="16" t="n">
        <v>0.0729</v>
      </c>
      <c r="H150" s="16" t="n">
        <v>0.0674</v>
      </c>
      <c r="I150" s="16" t="n">
        <v>0.0389</v>
      </c>
      <c r="J150" s="16" t="n">
        <v>0.0527</v>
      </c>
      <c r="K150" s="16" t="n">
        <v>0.0493</v>
      </c>
      <c r="L150" s="16" t="n">
        <v>-0.0058</v>
      </c>
    </row>
    <row r="151" customFormat="false" ht="30" hidden="false" customHeight="true" outlineLevel="0" collapsed="false">
      <c r="A151" s="3" t="s">
        <v>290</v>
      </c>
      <c r="B151" s="17" t="n">
        <v>0.0646</v>
      </c>
      <c r="C151" s="17" t="n">
        <v>0.0416</v>
      </c>
      <c r="D151" s="17" t="n">
        <v>0.0605</v>
      </c>
      <c r="E151" s="17" t="n">
        <v>0.0307</v>
      </c>
      <c r="F151" s="17" t="n">
        <v>0.0587</v>
      </c>
      <c r="G151" s="17" t="n">
        <v>0.0557</v>
      </c>
      <c r="H151" s="17" t="n">
        <v>0.06</v>
      </c>
      <c r="I151" s="17" t="n">
        <v>0.0644</v>
      </c>
      <c r="J151" s="17" t="n">
        <v>0.0572</v>
      </c>
      <c r="K151" s="17" t="n">
        <v>0.0563</v>
      </c>
      <c r="L151" s="17" t="n">
        <v>-0.0005</v>
      </c>
    </row>
    <row r="152" customFormat="false" ht="30" hidden="false" customHeight="true" outlineLevel="0" collapsed="false">
      <c r="A152" s="2" t="s">
        <v>291</v>
      </c>
      <c r="B152" s="16" t="n">
        <v>-0.0801</v>
      </c>
      <c r="C152" s="16" t="n">
        <v>-0.0857</v>
      </c>
      <c r="D152" s="16" t="n">
        <v>-0.0615</v>
      </c>
      <c r="E152" s="16" t="n">
        <v>-0.0506</v>
      </c>
      <c r="F152" s="16" t="n">
        <v>-0.0518</v>
      </c>
      <c r="G152" s="16" t="n">
        <v>-0.0671</v>
      </c>
      <c r="H152" s="16" t="n">
        <v>-0.0641</v>
      </c>
      <c r="I152" s="16" t="n">
        <v>-0.0515</v>
      </c>
      <c r="J152" s="16" t="n">
        <v>-0.058</v>
      </c>
      <c r="K152" s="16" t="n">
        <v>-0.0405</v>
      </c>
      <c r="L152" s="16" t="n">
        <v>0.0035</v>
      </c>
    </row>
    <row r="153" customFormat="false" ht="30" hidden="false" customHeight="true" outlineLevel="0" collapsed="false">
      <c r="A153" s="3" t="s">
        <v>292</v>
      </c>
      <c r="B153" s="17" t="n">
        <v>-0.0449</v>
      </c>
      <c r="C153" s="17" t="n">
        <v>-0.0265</v>
      </c>
      <c r="D153" s="17" t="n">
        <v>-0.0168</v>
      </c>
      <c r="E153" s="17" t="n">
        <v>-0.0163</v>
      </c>
      <c r="F153" s="17" t="n">
        <v>-0.0223</v>
      </c>
      <c r="G153" s="17" t="n">
        <v>-0.0327</v>
      </c>
      <c r="H153" s="17" t="n">
        <v>-0.0083</v>
      </c>
      <c r="I153" s="17" t="n">
        <v>-0.029</v>
      </c>
      <c r="J153" s="17" t="n">
        <v>-0.0299</v>
      </c>
      <c r="K153" s="17" t="n">
        <v>-0.0254</v>
      </c>
      <c r="L153" s="17" t="n">
        <v>-0.0016</v>
      </c>
    </row>
    <row r="154" customFormat="false" ht="30" hidden="false" customHeight="true" outlineLevel="0" collapsed="false">
      <c r="A154" s="2" t="s">
        <v>293</v>
      </c>
      <c r="B154" s="16" t="n">
        <v>-0.0365</v>
      </c>
      <c r="C154" s="16" t="n">
        <v>-0.0679</v>
      </c>
      <c r="D154" s="16" t="n">
        <v>-0.0347</v>
      </c>
      <c r="E154" s="16" t="n">
        <v>-0.0319</v>
      </c>
      <c r="F154" s="16" t="n">
        <v>-0.0199</v>
      </c>
      <c r="G154" s="16" t="n">
        <v>-0.0259</v>
      </c>
      <c r="H154" s="16" t="n">
        <v>-0.0425</v>
      </c>
      <c r="I154" s="16" t="n">
        <v>-0.0467</v>
      </c>
      <c r="J154" s="16" t="n">
        <v>-0.0476</v>
      </c>
      <c r="K154" s="16" t="n">
        <v>-0.0179</v>
      </c>
      <c r="L154" s="16" t="n">
        <v>0.004</v>
      </c>
    </row>
    <row r="155" customFormat="false" ht="30" hidden="false" customHeight="true" outlineLevel="0" collapsed="false">
      <c r="A155" s="3" t="s">
        <v>294</v>
      </c>
      <c r="B155" s="17" t="n">
        <v>0.0227</v>
      </c>
      <c r="C155" s="17" t="n">
        <v>0.0852</v>
      </c>
      <c r="D155" s="17" t="n">
        <v>0.0717</v>
      </c>
      <c r="E155" s="17" t="n">
        <v>0.0463</v>
      </c>
      <c r="F155" s="17" t="n">
        <v>0.0604</v>
      </c>
      <c r="G155" s="17" t="n">
        <v>0.0746</v>
      </c>
      <c r="H155" s="17" t="n">
        <v>0.0434</v>
      </c>
      <c r="I155" s="17" t="n">
        <v>0.0568</v>
      </c>
      <c r="J155" s="17" t="n">
        <v>0.0616</v>
      </c>
      <c r="K155" s="17" t="n">
        <v>0.0318</v>
      </c>
      <c r="L155" s="17" t="n">
        <v>-0.0022</v>
      </c>
    </row>
    <row r="156" customFormat="false" ht="30" hidden="false" customHeight="true" outlineLevel="0" collapsed="false">
      <c r="A156" s="2" t="s">
        <v>295</v>
      </c>
      <c r="B156" s="16" t="n">
        <v>0.0328</v>
      </c>
      <c r="C156" s="16" t="n">
        <v>0.0582</v>
      </c>
      <c r="D156" s="16" t="n">
        <v>0.0334</v>
      </c>
      <c r="E156" s="16" t="n">
        <v>0.0331</v>
      </c>
      <c r="F156" s="16" t="n">
        <v>0.0174</v>
      </c>
      <c r="G156" s="16" t="n">
        <v>0.0314</v>
      </c>
      <c r="H156" s="16" t="n">
        <v>0.0217</v>
      </c>
      <c r="I156" s="16" t="n">
        <v>0.0224</v>
      </c>
      <c r="J156" s="16" t="n">
        <v>0.0309</v>
      </c>
      <c r="K156" s="16" t="n">
        <v>0.0158</v>
      </c>
      <c r="L156" s="16" t="n">
        <v>-0.005</v>
      </c>
    </row>
    <row r="157" customFormat="false" ht="30" hidden="false" customHeight="true" outlineLevel="0" collapsed="false">
      <c r="A157" s="3" t="s">
        <v>296</v>
      </c>
      <c r="B157" s="17" t="n">
        <v>-0.013</v>
      </c>
      <c r="C157" s="17" t="n">
        <v>-0.024</v>
      </c>
      <c r="D157" s="17" t="n">
        <v>-0.021</v>
      </c>
      <c r="E157" s="17" t="n">
        <v>-0.0041</v>
      </c>
      <c r="F157" s="17" t="n">
        <v>-0.0221</v>
      </c>
      <c r="G157" s="17" t="n">
        <v>-0.0152</v>
      </c>
      <c r="H157" s="17" t="n">
        <v>0.0027</v>
      </c>
      <c r="I157" s="17" t="n">
        <v>-0.0128</v>
      </c>
      <c r="J157" s="17" t="n">
        <v>-0.0029</v>
      </c>
      <c r="K157" s="17" t="n">
        <v>-0.0126</v>
      </c>
      <c r="L157" s="17" t="n">
        <v>-0.001</v>
      </c>
    </row>
    <row r="158" customFormat="false" ht="30" hidden="false" customHeight="true" outlineLevel="0" collapsed="false">
      <c r="A158" s="2" t="s">
        <v>297</v>
      </c>
      <c r="B158" s="16" t="n">
        <v>0.0988</v>
      </c>
      <c r="C158" s="16" t="n">
        <v>0.0984</v>
      </c>
      <c r="D158" s="16" t="n">
        <v>0.1135</v>
      </c>
      <c r="E158" s="16" t="n">
        <v>0.1367</v>
      </c>
      <c r="F158" s="16" t="n">
        <v>0.1274</v>
      </c>
      <c r="G158" s="16" t="n">
        <v>0.1316</v>
      </c>
      <c r="H158" s="16" t="n">
        <v>0.1366</v>
      </c>
      <c r="I158" s="16" t="n">
        <v>0.1412</v>
      </c>
      <c r="J158" s="16" t="n">
        <v>0.1386</v>
      </c>
      <c r="K158" s="16" t="n">
        <v>0.1899</v>
      </c>
      <c r="L158" s="16" t="n">
        <v>0.0439</v>
      </c>
    </row>
    <row r="159" customFormat="false" ht="30" hidden="false" customHeight="true" outlineLevel="0" collapsed="false">
      <c r="A159" s="3" t="s">
        <v>298</v>
      </c>
      <c r="B159" s="17" t="n">
        <v>0.0245</v>
      </c>
      <c r="C159" s="17" t="n">
        <v>0.0091</v>
      </c>
      <c r="D159" s="17" t="n">
        <v>0.0116</v>
      </c>
      <c r="E159" s="17" t="n">
        <v>0.006</v>
      </c>
      <c r="F159" s="17" t="n">
        <v>0.0067</v>
      </c>
      <c r="G159" s="17" t="n">
        <v>-0.0141</v>
      </c>
      <c r="H159" s="17" t="n">
        <v>0.0004</v>
      </c>
      <c r="I159" s="17" t="n">
        <v>-0.0108</v>
      </c>
      <c r="J159" s="17" t="n">
        <v>0.034</v>
      </c>
      <c r="K159" s="17" t="n">
        <v>0.0528</v>
      </c>
      <c r="L159" s="17" t="n">
        <v>0.0038</v>
      </c>
    </row>
    <row r="160" customFormat="false" ht="30" hidden="false" customHeight="true" outlineLevel="0" collapsed="false">
      <c r="A160" s="2" t="s">
        <v>299</v>
      </c>
      <c r="B160" s="16" t="n">
        <v>0.0141</v>
      </c>
      <c r="C160" s="16" t="n">
        <v>0.0422</v>
      </c>
      <c r="D160" s="16" t="n">
        <v>0.0227</v>
      </c>
      <c r="E160" s="16" t="n">
        <v>0.0339</v>
      </c>
      <c r="F160" s="16" t="n">
        <v>0.04</v>
      </c>
      <c r="G160" s="16" t="n">
        <v>0.0358</v>
      </c>
      <c r="H160" s="16" t="n">
        <v>0.0126</v>
      </c>
      <c r="I160" s="16" t="n">
        <v>0.0235</v>
      </c>
      <c r="J160" s="16" t="n">
        <v>0.009</v>
      </c>
      <c r="K160" s="16" t="n">
        <v>0.0082</v>
      </c>
      <c r="L160" s="16" t="n">
        <v>0.0023</v>
      </c>
    </row>
    <row r="161" customFormat="false" ht="30" hidden="false" customHeight="true" outlineLevel="0" collapsed="false">
      <c r="A161" s="3" t="s">
        <v>300</v>
      </c>
      <c r="B161" s="17" t="n">
        <v>-0.0314</v>
      </c>
      <c r="C161" s="17" t="n">
        <v>-0.0289</v>
      </c>
      <c r="D161" s="17" t="n">
        <v>-0.0137</v>
      </c>
      <c r="E161" s="17" t="n">
        <v>0.0042</v>
      </c>
      <c r="F161" s="17" t="n">
        <v>-0.0052</v>
      </c>
      <c r="G161" s="17" t="n">
        <v>-0.0039</v>
      </c>
      <c r="H161" s="17" t="n">
        <v>-0.0008</v>
      </c>
      <c r="I161" s="17" t="n">
        <v>0.0023</v>
      </c>
      <c r="J161" s="17" t="n">
        <v>-0.008</v>
      </c>
      <c r="K161" s="17" t="n">
        <v>-0.0257</v>
      </c>
      <c r="L161" s="17" t="n">
        <v>0.0053</v>
      </c>
    </row>
    <row r="162" customFormat="false" ht="30" hidden="false" customHeight="true" outlineLevel="0" collapsed="false">
      <c r="A162" s="2" t="s">
        <v>301</v>
      </c>
      <c r="B162" s="16" t="n">
        <v>0.0017</v>
      </c>
      <c r="C162" s="16" t="n">
        <v>-0.0202</v>
      </c>
      <c r="D162" s="16" t="n">
        <v>-0.0216</v>
      </c>
      <c r="E162" s="16" t="n">
        <v>-0.0007</v>
      </c>
      <c r="F162" s="16" t="n">
        <v>-0.0051</v>
      </c>
      <c r="G162" s="16" t="n">
        <v>-0.009</v>
      </c>
      <c r="H162" s="16" t="n">
        <v>0.0009</v>
      </c>
      <c r="I162" s="16" t="n">
        <v>-0.0106</v>
      </c>
      <c r="J162" s="16" t="n">
        <v>-0.0181</v>
      </c>
      <c r="K162" s="16" t="n">
        <v>-0.0255</v>
      </c>
      <c r="L162" s="16" t="n">
        <v>-0.0106</v>
      </c>
    </row>
    <row r="163" customFormat="false" ht="30" hidden="false" customHeight="true" outlineLevel="0" collapsed="false">
      <c r="A163" s="3" t="s">
        <v>302</v>
      </c>
      <c r="B163" s="17" t="n">
        <v>0.0698</v>
      </c>
      <c r="C163" s="17" t="n">
        <v>0.0505</v>
      </c>
      <c r="D163" s="17" t="n">
        <v>0.0326</v>
      </c>
      <c r="E163" s="17" t="n">
        <v>0.0414</v>
      </c>
      <c r="F163" s="17" t="n">
        <v>0.0676</v>
      </c>
      <c r="G163" s="17" t="n">
        <v>0.023</v>
      </c>
      <c r="H163" s="17" t="n">
        <v>0.0495</v>
      </c>
      <c r="I163" s="17" t="n">
        <v>0.0292</v>
      </c>
      <c r="J163" s="17" t="n">
        <v>0.0362</v>
      </c>
      <c r="K163" s="17" t="n">
        <v>0.0458</v>
      </c>
      <c r="L163" s="17" t="n">
        <v>-0.0044</v>
      </c>
    </row>
    <row r="164" customFormat="false" ht="30" hidden="false" customHeight="true" outlineLevel="0" collapsed="false">
      <c r="A164" s="2" t="s">
        <v>303</v>
      </c>
      <c r="B164" s="16" t="n">
        <v>-0.0099</v>
      </c>
      <c r="C164" s="16" t="n">
        <v>-0.0064</v>
      </c>
      <c r="D164" s="16" t="n">
        <v>-0.0202</v>
      </c>
      <c r="E164" s="16" t="n">
        <v>-0.0006</v>
      </c>
      <c r="F164" s="16" t="n">
        <v>0.0111</v>
      </c>
      <c r="G164" s="16" t="n">
        <v>0.0046</v>
      </c>
      <c r="H164" s="16" t="n">
        <v>-0.0058</v>
      </c>
      <c r="I164" s="16" t="n">
        <v>-0.0163</v>
      </c>
      <c r="J164" s="16" t="n">
        <v>-0.0167</v>
      </c>
      <c r="K164" s="16" t="n">
        <v>-0.0112</v>
      </c>
      <c r="L164" s="16" t="n">
        <v>-0.0015</v>
      </c>
    </row>
    <row r="165" customFormat="false" ht="30" hidden="false" customHeight="true" outlineLevel="0" collapsed="false">
      <c r="A165" s="3" t="s">
        <v>304</v>
      </c>
      <c r="B165" s="17" t="n">
        <v>-0.0155</v>
      </c>
      <c r="C165" s="17" t="n">
        <v>0.0098</v>
      </c>
      <c r="D165" s="17" t="n">
        <v>0.0028</v>
      </c>
      <c r="E165" s="17" t="n">
        <v>-0.0032</v>
      </c>
      <c r="F165" s="17" t="n">
        <v>0.0155</v>
      </c>
      <c r="G165" s="17" t="n">
        <v>-0.0019</v>
      </c>
      <c r="H165" s="17" t="n">
        <v>-0.0079</v>
      </c>
      <c r="I165" s="17" t="n">
        <v>-0.0039</v>
      </c>
      <c r="J165" s="17" t="n">
        <v>-0.0239</v>
      </c>
      <c r="K165" s="17" t="n">
        <v>-0.022</v>
      </c>
      <c r="L165" s="17" t="n">
        <v>-0.0078</v>
      </c>
    </row>
    <row r="166" customFormat="false" ht="30" hidden="false" customHeight="true" outlineLevel="0" collapsed="false">
      <c r="A166" s="2" t="s">
        <v>305</v>
      </c>
      <c r="B166" s="16" t="n">
        <v>0.0185</v>
      </c>
      <c r="C166" s="16" t="n">
        <v>0.0159</v>
      </c>
      <c r="D166" s="16" t="n">
        <v>0.025</v>
      </c>
      <c r="E166" s="16" t="n">
        <v>0.0299</v>
      </c>
      <c r="F166" s="16" t="n">
        <v>0.0346</v>
      </c>
      <c r="G166" s="16" t="n">
        <v>0.0175</v>
      </c>
      <c r="H166" s="16" t="n">
        <v>0.0384</v>
      </c>
      <c r="I166" s="16" t="n">
        <v>0.0278</v>
      </c>
      <c r="J166" s="16" t="n">
        <v>0.0092</v>
      </c>
      <c r="K166" s="16" t="n">
        <v>0.0264</v>
      </c>
      <c r="L166" s="16" t="n">
        <v>0.002</v>
      </c>
    </row>
    <row r="167" customFormat="false" ht="30" hidden="false" customHeight="true" outlineLevel="0" collapsed="false">
      <c r="A167" s="3" t="s">
        <v>306</v>
      </c>
      <c r="B167" s="17" t="n">
        <v>-0.0363</v>
      </c>
      <c r="C167" s="17" t="n">
        <v>-0.0229</v>
      </c>
      <c r="D167" s="17" t="n">
        <v>-0.0208</v>
      </c>
      <c r="E167" s="17" t="n">
        <v>-0.0236</v>
      </c>
      <c r="F167" s="17" t="n">
        <v>-0.0251</v>
      </c>
      <c r="G167" s="17" t="n">
        <v>0.0011</v>
      </c>
      <c r="H167" s="17" t="n">
        <v>-0.0078</v>
      </c>
      <c r="I167" s="17" t="n">
        <v>-0.0302</v>
      </c>
      <c r="J167" s="17" t="n">
        <v>-0.0245</v>
      </c>
      <c r="K167" s="17" t="n">
        <v>-0.0357</v>
      </c>
      <c r="L167" s="17" t="n">
        <v>-0.0042</v>
      </c>
    </row>
    <row r="168" customFormat="false" ht="30" hidden="false" customHeight="true" outlineLevel="0" collapsed="false">
      <c r="A168" s="2" t="s">
        <v>307</v>
      </c>
      <c r="B168" s="16" t="n">
        <v>-0.0007</v>
      </c>
      <c r="C168" s="16" t="n">
        <v>-0.0249</v>
      </c>
      <c r="D168" s="16" t="n">
        <v>-0.0065</v>
      </c>
      <c r="E168" s="16" t="n">
        <v>0.0183</v>
      </c>
      <c r="F168" s="16" t="n">
        <v>0.0137</v>
      </c>
      <c r="G168" s="16" t="n">
        <v>0.0127</v>
      </c>
      <c r="H168" s="16" t="n">
        <v>0.014</v>
      </c>
      <c r="I168" s="16" t="n">
        <v>0.02</v>
      </c>
      <c r="J168" s="16" t="n">
        <v>0.0403</v>
      </c>
      <c r="K168" s="16" t="n">
        <v>0.0336</v>
      </c>
      <c r="L168" s="16" t="n">
        <v>0.0281</v>
      </c>
    </row>
    <row r="169" customFormat="false" ht="30" hidden="false" customHeight="true" outlineLevel="0" collapsed="false">
      <c r="A169" s="3" t="s">
        <v>308</v>
      </c>
      <c r="B169" s="17" t="n">
        <v>0.0508</v>
      </c>
      <c r="C169" s="17" t="n">
        <v>0.0552</v>
      </c>
      <c r="D169" s="17" t="n">
        <v>0.0517</v>
      </c>
      <c r="E169" s="17" t="n">
        <v>0.0629</v>
      </c>
      <c r="F169" s="17" t="n">
        <v>0.0461</v>
      </c>
      <c r="G169" s="17" t="n">
        <v>0.0522</v>
      </c>
      <c r="H169" s="17" t="n">
        <v>0.0825</v>
      </c>
      <c r="I169" s="17" t="n">
        <v>0.0828</v>
      </c>
      <c r="J169" s="17" t="n">
        <v>0.0692</v>
      </c>
      <c r="K169" s="17" t="n">
        <v>0.0825</v>
      </c>
      <c r="L169" s="17" t="n">
        <v>0.0075</v>
      </c>
    </row>
    <row r="170" customFormat="false" ht="30" hidden="false" customHeight="true" outlineLevel="0" collapsed="false">
      <c r="A170" s="2" t="s">
        <v>309</v>
      </c>
      <c r="B170" s="16" t="n">
        <v>-0.0938</v>
      </c>
      <c r="C170" s="16" t="n">
        <v>-0.051</v>
      </c>
      <c r="D170" s="16" t="n">
        <v>-0.0584</v>
      </c>
      <c r="E170" s="16" t="n">
        <v>-0.0346</v>
      </c>
      <c r="F170" s="16" t="n">
        <v>-0.0248</v>
      </c>
      <c r="G170" s="16" t="n">
        <v>-0.0263</v>
      </c>
      <c r="H170" s="16" t="n">
        <v>-0.0202</v>
      </c>
      <c r="I170" s="16" t="n">
        <v>-0.0207</v>
      </c>
      <c r="J170" s="16" t="n">
        <v>-0.0096</v>
      </c>
      <c r="K170" s="16" t="n">
        <v>0.0244</v>
      </c>
      <c r="L170" s="16" t="n">
        <v>0.0405</v>
      </c>
    </row>
    <row r="171" customFormat="false" ht="30" hidden="false" customHeight="true" outlineLevel="0" collapsed="false">
      <c r="A171" s="3" t="s">
        <v>310</v>
      </c>
      <c r="B171" s="17" t="n">
        <v>-0.0179</v>
      </c>
      <c r="C171" s="17" t="n">
        <v>-0.0141</v>
      </c>
      <c r="D171" s="17" t="n">
        <v>-0.0161</v>
      </c>
      <c r="E171" s="17" t="n">
        <v>-0.0055</v>
      </c>
      <c r="F171" s="17" t="n">
        <v>-0.0203</v>
      </c>
      <c r="G171" s="17" t="n">
        <v>-0.0101</v>
      </c>
      <c r="H171" s="17" t="n">
        <v>-0.0214</v>
      </c>
      <c r="I171" s="17" t="n">
        <v>-0.0238</v>
      </c>
      <c r="J171" s="17" t="n">
        <v>-0.0176</v>
      </c>
      <c r="K171" s="17" t="n">
        <v>-0.0195</v>
      </c>
      <c r="L171" s="17" t="n">
        <v>0.0035</v>
      </c>
    </row>
    <row r="172" customFormat="false" ht="30" hidden="false" customHeight="true" outlineLevel="0" collapsed="false">
      <c r="A172" s="2" t="s">
        <v>311</v>
      </c>
      <c r="B172" s="16" t="n">
        <v>-0.028</v>
      </c>
      <c r="C172" s="16" t="n">
        <v>-0.0158</v>
      </c>
      <c r="D172" s="16" t="n">
        <v>-0.0047</v>
      </c>
      <c r="E172" s="16" t="n">
        <v>-0.0186</v>
      </c>
      <c r="F172" s="16" t="n">
        <v>0.0025</v>
      </c>
      <c r="G172" s="16" t="n">
        <v>-0.0054</v>
      </c>
      <c r="H172" s="16" t="n">
        <v>-0.0191</v>
      </c>
      <c r="I172" s="16" t="n">
        <v>0.0018</v>
      </c>
      <c r="J172" s="16" t="n">
        <v>-0.0088</v>
      </c>
      <c r="K172" s="16" t="n">
        <v>-0.0063</v>
      </c>
      <c r="L172" s="16" t="n">
        <v>0.0068</v>
      </c>
    </row>
    <row r="173" customFormat="false" ht="30" hidden="false" customHeight="true" outlineLevel="0" collapsed="false">
      <c r="A173" s="3" t="s">
        <v>312</v>
      </c>
      <c r="B173" s="17" t="n">
        <v>-0.0412</v>
      </c>
      <c r="C173" s="17" t="n">
        <v>-0.0165</v>
      </c>
      <c r="D173" s="17" t="n">
        <v>-0.0045</v>
      </c>
      <c r="E173" s="17" t="n">
        <v>0.0118</v>
      </c>
      <c r="F173" s="17" t="n">
        <v>-0.0145</v>
      </c>
      <c r="G173" s="17" t="n">
        <v>0.0287</v>
      </c>
      <c r="H173" s="17" t="n">
        <v>0.0141</v>
      </c>
      <c r="I173" s="17" t="n">
        <v>0.0372</v>
      </c>
      <c r="J173" s="17" t="n">
        <v>0.0203</v>
      </c>
      <c r="K173" s="17" t="n">
        <v>0.0395</v>
      </c>
      <c r="L173" s="17" t="n">
        <v>0.0419</v>
      </c>
    </row>
    <row r="174" customFormat="false" ht="30" hidden="false" customHeight="true" outlineLevel="0" collapsed="false">
      <c r="A174" s="2" t="s">
        <v>313</v>
      </c>
      <c r="B174" s="16" t="n">
        <v>-0.0241</v>
      </c>
      <c r="C174" s="16" t="n">
        <v>-0.0339</v>
      </c>
      <c r="D174" s="16" t="n">
        <v>-0.0271</v>
      </c>
      <c r="E174" s="16" t="n">
        <v>-0.0128</v>
      </c>
      <c r="F174" s="16" t="n">
        <v>0.0022</v>
      </c>
      <c r="G174" s="16" t="n">
        <v>-0.005</v>
      </c>
      <c r="H174" s="16" t="n">
        <v>0.0073</v>
      </c>
      <c r="I174" s="16" t="n">
        <v>-0.0023</v>
      </c>
      <c r="J174" s="16" t="n">
        <v>-0.0009</v>
      </c>
      <c r="K174" s="16" t="n">
        <v>0.0052</v>
      </c>
      <c r="L174" s="16" t="n">
        <v>0.0201</v>
      </c>
    </row>
    <row r="175" customFormat="false" ht="30" hidden="false" customHeight="true" outlineLevel="0" collapsed="false">
      <c r="A175" s="3" t="s">
        <v>314</v>
      </c>
      <c r="B175" s="17" t="n">
        <v>0.0588</v>
      </c>
      <c r="C175" s="17" t="n">
        <v>0.0464</v>
      </c>
      <c r="D175" s="17" t="n">
        <v>0.0427</v>
      </c>
      <c r="E175" s="17" t="n">
        <v>0.0595</v>
      </c>
      <c r="F175" s="17" t="n">
        <v>0.0438</v>
      </c>
      <c r="G175" s="17" t="n">
        <v>0.0365</v>
      </c>
      <c r="H175" s="17" t="n">
        <v>0.0442</v>
      </c>
      <c r="I175" s="17" t="n">
        <v>0.0565</v>
      </c>
      <c r="J175" s="17" t="n">
        <v>0.0696</v>
      </c>
      <c r="K175" s="17" t="n">
        <v>0.0694</v>
      </c>
      <c r="L175" s="17" t="n">
        <v>0.016</v>
      </c>
    </row>
    <row r="176" customFormat="false" ht="30" hidden="false" customHeight="true" outlineLevel="0" collapsed="false">
      <c r="A176" s="2" t="s">
        <v>315</v>
      </c>
      <c r="B176" s="16" t="n">
        <v>-0.0219</v>
      </c>
      <c r="C176" s="16" t="n">
        <v>-0.0267</v>
      </c>
      <c r="D176" s="16" t="n">
        <v>0.0004</v>
      </c>
      <c r="E176" s="16" t="n">
        <v>-0.0186</v>
      </c>
      <c r="F176" s="16" t="n">
        <v>-0.0218</v>
      </c>
      <c r="G176" s="16" t="n">
        <v>-0.0085</v>
      </c>
      <c r="H176" s="16" t="n">
        <v>-0.0043</v>
      </c>
      <c r="I176" s="16" t="n">
        <v>-0.0096</v>
      </c>
      <c r="J176" s="16" t="n">
        <v>-0.0068</v>
      </c>
      <c r="K176" s="16" t="n">
        <v>-0.0106</v>
      </c>
      <c r="L176" s="16" t="n">
        <v>0.004</v>
      </c>
    </row>
    <row r="177" customFormat="false" ht="30" hidden="false" customHeight="true" outlineLevel="0" collapsed="false">
      <c r="A177" s="3" t="s">
        <v>316</v>
      </c>
      <c r="B177" s="17" t="n">
        <v>0.021</v>
      </c>
      <c r="C177" s="17" t="n">
        <v>0.0053</v>
      </c>
      <c r="D177" s="17" t="n">
        <v>-0.0006</v>
      </c>
      <c r="E177" s="17" t="n">
        <v>-0.0336</v>
      </c>
      <c r="F177" s="17" t="n">
        <v>-0.0202</v>
      </c>
      <c r="G177" s="17" t="n">
        <v>-0.0257</v>
      </c>
      <c r="H177" s="17" t="n">
        <v>-0.03</v>
      </c>
      <c r="I177" s="17" t="n">
        <v>-0.0217</v>
      </c>
      <c r="J177" s="17" t="n">
        <v>-0.021</v>
      </c>
      <c r="K177" s="17" t="n">
        <v>-0.0197</v>
      </c>
      <c r="L177" s="17" t="n">
        <v>-0.0163</v>
      </c>
    </row>
    <row r="178" customFormat="false" ht="30" hidden="false" customHeight="true" outlineLevel="0" collapsed="false">
      <c r="A178" s="2" t="s">
        <v>317</v>
      </c>
      <c r="B178" s="16" t="n">
        <v>-0.022</v>
      </c>
      <c r="C178" s="16" t="n">
        <v>-0.0111</v>
      </c>
      <c r="D178" s="16" t="n">
        <v>-0.0065</v>
      </c>
      <c r="E178" s="16" t="n">
        <v>0.0079</v>
      </c>
      <c r="F178" s="16" t="n">
        <v>0.0245</v>
      </c>
      <c r="G178" s="16" t="n">
        <v>0.0052</v>
      </c>
      <c r="H178" s="16" t="n">
        <v>0.0089</v>
      </c>
      <c r="I178" s="16" t="n">
        <v>0.0097</v>
      </c>
      <c r="J178" s="16" t="n">
        <v>0.0196</v>
      </c>
      <c r="K178" s="16" t="n">
        <v>0.0136</v>
      </c>
      <c r="L178" s="16" t="n">
        <v>0.0209</v>
      </c>
    </row>
    <row r="179" customFormat="false" ht="30" hidden="false" customHeight="true" outlineLevel="0" collapsed="false">
      <c r="A179" s="3" t="s">
        <v>318</v>
      </c>
      <c r="B179" s="17" t="n">
        <v>-0.0523</v>
      </c>
      <c r="C179" s="17" t="n">
        <v>-0.0389</v>
      </c>
      <c r="D179" s="17" t="n">
        <v>-0.0379</v>
      </c>
      <c r="E179" s="17" t="n">
        <v>-0.0333</v>
      </c>
      <c r="F179" s="17" t="n">
        <v>-0.0478</v>
      </c>
      <c r="G179" s="17" t="n">
        <v>-0.0323</v>
      </c>
      <c r="H179" s="17" t="n">
        <v>-0.0306</v>
      </c>
      <c r="I179" s="17" t="n">
        <v>-0.0271</v>
      </c>
      <c r="J179" s="17" t="n">
        <v>-0.0362</v>
      </c>
      <c r="K179" s="17" t="n">
        <v>-0.0483</v>
      </c>
      <c r="L179" s="17" t="n">
        <v>-0.0011</v>
      </c>
    </row>
    <row r="180" customFormat="false" ht="30" hidden="false" customHeight="true" outlineLevel="0" collapsed="false">
      <c r="A180" s="2" t="s">
        <v>319</v>
      </c>
      <c r="B180" s="16" t="n">
        <v>0.0362</v>
      </c>
      <c r="C180" s="16" t="n">
        <v>0.0379</v>
      </c>
      <c r="D180" s="16" t="n">
        <v>0.0395</v>
      </c>
      <c r="E180" s="16" t="n">
        <v>0.0397</v>
      </c>
      <c r="F180" s="16" t="n">
        <v>0.0375</v>
      </c>
      <c r="G180" s="16" t="n">
        <v>0.0505</v>
      </c>
      <c r="H180" s="16" t="n">
        <v>0.0542</v>
      </c>
      <c r="I180" s="16" t="n">
        <v>0.0691</v>
      </c>
      <c r="J180" s="16" t="n">
        <v>0.0699</v>
      </c>
      <c r="K180" s="16" t="n">
        <v>0.0858</v>
      </c>
      <c r="L180" s="16" t="n">
        <v>0.0214</v>
      </c>
    </row>
    <row r="181" customFormat="false" ht="30" hidden="false" customHeight="true" outlineLevel="0" collapsed="false">
      <c r="A181" s="3" t="s">
        <v>320</v>
      </c>
      <c r="B181" s="17" t="n">
        <v>0.0012</v>
      </c>
      <c r="C181" s="17" t="n">
        <v>-0.0065</v>
      </c>
      <c r="D181" s="17" t="n">
        <v>0.0081</v>
      </c>
      <c r="E181" s="17" t="n">
        <v>0.0154</v>
      </c>
      <c r="F181" s="17" t="n">
        <v>0.0083</v>
      </c>
      <c r="G181" s="17" t="n">
        <v>-0.0025</v>
      </c>
      <c r="H181" s="17" t="n">
        <v>0.0058</v>
      </c>
      <c r="I181" s="17" t="n">
        <v>0.0167</v>
      </c>
      <c r="J181" s="17" t="n">
        <v>0.0178</v>
      </c>
      <c r="K181" s="17" t="n">
        <v>0.0205</v>
      </c>
      <c r="L181" s="17" t="n">
        <v>0.016</v>
      </c>
    </row>
    <row r="182" customFormat="false" ht="30" hidden="false" customHeight="true" outlineLevel="0" collapsed="false">
      <c r="A182" s="2" t="s">
        <v>321</v>
      </c>
      <c r="B182" s="16" t="n">
        <v>-0.0581</v>
      </c>
      <c r="C182" s="16" t="n">
        <v>-0.0604</v>
      </c>
      <c r="D182" s="16" t="n">
        <v>-0.0636</v>
      </c>
      <c r="E182" s="16" t="n">
        <v>-0.0484</v>
      </c>
      <c r="F182" s="16" t="n">
        <v>-0.054</v>
      </c>
      <c r="G182" s="16" t="n">
        <v>-0.0541</v>
      </c>
      <c r="H182" s="16" t="n">
        <v>-0.0515</v>
      </c>
      <c r="I182" s="16" t="n">
        <v>-0.0549</v>
      </c>
      <c r="J182" s="16" t="n">
        <v>-0.0533</v>
      </c>
      <c r="K182" s="16" t="n">
        <v>-0.0351</v>
      </c>
      <c r="L182" s="16" t="n">
        <v>-0.0057</v>
      </c>
    </row>
    <row r="183" customFormat="false" ht="30" hidden="false" customHeight="true" outlineLevel="0" collapsed="false">
      <c r="A183" s="3" t="s">
        <v>322</v>
      </c>
      <c r="B183" s="17" t="n">
        <v>-0.0473</v>
      </c>
      <c r="C183" s="17" t="n">
        <v>-0.0219</v>
      </c>
      <c r="D183" s="17" t="n">
        <v>-0.012</v>
      </c>
      <c r="E183" s="17" t="n">
        <v>-0.0132</v>
      </c>
      <c r="F183" s="17" t="n">
        <v>-0.0009</v>
      </c>
      <c r="G183" s="17" t="n">
        <v>-0.0062</v>
      </c>
      <c r="H183" s="17" t="n">
        <v>-0.0086</v>
      </c>
      <c r="I183" s="17" t="n">
        <v>-0.0014</v>
      </c>
      <c r="J183" s="17" t="n">
        <v>0.02</v>
      </c>
      <c r="K183" s="17" t="n">
        <v>0.015</v>
      </c>
      <c r="L183" s="17" t="n">
        <v>0.0196</v>
      </c>
    </row>
    <row r="184" customFormat="false" ht="30" hidden="false" customHeight="true" outlineLevel="0" collapsed="false">
      <c r="A184" s="2" t="s">
        <v>323</v>
      </c>
      <c r="B184" s="16" t="n">
        <v>0.036</v>
      </c>
      <c r="C184" s="16" t="n">
        <v>0.0325</v>
      </c>
      <c r="D184" s="16" t="n">
        <v>0.0401</v>
      </c>
      <c r="E184" s="16" t="n">
        <v>0.0351</v>
      </c>
      <c r="F184" s="16" t="n">
        <v>-0.006</v>
      </c>
      <c r="G184" s="16" t="n">
        <v>0.0384</v>
      </c>
      <c r="H184" s="16" t="n">
        <v>0.0419</v>
      </c>
      <c r="I184" s="16" t="n">
        <v>0.0558</v>
      </c>
      <c r="J184" s="16" t="n">
        <v>0.0624</v>
      </c>
      <c r="K184" s="16" t="n">
        <v>0.0635</v>
      </c>
      <c r="L184" s="16" t="n">
        <v>0.0145</v>
      </c>
    </row>
    <row r="185" customFormat="false" ht="30" hidden="false" customHeight="true" outlineLevel="0" collapsed="false">
      <c r="A185" s="3" t="s">
        <v>324</v>
      </c>
      <c r="B185" s="17" t="n">
        <v>0.1149</v>
      </c>
      <c r="C185" s="17" t="n">
        <v>0.0982</v>
      </c>
      <c r="D185" s="17" t="n">
        <v>0.0851</v>
      </c>
      <c r="E185" s="17" t="n">
        <v>0.1022</v>
      </c>
      <c r="F185" s="17" t="n">
        <v>0.0571</v>
      </c>
      <c r="G185" s="17" t="n">
        <v>0.0603</v>
      </c>
      <c r="H185" s="17" t="n">
        <v>0.0524</v>
      </c>
      <c r="I185" s="17" t="n">
        <v>0.0837</v>
      </c>
      <c r="J185" s="17" t="n">
        <v>0.0958</v>
      </c>
      <c r="K185" s="17" t="n">
        <v>0.0975</v>
      </c>
      <c r="L185" s="17" t="n">
        <v>0.0049</v>
      </c>
    </row>
    <row r="186" customFormat="false" ht="30" hidden="false" customHeight="true" outlineLevel="0" collapsed="false">
      <c r="A186" s="2" t="s">
        <v>325</v>
      </c>
      <c r="B186" s="16" t="n">
        <v>0.0166</v>
      </c>
      <c r="C186" s="16" t="n">
        <v>0.0191</v>
      </c>
      <c r="D186" s="16" t="n">
        <v>0.0158</v>
      </c>
      <c r="E186" s="16" t="n">
        <v>0.0086</v>
      </c>
      <c r="F186" s="16" t="n">
        <v>0.0041</v>
      </c>
      <c r="G186" s="16" t="n">
        <v>0.029</v>
      </c>
      <c r="H186" s="16" t="n">
        <v>0.0354</v>
      </c>
      <c r="I186" s="16" t="n">
        <v>0.0463</v>
      </c>
      <c r="J186" s="16" t="n">
        <v>0.0564</v>
      </c>
      <c r="K186" s="16" t="n">
        <v>0.0876</v>
      </c>
      <c r="L186" s="16" t="n">
        <v>0.0276</v>
      </c>
    </row>
    <row r="187" customFormat="false" ht="30" hidden="false" customHeight="true" outlineLevel="0" collapsed="false">
      <c r="A187" s="3" t="s">
        <v>326</v>
      </c>
      <c r="B187" s="17" t="n">
        <v>-0.0445</v>
      </c>
      <c r="C187" s="17" t="n">
        <v>-0.0221</v>
      </c>
      <c r="D187" s="17" t="n">
        <v>-0.0131</v>
      </c>
      <c r="E187" s="17" t="n">
        <v>-0.0123</v>
      </c>
      <c r="F187" s="17" t="n">
        <v>-0.0066</v>
      </c>
      <c r="G187" s="17" t="n">
        <v>-0.0049</v>
      </c>
      <c r="H187" s="17" t="n">
        <v>-0.0097</v>
      </c>
      <c r="I187" s="17" t="n">
        <v>0.0043</v>
      </c>
      <c r="J187" s="17" t="n">
        <v>0.0036</v>
      </c>
      <c r="K187" s="17" t="n">
        <v>0.0224</v>
      </c>
      <c r="L187" s="17" t="n">
        <v>0.0279</v>
      </c>
    </row>
    <row r="188" customFormat="false" ht="30" hidden="false" customHeight="true" outlineLevel="0" collapsed="false">
      <c r="A188" s="2" t="s">
        <v>327</v>
      </c>
      <c r="B188" s="16" t="n">
        <v>0.0539</v>
      </c>
      <c r="C188" s="16" t="n">
        <v>0.0399</v>
      </c>
      <c r="D188" s="16" t="n">
        <v>0.0531</v>
      </c>
      <c r="E188" s="16" t="n">
        <v>0.043</v>
      </c>
      <c r="F188" s="16" t="n">
        <v>0.0604</v>
      </c>
      <c r="G188" s="16" t="n">
        <v>0.0559</v>
      </c>
      <c r="H188" s="16" t="n">
        <v>0.0774</v>
      </c>
      <c r="I188" s="16" t="n">
        <v>0.0682</v>
      </c>
      <c r="J188" s="16" t="n">
        <v>0.0948</v>
      </c>
      <c r="K188" s="16" t="n">
        <v>0.0979</v>
      </c>
      <c r="L188" s="16" t="n">
        <v>0.0419</v>
      </c>
    </row>
    <row r="189" customFormat="false" ht="30" hidden="false" customHeight="true" outlineLevel="0" collapsed="false">
      <c r="A189" s="3" t="s">
        <v>328</v>
      </c>
      <c r="B189" s="17" t="n">
        <v>0.0413</v>
      </c>
      <c r="C189" s="17" t="n">
        <v>0.0484</v>
      </c>
      <c r="D189" s="17" t="n">
        <v>0.0331</v>
      </c>
      <c r="E189" s="17" t="n">
        <v>0.0276</v>
      </c>
      <c r="F189" s="17" t="n">
        <v>0.0325</v>
      </c>
      <c r="G189" s="17" t="n">
        <v>0.0424</v>
      </c>
      <c r="H189" s="17" t="n">
        <v>0.0403</v>
      </c>
      <c r="I189" s="17" t="n">
        <v>0.0491</v>
      </c>
      <c r="J189" s="17" t="n">
        <v>0.0808</v>
      </c>
      <c r="K189" s="17" t="n">
        <v>0.1061</v>
      </c>
      <c r="L189" s="17" t="n">
        <v>0.03</v>
      </c>
    </row>
    <row r="190" customFormat="false" ht="30" hidden="false" customHeight="true" outlineLevel="0" collapsed="false">
      <c r="A190" s="2" t="s">
        <v>329</v>
      </c>
      <c r="B190" s="16" t="n">
        <v>0.008</v>
      </c>
      <c r="C190" s="16" t="n">
        <v>0.0163</v>
      </c>
      <c r="D190" s="16" t="n">
        <v>-0.0046</v>
      </c>
      <c r="E190" s="16" t="n">
        <v>-0.0087</v>
      </c>
      <c r="F190" s="16" t="n">
        <v>-0.015</v>
      </c>
      <c r="G190" s="16" t="n">
        <v>-0.0182</v>
      </c>
      <c r="H190" s="16" t="n">
        <v>-0.0188</v>
      </c>
      <c r="I190" s="16" t="n">
        <v>-0.0176</v>
      </c>
      <c r="J190" s="16" t="n">
        <v>-0.0234</v>
      </c>
      <c r="K190" s="16" t="n">
        <v>-0.0461</v>
      </c>
      <c r="L190" s="16" t="n">
        <v>-0.0319</v>
      </c>
    </row>
    <row r="191" customFormat="false" ht="30" hidden="false" customHeight="true" outlineLevel="0" collapsed="false">
      <c r="A191" s="3" t="s">
        <v>330</v>
      </c>
      <c r="B191" s="17" t="n">
        <v>-0.1085</v>
      </c>
      <c r="C191" s="17" t="n">
        <v>-0.074</v>
      </c>
      <c r="D191" s="17" t="n">
        <v>-0.0844</v>
      </c>
      <c r="E191" s="17" t="n">
        <v>-0.0817</v>
      </c>
      <c r="F191" s="17" t="n">
        <v>-0.1187</v>
      </c>
      <c r="G191" s="17" t="n">
        <v>-0.1234</v>
      </c>
      <c r="H191" s="17" t="n">
        <v>-0.1496</v>
      </c>
      <c r="I191" s="17" t="n">
        <v>-0.1638</v>
      </c>
      <c r="J191" s="17" t="n">
        <v>-0.1919</v>
      </c>
      <c r="K191" s="17" t="n">
        <v>-0.2334</v>
      </c>
      <c r="L191" s="17" t="n">
        <v>-0.0847</v>
      </c>
    </row>
    <row r="192" customFormat="false" ht="30" hidden="false" customHeight="true" outlineLevel="0" collapsed="false">
      <c r="A192" s="2" t="s">
        <v>331</v>
      </c>
      <c r="B192" s="16" t="n">
        <v>0.0274</v>
      </c>
      <c r="C192" s="16" t="n">
        <v>0.017</v>
      </c>
      <c r="D192" s="16" t="n">
        <v>0.0244</v>
      </c>
      <c r="E192" s="16" t="n">
        <v>0.0333</v>
      </c>
      <c r="F192" s="16" t="n">
        <v>0.0171</v>
      </c>
      <c r="G192" s="16" t="n">
        <v>0.045</v>
      </c>
      <c r="H192" s="16" t="n">
        <v>0.0413</v>
      </c>
      <c r="I192" s="16" t="n">
        <v>0.0549</v>
      </c>
      <c r="J192" s="16" t="n">
        <v>0.0753</v>
      </c>
      <c r="K192" s="16" t="n">
        <v>0.1105</v>
      </c>
      <c r="L192" s="16" t="n">
        <v>0.0545</v>
      </c>
    </row>
    <row r="193" customFormat="false" ht="30" hidden="false" customHeight="true" outlineLevel="0" collapsed="false">
      <c r="A193" s="3" t="s">
        <v>332</v>
      </c>
      <c r="B193" s="17" t="n">
        <v>-0.0212</v>
      </c>
      <c r="C193" s="17" t="n">
        <v>-0.0097</v>
      </c>
      <c r="D193" s="17" t="n">
        <v>0.0021</v>
      </c>
      <c r="E193" s="17" t="n">
        <v>-0.0049</v>
      </c>
      <c r="F193" s="17" t="n">
        <v>0.0161</v>
      </c>
      <c r="G193" s="17" t="n">
        <v>0.051</v>
      </c>
      <c r="H193" s="17" t="n">
        <v>0.0129</v>
      </c>
      <c r="I193" s="17" t="n">
        <v>0.0196</v>
      </c>
      <c r="J193" s="17" t="n">
        <v>0.0347</v>
      </c>
      <c r="K193" s="17" t="n">
        <v>0.0341</v>
      </c>
      <c r="L193" s="17" t="n">
        <v>0.0302</v>
      </c>
    </row>
    <row r="194" customFormat="false" ht="30" hidden="false" customHeight="true" outlineLevel="0" collapsed="false">
      <c r="A194" s="2" t="s">
        <v>333</v>
      </c>
      <c r="B194" s="16" t="n">
        <v>0.0961</v>
      </c>
      <c r="C194" s="16" t="n">
        <v>0.0648</v>
      </c>
      <c r="D194" s="16" t="n">
        <v>0.0554</v>
      </c>
      <c r="E194" s="16" t="n">
        <v>0.0488</v>
      </c>
      <c r="F194" s="16" t="n">
        <v>0.038</v>
      </c>
      <c r="G194" s="16" t="n">
        <v>0.0426</v>
      </c>
      <c r="H194" s="16" t="n">
        <v>0.0376</v>
      </c>
      <c r="I194" s="16" t="n">
        <v>0.0449</v>
      </c>
      <c r="J194" s="16" t="n">
        <v>0.0551</v>
      </c>
      <c r="K194" s="16" t="n">
        <v>0.0651</v>
      </c>
      <c r="L194" s="16" t="n">
        <v>-0.0142</v>
      </c>
    </row>
    <row r="195" customFormat="false" ht="30" hidden="false" customHeight="true" outlineLevel="0" collapsed="false">
      <c r="A195" s="3" t="s">
        <v>334</v>
      </c>
      <c r="B195" s="17" t="n">
        <v>-0.0281</v>
      </c>
      <c r="C195" s="17" t="n">
        <v>-0.0301</v>
      </c>
      <c r="D195" s="17" t="n">
        <v>-0.0187</v>
      </c>
      <c r="E195" s="17" t="n">
        <v>-0.027</v>
      </c>
      <c r="F195" s="17" t="n">
        <v>-0.0312</v>
      </c>
      <c r="G195" s="17" t="n">
        <v>-0.0183</v>
      </c>
      <c r="H195" s="17" t="n">
        <v>-0.0284</v>
      </c>
      <c r="I195" s="17" t="n">
        <v>-0.0279</v>
      </c>
      <c r="J195" s="17" t="n">
        <v>-0.0481</v>
      </c>
      <c r="K195" s="17" t="n">
        <v>-0.0417</v>
      </c>
      <c r="L195" s="17" t="n">
        <v>-0.0099</v>
      </c>
    </row>
    <row r="196" customFormat="false" ht="30" hidden="false" customHeight="true" outlineLevel="0" collapsed="false">
      <c r="A196" s="2" t="s">
        <v>335</v>
      </c>
      <c r="B196" s="16" t="n">
        <v>0.0848</v>
      </c>
      <c r="C196" s="16" t="n">
        <v>0.0504</v>
      </c>
      <c r="D196" s="16" t="n">
        <v>0.0483</v>
      </c>
      <c r="E196" s="16" t="n">
        <v>0.0291</v>
      </c>
      <c r="F196" s="16" t="n">
        <v>0.059</v>
      </c>
      <c r="G196" s="16" t="n">
        <v>0.0725</v>
      </c>
      <c r="H196" s="16" t="n">
        <v>0.0626</v>
      </c>
      <c r="I196" s="16" t="n">
        <v>0.0833</v>
      </c>
      <c r="J196" s="16" t="n">
        <v>0.0876</v>
      </c>
      <c r="K196" s="16" t="n">
        <v>0.1033</v>
      </c>
      <c r="L196" s="16" t="n">
        <v>0.0291</v>
      </c>
    </row>
    <row r="197" customFormat="false" ht="30" hidden="false" customHeight="true" outlineLevel="0" collapsed="false">
      <c r="A197" s="3" t="s">
        <v>336</v>
      </c>
      <c r="B197" s="17" t="n">
        <v>0.0061</v>
      </c>
      <c r="C197" s="17" t="n">
        <v>-0.0076</v>
      </c>
      <c r="D197" s="17" t="n">
        <v>0.0136</v>
      </c>
      <c r="E197" s="17" t="n">
        <v>0.0055</v>
      </c>
      <c r="F197" s="17" t="n">
        <v>-0.0068</v>
      </c>
      <c r="G197" s="17" t="n">
        <v>0.0085</v>
      </c>
      <c r="H197" s="17" t="n">
        <v>0.0057</v>
      </c>
      <c r="I197" s="17" t="n">
        <v>0.0226</v>
      </c>
      <c r="J197" s="17" t="n">
        <v>0.0058</v>
      </c>
      <c r="K197" s="17" t="n">
        <v>0.0159</v>
      </c>
      <c r="L197" s="17" t="n">
        <v>0.0088</v>
      </c>
    </row>
    <row r="198" customFormat="false" ht="30" hidden="false" customHeight="true" outlineLevel="0" collapsed="false">
      <c r="A198" s="2" t="s">
        <v>337</v>
      </c>
      <c r="B198" s="16" t="n">
        <v>-0.025</v>
      </c>
      <c r="C198" s="16" t="n">
        <v>-0.0073</v>
      </c>
      <c r="D198" s="16" t="n">
        <v>-0.0046</v>
      </c>
      <c r="E198" s="16" t="n">
        <v>-0.0047</v>
      </c>
      <c r="F198" s="16" t="n">
        <v>-0.0065</v>
      </c>
      <c r="G198" s="16" t="n">
        <v>0.0034</v>
      </c>
      <c r="H198" s="16" t="n">
        <v>-0.0362</v>
      </c>
      <c r="I198" s="16" t="n">
        <v>-0.0191</v>
      </c>
      <c r="J198" s="16" t="n">
        <v>-0.0228</v>
      </c>
      <c r="K198" s="16" t="n">
        <v>-0.0139</v>
      </c>
      <c r="L198" s="16" t="n">
        <v>-0.0058</v>
      </c>
    </row>
    <row r="199" customFormat="false" ht="30" hidden="false" customHeight="true" outlineLevel="0" collapsed="false">
      <c r="A199" s="3" t="s">
        <v>338</v>
      </c>
      <c r="B199" s="17" t="n">
        <v>0.0576</v>
      </c>
      <c r="C199" s="17" t="n">
        <v>0.0471</v>
      </c>
      <c r="D199" s="17" t="n">
        <v>0.0332</v>
      </c>
      <c r="E199" s="17" t="n">
        <v>0.0333</v>
      </c>
      <c r="F199" s="17" t="n">
        <v>0.0551</v>
      </c>
      <c r="G199" s="17" t="n">
        <v>0.0437</v>
      </c>
      <c r="H199" s="17" t="n">
        <v>0.0613</v>
      </c>
      <c r="I199" s="17" t="n">
        <v>0.0336</v>
      </c>
      <c r="J199" s="17" t="n">
        <v>0.0698</v>
      </c>
      <c r="K199" s="17" t="n">
        <v>0.0658</v>
      </c>
      <c r="L199" s="17" t="n">
        <v>0.0076</v>
      </c>
    </row>
    <row r="200" customFormat="false" ht="30" hidden="false" customHeight="true" outlineLevel="0" collapsed="false">
      <c r="A200" s="2" t="s">
        <v>339</v>
      </c>
      <c r="B200" s="16" t="n">
        <v>0.0275</v>
      </c>
      <c r="C200" s="16" t="n">
        <v>0.0228</v>
      </c>
      <c r="D200" s="16" t="n">
        <v>0.0175</v>
      </c>
      <c r="E200" s="16" t="n">
        <v>0.0228</v>
      </c>
      <c r="F200" s="16" t="n">
        <v>0.018</v>
      </c>
      <c r="G200" s="16" t="n">
        <v>0.0144</v>
      </c>
      <c r="H200" s="16" t="n">
        <v>0.0088</v>
      </c>
      <c r="I200" s="16" t="n">
        <v>0.0118</v>
      </c>
      <c r="J200" s="16" t="n">
        <v>0.0099</v>
      </c>
      <c r="K200" s="16" t="n">
        <v>0.0194</v>
      </c>
      <c r="L200" s="16" t="n">
        <v>-0.0107</v>
      </c>
    </row>
    <row r="201" customFormat="false" ht="30" hidden="false" customHeight="true" outlineLevel="0" collapsed="false">
      <c r="A201" s="3" t="s">
        <v>340</v>
      </c>
      <c r="B201" s="17" t="n">
        <v>0.0836</v>
      </c>
      <c r="C201" s="17" t="n">
        <v>0.0836</v>
      </c>
      <c r="D201" s="17" t="n">
        <v>0.0614</v>
      </c>
      <c r="E201" s="17" t="n">
        <v>0.0611</v>
      </c>
      <c r="F201" s="17" t="n">
        <v>0.0449</v>
      </c>
      <c r="G201" s="17" t="n">
        <v>0.0471</v>
      </c>
      <c r="H201" s="17" t="n">
        <v>0.0575</v>
      </c>
      <c r="I201" s="17" t="n">
        <v>0.0684</v>
      </c>
      <c r="J201" s="17" t="n">
        <v>0.0821</v>
      </c>
      <c r="K201" s="17" t="n">
        <v>0.073</v>
      </c>
      <c r="L201" s="17" t="n">
        <v>-0.0029</v>
      </c>
    </row>
    <row r="202" customFormat="false" ht="30" hidden="false" customHeight="true" outlineLevel="0" collapsed="false">
      <c r="A202" s="2" t="s">
        <v>341</v>
      </c>
      <c r="B202" s="16" t="n">
        <v>-0.0389</v>
      </c>
      <c r="C202" s="16" t="n">
        <v>-0.0282</v>
      </c>
      <c r="D202" s="16" t="n">
        <v>-0.0264</v>
      </c>
      <c r="E202" s="16" t="n">
        <v>-0.0117</v>
      </c>
      <c r="F202" s="16" t="n">
        <v>-0.0147</v>
      </c>
      <c r="G202" s="16" t="n">
        <v>0</v>
      </c>
      <c r="H202" s="16" t="n">
        <v>-0.0116</v>
      </c>
      <c r="I202" s="16" t="n">
        <v>0.0296</v>
      </c>
      <c r="J202" s="16" t="n">
        <v>0.0262</v>
      </c>
      <c r="K202" s="16" t="n">
        <v>0.0438</v>
      </c>
      <c r="L202" s="16" t="n">
        <v>0.0528</v>
      </c>
    </row>
    <row r="203" customFormat="false" ht="30" hidden="false" customHeight="true" outlineLevel="0" collapsed="false">
      <c r="A203" s="3" t="s">
        <v>342</v>
      </c>
      <c r="B203" s="17" t="n">
        <v>-0.1297</v>
      </c>
      <c r="C203" s="17" t="n">
        <v>-0.0798</v>
      </c>
      <c r="D203" s="17" t="n">
        <v>-0.0698</v>
      </c>
      <c r="E203" s="17" t="n">
        <v>-0.0813</v>
      </c>
      <c r="F203" s="17" t="n">
        <v>-0.0733</v>
      </c>
      <c r="G203" s="17" t="n">
        <v>-0.084</v>
      </c>
      <c r="H203" s="17" t="n">
        <v>-0.0705</v>
      </c>
      <c r="I203" s="17" t="n">
        <v>-0.0646</v>
      </c>
      <c r="J203" s="17" t="n">
        <v>-0.0446</v>
      </c>
      <c r="K203" s="17" t="n">
        <v>-0.0644</v>
      </c>
      <c r="L203" s="17" t="n">
        <v>0.0206</v>
      </c>
    </row>
    <row r="204" customFormat="false" ht="30" hidden="false" customHeight="true" outlineLevel="0" collapsed="false">
      <c r="A204" s="2" t="s">
        <v>343</v>
      </c>
      <c r="B204" s="16" t="n">
        <v>0.0223</v>
      </c>
      <c r="C204" s="16" t="n">
        <v>0.0482</v>
      </c>
      <c r="D204" s="16" t="n">
        <v>0.0322</v>
      </c>
      <c r="E204" s="16" t="n">
        <v>0.0281</v>
      </c>
      <c r="F204" s="16" t="n">
        <v>0.0564</v>
      </c>
      <c r="G204" s="16" t="n">
        <v>0.0551</v>
      </c>
      <c r="H204" s="16" t="n">
        <v>0.0892</v>
      </c>
      <c r="I204" s="16" t="n">
        <v>0.1</v>
      </c>
      <c r="J204" s="16" t="n">
        <v>0.1138</v>
      </c>
      <c r="K204" s="16" t="n">
        <v>0.1235</v>
      </c>
      <c r="L204" s="16" t="n">
        <v>0.0806</v>
      </c>
    </row>
    <row r="205" customFormat="false" ht="30" hidden="false" customHeight="true" outlineLevel="0" collapsed="false">
      <c r="A205" s="3" t="s">
        <v>344</v>
      </c>
      <c r="B205" s="17" t="n">
        <v>0.0256</v>
      </c>
      <c r="C205" s="17" t="n">
        <v>-0.0038</v>
      </c>
      <c r="D205" s="17" t="n">
        <v>0.0095</v>
      </c>
      <c r="E205" s="17" t="n">
        <v>0.022</v>
      </c>
      <c r="F205" s="17" t="n">
        <v>0.0262</v>
      </c>
      <c r="G205" s="17" t="n">
        <v>0.0304</v>
      </c>
      <c r="H205" s="17" t="n">
        <v>0.0154</v>
      </c>
      <c r="I205" s="17" t="n">
        <v>0.0509</v>
      </c>
      <c r="J205" s="17" t="n">
        <v>0.0328</v>
      </c>
      <c r="K205" s="17" t="n">
        <v>0.0869</v>
      </c>
      <c r="L205" s="17" t="n">
        <v>0.0473</v>
      </c>
    </row>
    <row r="206" customFormat="false" ht="30" hidden="false" customHeight="true" outlineLevel="0" collapsed="false">
      <c r="A206" s="2" t="s">
        <v>345</v>
      </c>
      <c r="B206" s="16" t="n">
        <v>0.0405</v>
      </c>
      <c r="C206" s="16" t="n">
        <v>0.0077</v>
      </c>
      <c r="D206" s="16" t="n">
        <v>0.0259</v>
      </c>
      <c r="E206" s="16" t="n">
        <v>0.0097</v>
      </c>
      <c r="F206" s="16" t="n">
        <v>0.0405</v>
      </c>
      <c r="G206" s="16" t="n">
        <v>0.0687</v>
      </c>
      <c r="H206" s="16" t="n">
        <v>0.0891</v>
      </c>
      <c r="I206" s="16" t="n">
        <v>0.0951</v>
      </c>
      <c r="J206" s="16" t="n">
        <v>0.1229</v>
      </c>
      <c r="K206" s="16" t="n">
        <v>0.1297</v>
      </c>
      <c r="L206" s="16" t="n">
        <v>0.0746</v>
      </c>
    </row>
    <row r="207" customFormat="false" ht="30" hidden="false" customHeight="true" outlineLevel="0" collapsed="false">
      <c r="A207" s="3" t="s">
        <v>346</v>
      </c>
      <c r="B207" s="17" t="n">
        <v>-0.0516</v>
      </c>
      <c r="C207" s="17" t="n">
        <v>-0.0365</v>
      </c>
      <c r="D207" s="17" t="n">
        <v>-0.051</v>
      </c>
      <c r="E207" s="17" t="n">
        <v>-0.0532</v>
      </c>
      <c r="F207" s="17" t="n">
        <v>-0.0501</v>
      </c>
      <c r="G207" s="17" t="n">
        <v>-0.008</v>
      </c>
      <c r="H207" s="17" t="n">
        <v>0.0068</v>
      </c>
      <c r="I207" s="17" t="n">
        <v>0.0426</v>
      </c>
      <c r="J207" s="17" t="n">
        <v>0.0666</v>
      </c>
      <c r="K207" s="17" t="n">
        <v>0.0504</v>
      </c>
      <c r="L207" s="17" t="n">
        <v>0.0791</v>
      </c>
    </row>
    <row r="208" customFormat="false" ht="30" hidden="false" customHeight="true" outlineLevel="0" collapsed="false">
      <c r="A208" s="2" t="s">
        <v>347</v>
      </c>
      <c r="B208" s="16" t="n">
        <v>-0.037</v>
      </c>
      <c r="C208" s="16" t="n">
        <v>-0.0712</v>
      </c>
      <c r="D208" s="16" t="n">
        <v>-0.062</v>
      </c>
      <c r="E208" s="16" t="n">
        <v>-0.0661</v>
      </c>
      <c r="F208" s="16" t="n">
        <v>-0.0897</v>
      </c>
      <c r="G208" s="16" t="n">
        <v>-0.1076</v>
      </c>
      <c r="H208" s="16" t="n">
        <v>-0.1289</v>
      </c>
      <c r="I208" s="16" t="n">
        <v>-0.1494</v>
      </c>
      <c r="J208" s="16" t="n">
        <v>-0.167</v>
      </c>
      <c r="K208" s="16" t="n">
        <v>-0.2125</v>
      </c>
      <c r="L208" s="16" t="n">
        <v>-0.0959</v>
      </c>
    </row>
    <row r="209" customFormat="false" ht="30" hidden="false" customHeight="true" outlineLevel="0" collapsed="false">
      <c r="A209" s="3" t="s">
        <v>348</v>
      </c>
      <c r="B209" s="17" t="n">
        <v>0.0691</v>
      </c>
      <c r="C209" s="17" t="n">
        <v>0.0615</v>
      </c>
      <c r="D209" s="17" t="n">
        <v>0.0701</v>
      </c>
      <c r="E209" s="17" t="n">
        <v>0.0421</v>
      </c>
      <c r="F209" s="17" t="n">
        <v>0.0262</v>
      </c>
      <c r="G209" s="17" t="n">
        <v>0.0351</v>
      </c>
      <c r="H209" s="17" t="n">
        <v>0.052</v>
      </c>
      <c r="I209" s="17" t="n">
        <v>0.0347</v>
      </c>
      <c r="J209" s="17" t="n">
        <v>0.0501</v>
      </c>
      <c r="K209" s="17" t="n">
        <v>0.0687</v>
      </c>
      <c r="L209" s="17" t="n">
        <v>-0.005</v>
      </c>
    </row>
    <row r="210" customFormat="false" ht="30" hidden="false" customHeight="true" outlineLevel="0" collapsed="false">
      <c r="A210" s="2" t="s">
        <v>349</v>
      </c>
      <c r="B210" s="16" t="n">
        <v>0.0908</v>
      </c>
      <c r="C210" s="16" t="n">
        <v>0.0536</v>
      </c>
      <c r="D210" s="16" t="n">
        <v>0.0692</v>
      </c>
      <c r="E210" s="16" t="n">
        <v>0.058</v>
      </c>
      <c r="F210" s="16" t="n">
        <v>0.0712</v>
      </c>
      <c r="G210" s="16" t="n">
        <v>0.0688</v>
      </c>
      <c r="H210" s="16" t="n">
        <v>0.0768</v>
      </c>
      <c r="I210" s="16" t="n">
        <v>0.0724</v>
      </c>
      <c r="J210" s="16" t="n">
        <v>0.0532</v>
      </c>
      <c r="K210" s="16" t="n">
        <v>0.0395</v>
      </c>
      <c r="L210" s="16" t="n">
        <v>-0.0118</v>
      </c>
    </row>
    <row r="211" customFormat="false" ht="30" hidden="false" customHeight="true" outlineLevel="0" collapsed="false">
      <c r="A211" s="3" t="s">
        <v>350</v>
      </c>
      <c r="B211" s="17" t="n">
        <v>0.029</v>
      </c>
      <c r="C211" s="17" t="n">
        <v>0.0368</v>
      </c>
      <c r="D211" s="17" t="n">
        <v>0.0342</v>
      </c>
      <c r="E211" s="17" t="n">
        <v>0.0181</v>
      </c>
      <c r="F211" s="17" t="n">
        <v>0.0151</v>
      </c>
      <c r="G211" s="17" t="n">
        <v>0.0293</v>
      </c>
      <c r="H211" s="17" t="n">
        <v>0.0282</v>
      </c>
      <c r="I211" s="17" t="n">
        <v>0.0393</v>
      </c>
      <c r="J211" s="17" t="n">
        <v>0.0407</v>
      </c>
      <c r="K211" s="17" t="n">
        <v>0.0629</v>
      </c>
      <c r="L211" s="17" t="n">
        <v>0.0158</v>
      </c>
    </row>
    <row r="212" customFormat="false" ht="30" hidden="false" customHeight="true" outlineLevel="0" collapsed="false">
      <c r="A212" s="2" t="s">
        <v>351</v>
      </c>
      <c r="B212" s="16" t="n">
        <v>0.101</v>
      </c>
      <c r="C212" s="16" t="n">
        <v>0.094</v>
      </c>
      <c r="D212" s="16" t="n">
        <v>0.0836</v>
      </c>
      <c r="E212" s="16" t="n">
        <v>0.063</v>
      </c>
      <c r="F212" s="16" t="n">
        <v>0.0454</v>
      </c>
      <c r="G212" s="16" t="n">
        <v>0.0576</v>
      </c>
      <c r="H212" s="16" t="n">
        <v>0.0775</v>
      </c>
      <c r="I212" s="16" t="n">
        <v>0.0878</v>
      </c>
      <c r="J212" s="16" t="n">
        <v>0.0685</v>
      </c>
      <c r="K212" s="16" t="n">
        <v>0.0635</v>
      </c>
      <c r="L212" s="16" t="n">
        <v>0.0032</v>
      </c>
    </row>
    <row r="213" customFormat="false" ht="30" hidden="false" customHeight="true" outlineLevel="0" collapsed="false">
      <c r="A213" s="3" t="s">
        <v>352</v>
      </c>
      <c r="B213" s="17" t="n">
        <v>0.0274</v>
      </c>
      <c r="C213" s="17" t="n">
        <v>0.0239</v>
      </c>
      <c r="D213" s="17" t="n">
        <v>-0.0011</v>
      </c>
      <c r="E213" s="17" t="n">
        <v>0.0201</v>
      </c>
      <c r="F213" s="17" t="n">
        <v>0.0005</v>
      </c>
      <c r="G213" s="17" t="n">
        <v>0.0167</v>
      </c>
      <c r="H213" s="17" t="n">
        <v>0.0202</v>
      </c>
      <c r="I213" s="17" t="n">
        <v>0.021</v>
      </c>
      <c r="J213" s="17" t="n">
        <v>0.0243</v>
      </c>
      <c r="K213" s="17" t="n">
        <v>0.0515</v>
      </c>
      <c r="L213" s="17" t="n">
        <v>0.0308</v>
      </c>
    </row>
    <row r="214" customFormat="false" ht="30" hidden="false" customHeight="true" outlineLevel="0" collapsed="false">
      <c r="A214" s="2" t="s">
        <v>353</v>
      </c>
      <c r="B214" s="16" t="n">
        <v>0.0014</v>
      </c>
      <c r="C214" s="16" t="n">
        <v>-0.0024</v>
      </c>
      <c r="D214" s="16" t="n">
        <v>-0.0026</v>
      </c>
      <c r="E214" s="16" t="n">
        <v>-0.0092</v>
      </c>
      <c r="F214" s="16" t="n">
        <v>-0.0075</v>
      </c>
      <c r="G214" s="16" t="n">
        <v>0.0207</v>
      </c>
      <c r="H214" s="16" t="n">
        <v>0.0287</v>
      </c>
      <c r="I214" s="16" t="n">
        <v>0.045</v>
      </c>
      <c r="J214" s="16" t="n">
        <v>0.0586</v>
      </c>
      <c r="K214" s="16" t="n">
        <v>0.0832</v>
      </c>
      <c r="L214" s="16" t="n">
        <v>0.0544</v>
      </c>
    </row>
    <row r="215" customFormat="false" ht="30" hidden="false" customHeight="true" outlineLevel="0" collapsed="false">
      <c r="A215" s="3" t="s">
        <v>354</v>
      </c>
      <c r="B215" s="17" t="n">
        <v>-0.018</v>
      </c>
      <c r="C215" s="17" t="n">
        <v>-0.0272</v>
      </c>
      <c r="D215" s="17" t="n">
        <v>-0.0095</v>
      </c>
      <c r="E215" s="17" t="n">
        <v>0.0195</v>
      </c>
      <c r="F215" s="17" t="n">
        <v>-0.0173</v>
      </c>
      <c r="G215" s="17" t="n">
        <v>-0.0072</v>
      </c>
      <c r="H215" s="17" t="n">
        <v>0.0236</v>
      </c>
      <c r="I215" s="17" t="n">
        <v>0.0533</v>
      </c>
      <c r="J215" s="17" t="n">
        <v>0.0539</v>
      </c>
      <c r="K215" s="17" t="n">
        <v>0.052</v>
      </c>
      <c r="L215" s="17" t="n">
        <v>0.0714</v>
      </c>
    </row>
    <row r="216" customFormat="false" ht="30" hidden="false" customHeight="true" outlineLevel="0" collapsed="false">
      <c r="A216" s="2" t="s">
        <v>116</v>
      </c>
      <c r="B216" s="16" t="n">
        <v>0.0087</v>
      </c>
      <c r="C216" s="16" t="n">
        <v>-0.0054</v>
      </c>
      <c r="D216" s="16" t="n">
        <v>0.0158</v>
      </c>
      <c r="E216" s="16" t="n">
        <v>0.0542</v>
      </c>
      <c r="F216" s="16" t="n">
        <v>0.0752</v>
      </c>
      <c r="G216" s="16" t="n">
        <v>0.1324</v>
      </c>
      <c r="H216" s="16" t="n">
        <v>0.1152</v>
      </c>
      <c r="I216" s="16" t="n">
        <v>0.1653</v>
      </c>
      <c r="J216" s="16" t="n">
        <v>0.2187</v>
      </c>
      <c r="K216" s="16" t="n">
        <v>0.172</v>
      </c>
      <c r="L216" s="16" t="n">
        <v>0.1519</v>
      </c>
    </row>
    <row r="217" customFormat="false" ht="30" hidden="false" customHeight="true" outlineLevel="0" collapsed="false">
      <c r="A217" s="3" t="s">
        <v>355</v>
      </c>
      <c r="B217" s="17" t="n">
        <v>-0.0024</v>
      </c>
      <c r="C217" s="17" t="n">
        <v>0.0299</v>
      </c>
      <c r="D217" s="17" t="n">
        <v>0.0268</v>
      </c>
      <c r="E217" s="17" t="n">
        <v>-0.0001</v>
      </c>
      <c r="F217" s="17" t="n">
        <v>-0.0117</v>
      </c>
      <c r="G217" s="17" t="n">
        <v>-0.0071</v>
      </c>
      <c r="H217" s="17" t="n">
        <v>-0.0538</v>
      </c>
      <c r="I217" s="17" t="n">
        <v>-0.0664</v>
      </c>
      <c r="J217" s="17" t="n">
        <v>-0.0786</v>
      </c>
      <c r="K217" s="17" t="n">
        <v>-0.0728</v>
      </c>
      <c r="L217" s="17" t="n">
        <v>-0.0669</v>
      </c>
    </row>
    <row r="218" customFormat="false" ht="30" hidden="false" customHeight="true" outlineLevel="0" collapsed="false">
      <c r="A218" s="2" t="s">
        <v>356</v>
      </c>
      <c r="B218" s="16" t="n">
        <v>-0.0076</v>
      </c>
      <c r="C218" s="16" t="n">
        <v>0.0075</v>
      </c>
      <c r="D218" s="16" t="n">
        <v>0.0311</v>
      </c>
      <c r="E218" s="16" t="n">
        <v>-0.0005</v>
      </c>
      <c r="F218" s="16" t="n">
        <v>-0.0114</v>
      </c>
      <c r="G218" s="16" t="n">
        <v>-0.0266</v>
      </c>
      <c r="H218" s="16" t="n">
        <v>-0.0347</v>
      </c>
      <c r="I218" s="16" t="n">
        <v>-0.0517</v>
      </c>
      <c r="J218" s="16" t="n">
        <v>-0.0708</v>
      </c>
      <c r="K218" s="16" t="n">
        <v>-0.1123</v>
      </c>
      <c r="L218" s="16" t="n">
        <v>-0.079</v>
      </c>
    </row>
    <row r="219" customFormat="false" ht="30" hidden="false" customHeight="true" outlineLevel="0" collapsed="false">
      <c r="A219" s="3" t="s">
        <v>357</v>
      </c>
      <c r="B219" s="17" t="n">
        <v>-0.0007</v>
      </c>
      <c r="C219" s="17" t="n">
        <v>0.0399</v>
      </c>
      <c r="D219" s="17" t="n">
        <v>0.0213</v>
      </c>
      <c r="E219" s="17" t="n">
        <v>0.0174</v>
      </c>
      <c r="F219" s="17" t="n">
        <v>0.0211</v>
      </c>
      <c r="G219" s="17" t="n">
        <v>0.0281</v>
      </c>
      <c r="H219" s="17" t="n">
        <v>0.0315</v>
      </c>
      <c r="I219" s="17" t="n">
        <v>0.0037</v>
      </c>
      <c r="J219" s="17" t="n">
        <v>0.022</v>
      </c>
      <c r="K219" s="17" t="n">
        <v>0.0004</v>
      </c>
      <c r="L219" s="17" t="n">
        <v>-0.0138</v>
      </c>
    </row>
    <row r="220" customFormat="false" ht="30" hidden="false" customHeight="true" outlineLevel="0" collapsed="false">
      <c r="A220" s="2" t="s">
        <v>358</v>
      </c>
      <c r="B220" s="16" t="n">
        <v>0.1018</v>
      </c>
      <c r="C220" s="16" t="n">
        <v>0.0458</v>
      </c>
      <c r="D220" s="16" t="n">
        <v>0.0301</v>
      </c>
      <c r="E220" s="16" t="n">
        <v>0.0494</v>
      </c>
      <c r="F220" s="16" t="n">
        <v>0.0329</v>
      </c>
      <c r="G220" s="16" t="n">
        <v>0.0325</v>
      </c>
      <c r="H220" s="16" t="n">
        <v>0.0341</v>
      </c>
      <c r="I220" s="16" t="n">
        <v>0.0424</v>
      </c>
      <c r="J220" s="16" t="n">
        <v>0.0635</v>
      </c>
      <c r="K220" s="16" t="n">
        <v>0.085</v>
      </c>
      <c r="L220" s="16" t="n">
        <v>0.0083</v>
      </c>
    </row>
    <row r="221" customFormat="false" ht="30" hidden="false" customHeight="true" outlineLevel="0" collapsed="false">
      <c r="A221" s="3" t="s">
        <v>359</v>
      </c>
      <c r="B221" s="17" t="n">
        <v>-0.0132</v>
      </c>
      <c r="C221" s="17" t="n">
        <v>0.0032</v>
      </c>
      <c r="D221" s="17" t="n">
        <v>-0.0008</v>
      </c>
      <c r="E221" s="17" t="n">
        <v>0.0074</v>
      </c>
      <c r="F221" s="17" t="n">
        <v>-0.0125</v>
      </c>
      <c r="G221" s="17" t="n">
        <v>-0.0271</v>
      </c>
      <c r="H221" s="17" t="n">
        <v>0.0033</v>
      </c>
      <c r="I221" s="17" t="n">
        <v>-0.0417</v>
      </c>
      <c r="J221" s="17" t="n">
        <v>-0.0108</v>
      </c>
      <c r="K221" s="17" t="n">
        <v>-0.0038</v>
      </c>
      <c r="L221" s="17" t="n">
        <v>-0.0108</v>
      </c>
    </row>
    <row r="222" customFormat="false" ht="30" hidden="false" customHeight="true" outlineLevel="0" collapsed="false">
      <c r="A222" s="2" t="s">
        <v>360</v>
      </c>
      <c r="B222" s="16" t="n">
        <v>0.0009</v>
      </c>
      <c r="C222" s="16" t="n">
        <v>0.0241</v>
      </c>
      <c r="D222" s="16" t="n">
        <v>-0.0092</v>
      </c>
      <c r="E222" s="16" t="n">
        <v>0.0107</v>
      </c>
      <c r="F222" s="16" t="n">
        <v>0.0223</v>
      </c>
      <c r="G222" s="16" t="n">
        <v>-0.0015</v>
      </c>
      <c r="H222" s="16" t="n">
        <v>-0.0023</v>
      </c>
      <c r="I222" s="16" t="n">
        <v>0.0165</v>
      </c>
      <c r="J222" s="16" t="n">
        <v>0.0253</v>
      </c>
      <c r="K222" s="16" t="n">
        <v>0.0578</v>
      </c>
      <c r="L222" s="16" t="n">
        <v>0.0355</v>
      </c>
    </row>
    <row r="223" customFormat="false" ht="30" hidden="false" customHeight="true" outlineLevel="0" collapsed="false">
      <c r="A223" s="3" t="s">
        <v>361</v>
      </c>
      <c r="B223" s="17" t="n">
        <v>0.0416</v>
      </c>
      <c r="C223" s="17" t="n">
        <v>0.027</v>
      </c>
      <c r="D223" s="17" t="n">
        <v>0.0114</v>
      </c>
      <c r="E223" s="17" t="n">
        <v>-0.0069</v>
      </c>
      <c r="F223" s="17" t="n">
        <v>-0.0066</v>
      </c>
      <c r="G223" s="17" t="n">
        <v>-0.016</v>
      </c>
      <c r="H223" s="17" t="n">
        <v>-0.0164</v>
      </c>
      <c r="I223" s="17" t="n">
        <v>-0.0331</v>
      </c>
      <c r="J223" s="17" t="n">
        <v>-0.0423</v>
      </c>
      <c r="K223" s="17" t="n">
        <v>-0.0797</v>
      </c>
      <c r="L223" s="17" t="n">
        <v>-0.0569</v>
      </c>
    </row>
    <row r="224" customFormat="false" ht="30" hidden="false" customHeight="true" outlineLevel="0" collapsed="false">
      <c r="A224" s="2" t="s">
        <v>362</v>
      </c>
      <c r="B224" s="16" t="n">
        <v>0.0451</v>
      </c>
      <c r="C224" s="16" t="n">
        <v>0.0286</v>
      </c>
      <c r="D224" s="16" t="n">
        <v>0.0006</v>
      </c>
      <c r="E224" s="16" t="n">
        <v>0.0087</v>
      </c>
      <c r="F224" s="16" t="n">
        <v>-0.019</v>
      </c>
      <c r="G224" s="16" t="n">
        <v>-0.0259</v>
      </c>
      <c r="H224" s="16" t="n">
        <v>-0.0222</v>
      </c>
      <c r="I224" s="16" t="n">
        <v>-0.0138</v>
      </c>
      <c r="J224" s="16" t="n">
        <v>-0.015</v>
      </c>
      <c r="K224" s="16" t="n">
        <v>-0.0249</v>
      </c>
      <c r="L224" s="16" t="n">
        <v>-0.0245</v>
      </c>
    </row>
    <row r="225" customFormat="false" ht="30" hidden="false" customHeight="true" outlineLevel="0" collapsed="false">
      <c r="A225" s="3" t="s">
        <v>117</v>
      </c>
      <c r="B225" s="17" t="n">
        <v>-0.0789</v>
      </c>
      <c r="C225" s="17" t="n">
        <v>-0.0477</v>
      </c>
      <c r="D225" s="17" t="n">
        <v>-0.0385</v>
      </c>
      <c r="E225" s="17" t="n">
        <v>-0.0475</v>
      </c>
      <c r="F225" s="17" t="n">
        <v>-0.045</v>
      </c>
      <c r="G225" s="17" t="n">
        <v>-0.0627</v>
      </c>
      <c r="H225" s="17" t="n">
        <v>-0.0738</v>
      </c>
      <c r="I225" s="17" t="n">
        <v>-0.0519</v>
      </c>
      <c r="J225" s="17" t="n">
        <v>-0.0644</v>
      </c>
      <c r="K225" s="17" t="n">
        <v>-0.0842</v>
      </c>
      <c r="L225" s="17" t="n">
        <v>-0.0109</v>
      </c>
    </row>
    <row r="226" customFormat="false" ht="30" hidden="false" customHeight="true" outlineLevel="0" collapsed="false">
      <c r="A226" s="2" t="s">
        <v>363</v>
      </c>
      <c r="B226" s="16" t="n">
        <v>-0.099</v>
      </c>
      <c r="C226" s="16" t="n">
        <v>-0.0724</v>
      </c>
      <c r="D226" s="16" t="n">
        <v>-0.0543</v>
      </c>
      <c r="E226" s="16" t="n">
        <v>-0.0609</v>
      </c>
      <c r="F226" s="16" t="n">
        <v>-0.0437</v>
      </c>
      <c r="G226" s="16" t="n">
        <v>-0.0476</v>
      </c>
      <c r="H226" s="16" t="n">
        <v>-0.062</v>
      </c>
      <c r="I226" s="16" t="n">
        <v>-0.0438</v>
      </c>
      <c r="J226" s="16" t="n">
        <v>-0.0504</v>
      </c>
      <c r="K226" s="16" t="n">
        <v>-0.0814</v>
      </c>
      <c r="L226" s="16" t="n">
        <v>0.0213</v>
      </c>
    </row>
    <row r="227" customFormat="false" ht="30" hidden="false" customHeight="true" outlineLevel="0" collapsed="false">
      <c r="A227" s="3" t="s">
        <v>364</v>
      </c>
      <c r="B227" s="17" t="n">
        <v>0.0356</v>
      </c>
      <c r="C227" s="17" t="n">
        <v>0.0605</v>
      </c>
      <c r="D227" s="17" t="n">
        <v>0.0253</v>
      </c>
      <c r="E227" s="17" t="n">
        <v>0.0609</v>
      </c>
      <c r="F227" s="17" t="n">
        <v>0.0594</v>
      </c>
      <c r="G227" s="17" t="n">
        <v>0.0547</v>
      </c>
      <c r="H227" s="17" t="n">
        <v>0.0714</v>
      </c>
      <c r="I227" s="17" t="n">
        <v>0.0586</v>
      </c>
      <c r="J227" s="17" t="n">
        <v>0.0839</v>
      </c>
      <c r="K227" s="17" t="n">
        <v>0.1181</v>
      </c>
      <c r="L227" s="17" t="n">
        <v>0.0393</v>
      </c>
    </row>
    <row r="228" customFormat="false" ht="30" hidden="false" customHeight="true" outlineLevel="0" collapsed="false">
      <c r="A228" s="2" t="s">
        <v>365</v>
      </c>
      <c r="B228" s="16" t="n">
        <v>0.037</v>
      </c>
      <c r="C228" s="16" t="n">
        <v>0.0496</v>
      </c>
      <c r="D228" s="16" t="n">
        <v>0.0505</v>
      </c>
      <c r="E228" s="16" t="n">
        <v>0.0743</v>
      </c>
      <c r="F228" s="16" t="n">
        <v>0.0454</v>
      </c>
      <c r="G228" s="16" t="n">
        <v>0.0398</v>
      </c>
      <c r="H228" s="16" t="n">
        <v>0.053</v>
      </c>
      <c r="I228" s="16" t="n">
        <v>0.0348</v>
      </c>
      <c r="J228" s="16" t="n">
        <v>0.0297</v>
      </c>
      <c r="K228" s="16" t="n">
        <v>0.0278</v>
      </c>
      <c r="L228" s="16" t="n">
        <v>-0.002</v>
      </c>
    </row>
    <row r="229" customFormat="false" ht="30" hidden="false" customHeight="true" outlineLevel="0" collapsed="false">
      <c r="A229" s="3" t="s">
        <v>366</v>
      </c>
      <c r="B229" s="17" t="n">
        <v>-0.0525</v>
      </c>
      <c r="C229" s="17" t="n">
        <v>-0.041</v>
      </c>
      <c r="D229" s="17" t="n">
        <v>-0.0211</v>
      </c>
      <c r="E229" s="17" t="n">
        <v>-0.0261</v>
      </c>
      <c r="F229" s="17" t="n">
        <v>-0.0165</v>
      </c>
      <c r="G229" s="17" t="n">
        <v>-0.0233</v>
      </c>
      <c r="H229" s="17" t="n">
        <v>-0.0249</v>
      </c>
      <c r="I229" s="17" t="n">
        <v>-0.0303</v>
      </c>
      <c r="J229" s="17" t="n">
        <v>-0.0219</v>
      </c>
      <c r="K229" s="17" t="n">
        <v>-0.0261</v>
      </c>
      <c r="L229" s="17" t="n">
        <v>0.0127</v>
      </c>
    </row>
    <row r="230" customFormat="false" ht="30" hidden="false" customHeight="true" outlineLevel="0" collapsed="false">
      <c r="A230" s="2" t="s">
        <v>367</v>
      </c>
      <c r="B230" s="16" t="n">
        <v>-0.0484</v>
      </c>
      <c r="C230" s="16" t="n">
        <v>-0.0617</v>
      </c>
      <c r="D230" s="16" t="n">
        <v>-0.0112</v>
      </c>
      <c r="E230" s="16" t="n">
        <v>-0.0475</v>
      </c>
      <c r="F230" s="16" t="n">
        <v>-0.0164</v>
      </c>
      <c r="G230" s="16" t="n">
        <v>-0.0255</v>
      </c>
      <c r="H230" s="16" t="n">
        <v>0</v>
      </c>
      <c r="I230" s="16" t="n">
        <v>-0.012</v>
      </c>
      <c r="J230" s="16" t="n">
        <v>-0.0005</v>
      </c>
      <c r="K230" s="16" t="n">
        <v>-0.0359</v>
      </c>
      <c r="L230" s="16" t="n">
        <v>0.0176</v>
      </c>
    </row>
    <row r="231" customFormat="false" ht="30" hidden="false" customHeight="true" outlineLevel="0" collapsed="false">
      <c r="A231" s="3" t="s">
        <v>368</v>
      </c>
      <c r="B231" s="17" t="n">
        <v>-0.0916</v>
      </c>
      <c r="C231" s="17" t="n">
        <v>-0.0921</v>
      </c>
      <c r="D231" s="17" t="n">
        <v>-0.0573</v>
      </c>
      <c r="E231" s="17" t="n">
        <v>-0.0602</v>
      </c>
      <c r="F231" s="17" t="n">
        <v>-0.0616</v>
      </c>
      <c r="G231" s="17" t="n">
        <v>-0.041</v>
      </c>
      <c r="H231" s="17" t="n">
        <v>-0.0163</v>
      </c>
      <c r="I231" s="17" t="n">
        <v>-0.0314</v>
      </c>
      <c r="J231" s="17" t="n">
        <v>-0.0067</v>
      </c>
      <c r="K231" s="17" t="n">
        <v>-0.0477</v>
      </c>
      <c r="L231" s="17" t="n">
        <v>0.0487</v>
      </c>
    </row>
    <row r="232" customFormat="false" ht="30" hidden="false" customHeight="true" outlineLevel="0" collapsed="false">
      <c r="A232" s="2" t="s">
        <v>369</v>
      </c>
      <c r="B232" s="16" t="n">
        <v>-0.0477</v>
      </c>
      <c r="C232" s="16" t="n">
        <v>-0.0221</v>
      </c>
      <c r="D232" s="16" t="n">
        <v>-0.0136</v>
      </c>
      <c r="E232" s="16" t="n">
        <v>-0.0119</v>
      </c>
      <c r="F232" s="16" t="n">
        <v>-0.009</v>
      </c>
      <c r="G232" s="16" t="n">
        <v>-0.0216</v>
      </c>
      <c r="H232" s="16" t="n">
        <v>0.0004</v>
      </c>
      <c r="I232" s="16" t="n">
        <v>0.0158</v>
      </c>
      <c r="J232" s="16" t="n">
        <v>0.0175</v>
      </c>
      <c r="K232" s="16" t="n">
        <v>-0.0052</v>
      </c>
      <c r="L232" s="16" t="n">
        <v>0.0291</v>
      </c>
    </row>
    <row r="233" customFormat="false" ht="30" hidden="false" customHeight="true" outlineLevel="0" collapsed="false">
      <c r="A233" s="3" t="s">
        <v>370</v>
      </c>
      <c r="B233" s="17" t="n">
        <v>0.0575</v>
      </c>
      <c r="C233" s="17" t="n">
        <v>0.0434</v>
      </c>
      <c r="D233" s="17" t="n">
        <v>0.0487</v>
      </c>
      <c r="E233" s="17" t="n">
        <v>0.0404</v>
      </c>
      <c r="F233" s="17" t="n">
        <v>0.0428</v>
      </c>
      <c r="G233" s="17" t="n">
        <v>0.0371</v>
      </c>
      <c r="H233" s="17" t="n">
        <v>0.0477</v>
      </c>
      <c r="I233" s="17" t="n">
        <v>0.0541</v>
      </c>
      <c r="J233" s="17" t="n">
        <v>0.028</v>
      </c>
      <c r="K233" s="17" t="n">
        <v>0.0441</v>
      </c>
      <c r="L233" s="17" t="n">
        <v>-0.0046</v>
      </c>
    </row>
    <row r="234" customFormat="false" ht="30" hidden="false" customHeight="true" outlineLevel="0" collapsed="false">
      <c r="A234" s="2" t="s">
        <v>371</v>
      </c>
      <c r="B234" s="16" t="n">
        <v>-0.0643</v>
      </c>
      <c r="C234" s="16" t="n">
        <v>-0.0461</v>
      </c>
      <c r="D234" s="16" t="n">
        <v>-0.0362</v>
      </c>
      <c r="E234" s="16" t="n">
        <v>-0.0145</v>
      </c>
      <c r="F234" s="16" t="n">
        <v>-0.03</v>
      </c>
      <c r="G234" s="16" t="n">
        <v>-0.0113</v>
      </c>
      <c r="H234" s="16" t="n">
        <v>-0.0273</v>
      </c>
      <c r="I234" s="16" t="n">
        <v>-0.0292</v>
      </c>
      <c r="J234" s="16" t="n">
        <v>-0.0325</v>
      </c>
      <c r="K234" s="16" t="n">
        <v>-0.0112</v>
      </c>
      <c r="L234" s="16" t="n">
        <v>0.0251</v>
      </c>
    </row>
    <row r="235" customFormat="false" ht="30" hidden="false" customHeight="true" outlineLevel="0" collapsed="false">
      <c r="A235" s="3" t="s">
        <v>372</v>
      </c>
      <c r="B235" s="17" t="n">
        <v>-0.0905</v>
      </c>
      <c r="C235" s="17" t="n">
        <v>-0.0545</v>
      </c>
      <c r="D235" s="17" t="n">
        <v>-0.0243</v>
      </c>
      <c r="E235" s="17" t="n">
        <v>-0.011</v>
      </c>
      <c r="F235" s="17" t="n">
        <v>-0.0462</v>
      </c>
      <c r="G235" s="17" t="n">
        <v>-0.0281</v>
      </c>
      <c r="H235" s="17" t="n">
        <v>-0.0104</v>
      </c>
      <c r="I235" s="17" t="n">
        <v>-0.0075</v>
      </c>
      <c r="J235" s="17" t="n">
        <v>-0.0007</v>
      </c>
      <c r="K235" s="17" t="n">
        <v>0.0108</v>
      </c>
      <c r="L235" s="17" t="n">
        <v>0.0488</v>
      </c>
    </row>
    <row r="236" customFormat="false" ht="30" hidden="false" customHeight="true" outlineLevel="0" collapsed="false">
      <c r="A236" s="2" t="s">
        <v>373</v>
      </c>
      <c r="B236" s="16" t="n">
        <v>-0.0677</v>
      </c>
      <c r="C236" s="16" t="n">
        <v>-0.0471</v>
      </c>
      <c r="D236" s="16" t="n">
        <v>-0.0349</v>
      </c>
      <c r="E236" s="16" t="n">
        <v>-0.0321</v>
      </c>
      <c r="F236" s="16" t="n">
        <v>-0.0444</v>
      </c>
      <c r="G236" s="16" t="n">
        <v>-0.0382</v>
      </c>
      <c r="H236" s="16" t="n">
        <v>-0.0266</v>
      </c>
      <c r="I236" s="16" t="n">
        <v>-0.003</v>
      </c>
      <c r="J236" s="16" t="n">
        <v>0.024</v>
      </c>
      <c r="K236" s="16" t="n">
        <v>-0.0157</v>
      </c>
      <c r="L236" s="16" t="n">
        <v>0.044</v>
      </c>
    </row>
    <row r="237" customFormat="false" ht="30" hidden="false" customHeight="true" outlineLevel="0" collapsed="false">
      <c r="A237" s="3" t="s">
        <v>374</v>
      </c>
      <c r="B237" s="17" t="n">
        <v>0.1061</v>
      </c>
      <c r="C237" s="17" t="n">
        <v>0.1643</v>
      </c>
      <c r="D237" s="17" t="n">
        <v>0.1525</v>
      </c>
      <c r="E237" s="17" t="n">
        <v>0.1324</v>
      </c>
      <c r="F237" s="17" t="n">
        <v>0.1159</v>
      </c>
      <c r="G237" s="17" t="n">
        <v>0.1376</v>
      </c>
      <c r="H237" s="17" t="n">
        <v>0.1049</v>
      </c>
      <c r="I237" s="17" t="n">
        <v>0.1136</v>
      </c>
      <c r="J237" s="17" t="n">
        <v>0.1051</v>
      </c>
      <c r="K237" s="17" t="n">
        <v>0.0956</v>
      </c>
      <c r="L237" s="17" t="n">
        <v>-0.0356</v>
      </c>
    </row>
    <row r="238" customFormat="false" ht="30" hidden="false" customHeight="true" outlineLevel="0" collapsed="false">
      <c r="A238" s="2" t="s">
        <v>118</v>
      </c>
      <c r="B238" s="16" t="n">
        <v>-0.0306</v>
      </c>
      <c r="C238" s="16" t="n">
        <v>0.0016</v>
      </c>
      <c r="D238" s="16" t="n">
        <v>0.0241</v>
      </c>
      <c r="E238" s="16" t="n">
        <v>0.0301</v>
      </c>
      <c r="F238" s="16" t="n">
        <v>0.0126</v>
      </c>
      <c r="G238" s="16" t="n">
        <v>0.0203</v>
      </c>
      <c r="H238" s="16" t="n">
        <v>0.01</v>
      </c>
      <c r="I238" s="16" t="n">
        <v>0.0194</v>
      </c>
      <c r="J238" s="16" t="n">
        <v>0.0255</v>
      </c>
      <c r="K238" s="16" t="n">
        <v>0.0473</v>
      </c>
      <c r="L238" s="16" t="n">
        <v>0.0414</v>
      </c>
    </row>
    <row r="239" customFormat="false" ht="30" hidden="false" customHeight="true" outlineLevel="0" collapsed="false">
      <c r="A239" s="3" t="s">
        <v>375</v>
      </c>
      <c r="B239" s="17" t="n">
        <v>0.1381</v>
      </c>
      <c r="C239" s="17" t="n">
        <v>0.1236</v>
      </c>
      <c r="D239" s="17" t="n">
        <v>0.1303</v>
      </c>
      <c r="E239" s="17" t="n">
        <v>0.1191</v>
      </c>
      <c r="F239" s="17" t="n">
        <v>0.0882</v>
      </c>
      <c r="G239" s="17" t="n">
        <v>0.1688</v>
      </c>
      <c r="H239" s="17" t="n">
        <v>0.123</v>
      </c>
      <c r="I239" s="17" t="n">
        <v>0.1061</v>
      </c>
      <c r="J239" s="17" t="n">
        <v>0.1033</v>
      </c>
      <c r="K239" s="17" t="n">
        <v>0.1387</v>
      </c>
      <c r="L239" s="17" t="n">
        <v>0</v>
      </c>
    </row>
    <row r="240" customFormat="false" ht="30" hidden="false" customHeight="true" outlineLevel="0" collapsed="false">
      <c r="A240" s="2" t="s">
        <v>376</v>
      </c>
      <c r="B240" s="16" t="n">
        <v>0.0184</v>
      </c>
      <c r="C240" s="16" t="n">
        <v>0.0533</v>
      </c>
      <c r="D240" s="16" t="n">
        <v>-0.0105</v>
      </c>
      <c r="E240" s="16" t="n">
        <v>0.0547</v>
      </c>
      <c r="F240" s="16" t="n">
        <v>0.0436</v>
      </c>
      <c r="G240" s="16" t="n">
        <v>0.0561</v>
      </c>
      <c r="H240" s="16" t="n">
        <v>0.0682</v>
      </c>
      <c r="I240" s="16" t="n">
        <v>0.0542</v>
      </c>
      <c r="J240" s="16" t="n">
        <v>0.0681</v>
      </c>
      <c r="K240" s="16" t="n">
        <v>0.0995</v>
      </c>
      <c r="L240" s="16" t="n">
        <v>0.0591</v>
      </c>
    </row>
    <row r="241" customFormat="false" ht="30" hidden="false" customHeight="true" outlineLevel="0" collapsed="false">
      <c r="A241" s="3" t="s">
        <v>377</v>
      </c>
      <c r="B241" s="17" t="n">
        <v>0.0382</v>
      </c>
      <c r="C241" s="17" t="n">
        <v>0.0249</v>
      </c>
      <c r="D241" s="17" t="n">
        <v>0.0142</v>
      </c>
      <c r="E241" s="17" t="n">
        <v>-0.0058</v>
      </c>
      <c r="F241" s="17" t="n">
        <v>0.0021</v>
      </c>
      <c r="G241" s="17" t="n">
        <v>0.0146</v>
      </c>
      <c r="H241" s="17" t="n">
        <v>0.0111</v>
      </c>
      <c r="I241" s="17" t="n">
        <v>0.0055</v>
      </c>
      <c r="J241" s="17" t="n">
        <v>0.0273</v>
      </c>
      <c r="K241" s="17" t="n">
        <v>0.0006</v>
      </c>
      <c r="L241" s="17" t="n">
        <v>0</v>
      </c>
    </row>
    <row r="242" customFormat="false" ht="30" hidden="false" customHeight="true" outlineLevel="0" collapsed="false">
      <c r="A242" s="2" t="s">
        <v>378</v>
      </c>
      <c r="B242" s="16" t="n">
        <v>0.0696</v>
      </c>
      <c r="C242" s="16" t="n">
        <v>0.0482</v>
      </c>
      <c r="D242" s="16" t="n">
        <v>0.0435</v>
      </c>
      <c r="E242" s="16" t="n">
        <v>0.0874</v>
      </c>
      <c r="F242" s="16" t="n">
        <v>0.0447</v>
      </c>
      <c r="G242" s="16" t="n">
        <v>0.0163</v>
      </c>
      <c r="H242" s="16" t="n">
        <v>0.0242</v>
      </c>
      <c r="I242" s="16" t="n">
        <v>0.02</v>
      </c>
      <c r="J242" s="16" t="n">
        <v>0.0435</v>
      </c>
      <c r="K242" s="16" t="n">
        <v>0.0256</v>
      </c>
      <c r="L242" s="16" t="n">
        <v>-0.0164</v>
      </c>
    </row>
    <row r="243" customFormat="false" ht="30" hidden="false" customHeight="true" outlineLevel="0" collapsed="false">
      <c r="A243" s="3" t="s">
        <v>379</v>
      </c>
      <c r="B243" s="17" t="n">
        <v>-0.0202</v>
      </c>
      <c r="C243" s="17" t="n">
        <v>0.0221</v>
      </c>
      <c r="D243" s="17" t="n">
        <v>0.026</v>
      </c>
      <c r="E243" s="17" t="n">
        <v>0.0115</v>
      </c>
      <c r="F243" s="17" t="n">
        <v>0.0345</v>
      </c>
      <c r="G243" s="17" t="n">
        <v>0.0303</v>
      </c>
      <c r="H243" s="17" t="n">
        <v>0.0425</v>
      </c>
      <c r="I243" s="17" t="n">
        <v>0.0417</v>
      </c>
      <c r="J243" s="17" t="n">
        <v>0.0507</v>
      </c>
      <c r="K243" s="17" t="n">
        <v>0.0691</v>
      </c>
      <c r="L243" s="17" t="n">
        <v>0.0371</v>
      </c>
    </row>
    <row r="244" customFormat="false" ht="30" hidden="false" customHeight="true" outlineLevel="0" collapsed="false">
      <c r="A244" s="2" t="s">
        <v>380</v>
      </c>
      <c r="B244" s="16" t="n">
        <v>0.0219</v>
      </c>
      <c r="C244" s="16" t="n">
        <v>0.0369</v>
      </c>
      <c r="D244" s="16" t="n">
        <v>0.0424</v>
      </c>
      <c r="E244" s="16" t="n">
        <v>0.0404</v>
      </c>
      <c r="F244" s="16" t="n">
        <v>0.0114</v>
      </c>
      <c r="G244" s="16" t="n">
        <v>0.037</v>
      </c>
      <c r="H244" s="16" t="n">
        <v>0.03</v>
      </c>
      <c r="I244" s="16" t="n">
        <v>0.0369</v>
      </c>
      <c r="J244" s="16" t="n">
        <v>0.0326</v>
      </c>
      <c r="K244" s="16" t="n">
        <v>0.0489</v>
      </c>
      <c r="L244" s="16" t="n">
        <v>0.0088</v>
      </c>
    </row>
    <row r="245" customFormat="false" ht="30" hidden="false" customHeight="true" outlineLevel="0" collapsed="false">
      <c r="A245" s="3" t="s">
        <v>381</v>
      </c>
      <c r="B245" s="17" t="n">
        <v>0.0651</v>
      </c>
      <c r="C245" s="17" t="n">
        <v>0.0867</v>
      </c>
      <c r="D245" s="17" t="n">
        <v>0.0772</v>
      </c>
      <c r="E245" s="17" t="n">
        <v>0.0653</v>
      </c>
      <c r="F245" s="17" t="n">
        <v>0.0543</v>
      </c>
      <c r="G245" s="17" t="n">
        <v>0.0579</v>
      </c>
      <c r="H245" s="17" t="n">
        <v>0.057</v>
      </c>
      <c r="I245" s="17" t="n">
        <v>0.1043</v>
      </c>
      <c r="J245" s="17" t="n">
        <v>0.0479</v>
      </c>
      <c r="K245" s="17" t="n">
        <v>0.1063</v>
      </c>
      <c r="L245" s="17" t="n">
        <v>0.0164</v>
      </c>
    </row>
    <row r="246" customFormat="false" ht="30" hidden="false" customHeight="true" outlineLevel="0" collapsed="false">
      <c r="A246" s="2" t="s">
        <v>382</v>
      </c>
      <c r="B246" s="16" t="n">
        <v>0.0867</v>
      </c>
      <c r="C246" s="16" t="n">
        <v>0.0253</v>
      </c>
      <c r="D246" s="16" t="n">
        <v>-0.0056</v>
      </c>
      <c r="E246" s="16" t="n">
        <v>0.0053</v>
      </c>
      <c r="F246" s="16" t="n">
        <v>0.0084</v>
      </c>
      <c r="G246" s="16" t="n">
        <v>-0.0084</v>
      </c>
      <c r="H246" s="16" t="n">
        <v>-0.0028</v>
      </c>
      <c r="I246" s="16" t="n">
        <v>-0.0036</v>
      </c>
      <c r="J246" s="16" t="n">
        <v>0.0152</v>
      </c>
      <c r="K246" s="16" t="n">
        <v>0.0476</v>
      </c>
      <c r="L246" s="16" t="n">
        <v>-0.0156</v>
      </c>
    </row>
    <row r="247" customFormat="false" ht="30" hidden="false" customHeight="true" outlineLevel="0" collapsed="false">
      <c r="A247" s="3" t="s">
        <v>383</v>
      </c>
      <c r="B247" s="17" t="n">
        <v>0.0457</v>
      </c>
      <c r="C247" s="17" t="n">
        <v>0.0488</v>
      </c>
      <c r="D247" s="17" t="n">
        <v>0.0249</v>
      </c>
      <c r="E247" s="17" t="n">
        <v>0.0098</v>
      </c>
      <c r="F247" s="17" t="n">
        <v>0.0197</v>
      </c>
      <c r="G247" s="17" t="n">
        <v>0.0425</v>
      </c>
      <c r="H247" s="17" t="n">
        <v>0.0242</v>
      </c>
      <c r="I247" s="17" t="n">
        <v>0.0638</v>
      </c>
      <c r="J247" s="17" t="n">
        <v>0.0478</v>
      </c>
      <c r="K247" s="17" t="n">
        <v>0.0571</v>
      </c>
      <c r="L247" s="17" t="n">
        <v>0.0186</v>
      </c>
    </row>
    <row r="248" customFormat="false" ht="30" hidden="false" customHeight="true" outlineLevel="0" collapsed="false">
      <c r="A248" s="2" t="s">
        <v>384</v>
      </c>
      <c r="B248" s="16" t="n">
        <v>-0.0267</v>
      </c>
      <c r="C248" s="16" t="n">
        <v>-0.0142</v>
      </c>
      <c r="D248" s="16" t="n">
        <v>-0.0345</v>
      </c>
      <c r="E248" s="16" t="n">
        <v>-0.0236</v>
      </c>
      <c r="F248" s="16" t="n">
        <v>-0.0259</v>
      </c>
      <c r="G248" s="16" t="n">
        <v>-0.0414</v>
      </c>
      <c r="H248" s="16" t="n">
        <v>-0.0185</v>
      </c>
      <c r="I248" s="16" t="n">
        <v>-0.0334</v>
      </c>
      <c r="J248" s="16" t="n">
        <v>-0.0375</v>
      </c>
      <c r="K248" s="16" t="n">
        <v>-0.0784</v>
      </c>
      <c r="L248" s="16" t="n">
        <v>-0.0308</v>
      </c>
    </row>
    <row r="249" customFormat="false" ht="30" hidden="false" customHeight="true" outlineLevel="0" collapsed="false">
      <c r="A249" s="3" t="s">
        <v>385</v>
      </c>
      <c r="B249" s="17" t="n">
        <v>-0.0023</v>
      </c>
      <c r="C249" s="17" t="n">
        <v>0.0382</v>
      </c>
      <c r="D249" s="17" t="n">
        <v>0.0338</v>
      </c>
      <c r="E249" s="17" t="n">
        <v>0.0203</v>
      </c>
      <c r="F249" s="17" t="n">
        <v>0.027</v>
      </c>
      <c r="G249" s="17" t="n">
        <v>-0.0056</v>
      </c>
      <c r="H249" s="17" t="n">
        <v>-0.0055</v>
      </c>
      <c r="I249" s="17" t="n">
        <v>-0.0205</v>
      </c>
      <c r="J249" s="17" t="n">
        <v>-0.0505</v>
      </c>
      <c r="K249" s="17" t="n">
        <v>-0.0452</v>
      </c>
      <c r="L249" s="17" t="n">
        <v>-0.0536</v>
      </c>
    </row>
    <row r="250" customFormat="false" ht="30" hidden="false" customHeight="true" outlineLevel="0" collapsed="false">
      <c r="A250" s="2" t="s">
        <v>386</v>
      </c>
      <c r="B250" s="16" t="n">
        <v>0.0358</v>
      </c>
      <c r="C250" s="16" t="n">
        <v>0.0146</v>
      </c>
      <c r="D250" s="16" t="n">
        <v>0.0078</v>
      </c>
      <c r="E250" s="16" t="n">
        <v>0.002</v>
      </c>
      <c r="F250" s="16" t="n">
        <v>0.0316</v>
      </c>
      <c r="G250" s="16" t="n">
        <v>0.0136</v>
      </c>
      <c r="H250" s="16" t="n">
        <v>0.0402</v>
      </c>
      <c r="I250" s="16" t="n">
        <v>-0.0088</v>
      </c>
      <c r="J250" s="16" t="n">
        <v>0.0338</v>
      </c>
      <c r="K250" s="16" t="n">
        <v>0.0117</v>
      </c>
      <c r="L250" s="16" t="n">
        <v>-0.0001</v>
      </c>
    </row>
    <row r="251" customFormat="false" ht="30" hidden="false" customHeight="true" outlineLevel="0" collapsed="false">
      <c r="A251" s="3" t="s">
        <v>387</v>
      </c>
      <c r="B251" s="17" t="n">
        <v>-0.0184</v>
      </c>
      <c r="C251" s="17" t="n">
        <v>0.0223</v>
      </c>
      <c r="D251" s="17" t="n">
        <v>-0.0239</v>
      </c>
      <c r="E251" s="17" t="n">
        <v>-0.0115</v>
      </c>
      <c r="F251" s="17" t="n">
        <v>-0.0184</v>
      </c>
      <c r="G251" s="17" t="n">
        <v>-0.0131</v>
      </c>
      <c r="H251" s="17" t="n">
        <v>-0.0254</v>
      </c>
      <c r="I251" s="17" t="n">
        <v>-0.047</v>
      </c>
      <c r="J251" s="17" t="n">
        <v>-0.0572</v>
      </c>
      <c r="K251" s="17" t="n">
        <v>-0.0939</v>
      </c>
      <c r="L251" s="17" t="n">
        <v>-0.0448</v>
      </c>
    </row>
    <row r="252" customFormat="false" ht="30" hidden="false" customHeight="true" outlineLevel="0" collapsed="false">
      <c r="A252" s="2" t="s">
        <v>388</v>
      </c>
      <c r="B252" s="16" t="n">
        <v>0.0484</v>
      </c>
      <c r="C252" s="16" t="n">
        <v>0.011</v>
      </c>
      <c r="D252" s="16" t="n">
        <v>0.033</v>
      </c>
      <c r="E252" s="16" t="n">
        <v>0.0298</v>
      </c>
      <c r="F252" s="16" t="n">
        <v>0.0231</v>
      </c>
      <c r="G252" s="16" t="n">
        <v>0.0431</v>
      </c>
      <c r="H252" s="16" t="n">
        <v>0.0395</v>
      </c>
      <c r="I252" s="16" t="n">
        <v>-0.0011</v>
      </c>
      <c r="J252" s="16" t="n">
        <v>0.0361</v>
      </c>
      <c r="K252" s="16" t="n">
        <v>0.0541</v>
      </c>
      <c r="L252" s="16" t="n">
        <v>-0.0013</v>
      </c>
    </row>
    <row r="253" customFormat="false" ht="30" hidden="false" customHeight="true" outlineLevel="0" collapsed="false">
      <c r="A253" s="3" t="s">
        <v>389</v>
      </c>
      <c r="B253" s="17" t="n">
        <v>0.0002</v>
      </c>
      <c r="C253" s="17" t="n">
        <v>-0.0125</v>
      </c>
      <c r="D253" s="17" t="n">
        <v>-0.0121</v>
      </c>
      <c r="E253" s="17" t="n">
        <v>-0.0102</v>
      </c>
      <c r="F253" s="17" t="n">
        <v>-0.0203</v>
      </c>
      <c r="G253" s="17" t="n">
        <v>-0.0297</v>
      </c>
      <c r="H253" s="17" t="n">
        <v>0.0005</v>
      </c>
      <c r="I253" s="17" t="n">
        <v>-0.0028</v>
      </c>
      <c r="J253" s="17" t="n">
        <v>0.0144</v>
      </c>
      <c r="K253" s="17" t="n">
        <v>-0.0263</v>
      </c>
      <c r="L253" s="17" t="n">
        <v>0.0082</v>
      </c>
    </row>
    <row r="254" customFormat="false" ht="30" hidden="false" customHeight="true" outlineLevel="0" collapsed="false">
      <c r="A254" s="2" t="s">
        <v>390</v>
      </c>
      <c r="B254" s="16" t="n">
        <v>-0.0184</v>
      </c>
      <c r="C254" s="16" t="n">
        <v>-0.0101</v>
      </c>
      <c r="D254" s="16" t="n">
        <v>0.0102</v>
      </c>
      <c r="E254" s="16" t="n">
        <v>-0.0071</v>
      </c>
      <c r="F254" s="16" t="n">
        <v>-0.0077</v>
      </c>
      <c r="G254" s="16" t="n">
        <v>-0.008</v>
      </c>
      <c r="H254" s="16" t="n">
        <v>-0.0047</v>
      </c>
      <c r="I254" s="16" t="n">
        <v>-0.0129</v>
      </c>
      <c r="J254" s="16" t="n">
        <v>-0.0298</v>
      </c>
      <c r="K254" s="16" t="n">
        <v>-0.0666</v>
      </c>
      <c r="L254" s="16" t="n">
        <v>-0.0257</v>
      </c>
    </row>
    <row r="255" customFormat="false" ht="30" hidden="false" customHeight="true" outlineLevel="0" collapsed="false">
      <c r="A255" s="3" t="s">
        <v>391</v>
      </c>
      <c r="B255" s="17" t="n">
        <v>-0.0584</v>
      </c>
      <c r="C255" s="17" t="n">
        <v>-0.039</v>
      </c>
      <c r="D255" s="17" t="n">
        <v>-0.0477</v>
      </c>
      <c r="E255" s="17" t="n">
        <v>-0.0238</v>
      </c>
      <c r="F255" s="17" t="n">
        <v>-0.0344</v>
      </c>
      <c r="G255" s="17" t="n">
        <v>-0.0379</v>
      </c>
      <c r="H255" s="17" t="n">
        <v>-0.0401</v>
      </c>
      <c r="I255" s="17" t="n">
        <v>-0.0431</v>
      </c>
      <c r="J255" s="17" t="n">
        <v>-0.0415</v>
      </c>
      <c r="K255" s="17" t="n">
        <v>-0.0461</v>
      </c>
      <c r="L255" s="17" t="n">
        <v>0.0045</v>
      </c>
    </row>
    <row r="256" customFormat="false" ht="30" hidden="false" customHeight="true" outlineLevel="0" collapsed="false">
      <c r="A256" s="2" t="s">
        <v>392</v>
      </c>
      <c r="B256" s="16" t="n">
        <v>-0.0086</v>
      </c>
      <c r="C256" s="16" t="n">
        <v>0.0156</v>
      </c>
      <c r="D256" s="16" t="n">
        <v>0.0186</v>
      </c>
      <c r="E256" s="16" t="n">
        <v>0.0197</v>
      </c>
      <c r="F256" s="16" t="n">
        <v>0.0176</v>
      </c>
      <c r="G256" s="16" t="n">
        <v>0.0181</v>
      </c>
      <c r="H256" s="16" t="n">
        <v>0.008</v>
      </c>
      <c r="I256" s="16" t="n">
        <v>0.0167</v>
      </c>
      <c r="J256" s="16" t="n">
        <v>0.0114</v>
      </c>
      <c r="K256" s="16" t="n">
        <v>0.0232</v>
      </c>
      <c r="L256" s="16" t="n">
        <v>0.0112</v>
      </c>
    </row>
    <row r="257" customFormat="false" ht="30" hidden="false" customHeight="true" outlineLevel="0" collapsed="false">
      <c r="A257" s="3" t="s">
        <v>393</v>
      </c>
      <c r="B257" s="17" t="n">
        <v>-0.0132</v>
      </c>
      <c r="C257" s="17" t="n">
        <v>-0.001</v>
      </c>
      <c r="D257" s="17" t="n">
        <v>-0.0129</v>
      </c>
      <c r="E257" s="17" t="n">
        <v>-0.011</v>
      </c>
      <c r="F257" s="17" t="n">
        <v>0.0114</v>
      </c>
      <c r="G257" s="17" t="n">
        <v>0.0079</v>
      </c>
      <c r="H257" s="17" t="n">
        <v>0.0045</v>
      </c>
      <c r="I257" s="17" t="n">
        <v>-0.0042</v>
      </c>
      <c r="J257" s="17" t="n">
        <v>0.0224</v>
      </c>
      <c r="K257" s="17" t="n">
        <v>0.0165</v>
      </c>
      <c r="L257" s="17" t="n">
        <v>0.0214</v>
      </c>
    </row>
    <row r="258" customFormat="false" ht="30" hidden="false" customHeight="true" outlineLevel="0" collapsed="false">
      <c r="A258" s="2" t="s">
        <v>394</v>
      </c>
      <c r="B258" s="16" t="n">
        <v>-0.088</v>
      </c>
      <c r="C258" s="16" t="n">
        <v>-0.0504</v>
      </c>
      <c r="D258" s="16" t="n">
        <v>-0.0538</v>
      </c>
      <c r="E258" s="16" t="n">
        <v>-0.042</v>
      </c>
      <c r="F258" s="16" t="n">
        <v>-0.0492</v>
      </c>
      <c r="G258" s="16" t="n">
        <v>-0.0579</v>
      </c>
      <c r="H258" s="16" t="n">
        <v>-0.0436</v>
      </c>
      <c r="I258" s="16" t="n">
        <v>-0.0469</v>
      </c>
      <c r="J258" s="16" t="n">
        <v>-0.0452</v>
      </c>
      <c r="K258" s="16" t="n">
        <v>-0.0557</v>
      </c>
      <c r="L258" s="16" t="n">
        <v>0.0152</v>
      </c>
    </row>
    <row r="259" customFormat="false" ht="30" hidden="false" customHeight="true" outlineLevel="0" collapsed="false">
      <c r="A259" s="3" t="s">
        <v>395</v>
      </c>
      <c r="B259" s="17" t="n">
        <v>0.0135</v>
      </c>
      <c r="C259" s="17" t="n">
        <v>0.0367</v>
      </c>
      <c r="D259" s="17" t="n">
        <v>0.0317</v>
      </c>
      <c r="E259" s="17" t="n">
        <v>0.0239</v>
      </c>
      <c r="F259" s="17" t="n">
        <v>0.0411</v>
      </c>
      <c r="G259" s="17" t="n">
        <v>0.0563</v>
      </c>
      <c r="H259" s="17" t="n">
        <v>0.019</v>
      </c>
      <c r="I259" s="17" t="n">
        <v>0.0139</v>
      </c>
      <c r="J259" s="17" t="n">
        <v>0.0173</v>
      </c>
      <c r="K259" s="17" t="n">
        <v>0.0145</v>
      </c>
      <c r="L259" s="17" t="n">
        <v>-0.0055</v>
      </c>
    </row>
    <row r="260" customFormat="false" ht="30" hidden="false" customHeight="true" outlineLevel="0" collapsed="false">
      <c r="A260" s="2" t="s">
        <v>396</v>
      </c>
      <c r="B260" s="16" t="n">
        <v>-0.0689</v>
      </c>
      <c r="C260" s="16" t="n">
        <v>-0.0504</v>
      </c>
      <c r="D260" s="16" t="n">
        <v>-0.0099</v>
      </c>
      <c r="E260" s="16" t="n">
        <v>-0.0307</v>
      </c>
      <c r="F260" s="16" t="n">
        <v>-0.0202</v>
      </c>
      <c r="G260" s="16" t="n">
        <v>-0.0024</v>
      </c>
      <c r="H260" s="16" t="n">
        <v>-0.0108</v>
      </c>
      <c r="I260" s="16" t="n">
        <v>-0.0254</v>
      </c>
      <c r="J260" s="16" t="n">
        <v>-0.0244</v>
      </c>
      <c r="K260" s="16" t="n">
        <v>-0.0201</v>
      </c>
      <c r="L260" s="16" t="n">
        <v>0.0278</v>
      </c>
    </row>
    <row r="261" customFormat="false" ht="30" hidden="false" customHeight="true" outlineLevel="0" collapsed="false">
      <c r="A261" s="3" t="s">
        <v>397</v>
      </c>
      <c r="B261" s="17" t="n">
        <v>0.135</v>
      </c>
      <c r="C261" s="17" t="n">
        <v>0.1608</v>
      </c>
      <c r="D261" s="17" t="n">
        <v>0.1369</v>
      </c>
      <c r="E261" s="17" t="n">
        <v>0.1145</v>
      </c>
      <c r="F261" s="17" t="n">
        <v>0.1237</v>
      </c>
      <c r="G261" s="17" t="n">
        <v>0.1293</v>
      </c>
      <c r="H261" s="17" t="n">
        <v>0.117</v>
      </c>
      <c r="I261" s="17" t="n">
        <v>0.0975</v>
      </c>
      <c r="J261" s="17" t="n">
        <v>0.0818</v>
      </c>
      <c r="K261" s="17" t="n">
        <v>0.0862</v>
      </c>
      <c r="L261" s="17" t="n">
        <v>-0.056</v>
      </c>
    </row>
    <row r="262" customFormat="false" ht="30" hidden="false" customHeight="true" outlineLevel="0" collapsed="false">
      <c r="A262" s="2" t="s">
        <v>398</v>
      </c>
      <c r="B262" s="16" t="n">
        <v>-0.0339</v>
      </c>
      <c r="C262" s="16" t="n">
        <v>-0.0075</v>
      </c>
      <c r="D262" s="16" t="n">
        <v>-0.0148</v>
      </c>
      <c r="E262" s="16" t="n">
        <v>-0.0289</v>
      </c>
      <c r="F262" s="16" t="n">
        <v>0.0029</v>
      </c>
      <c r="G262" s="16" t="n">
        <v>0.0013</v>
      </c>
      <c r="H262" s="16" t="n">
        <v>-0.0046</v>
      </c>
      <c r="I262" s="16" t="n">
        <v>0.0219</v>
      </c>
      <c r="J262" s="16" t="n">
        <v>0.0114</v>
      </c>
      <c r="K262" s="16" t="n">
        <v>0.0124</v>
      </c>
      <c r="L262" s="16" t="n">
        <v>0.0364</v>
      </c>
    </row>
    <row r="263" customFormat="false" ht="30" hidden="false" customHeight="true" outlineLevel="0" collapsed="false">
      <c r="A263" s="3" t="s">
        <v>399</v>
      </c>
      <c r="B263" s="17" t="n">
        <v>-0.0341</v>
      </c>
      <c r="C263" s="17" t="n">
        <v>-0.0309</v>
      </c>
      <c r="D263" s="17" t="n">
        <v>-0.0011</v>
      </c>
      <c r="E263" s="17" t="n">
        <v>-0.0014</v>
      </c>
      <c r="F263" s="17" t="n">
        <v>0.0033</v>
      </c>
      <c r="G263" s="17" t="n">
        <v>-0.0033</v>
      </c>
      <c r="H263" s="17" t="n">
        <v>0.0089</v>
      </c>
      <c r="I263" s="17" t="n">
        <v>0.0118</v>
      </c>
      <c r="J263" s="17" t="n">
        <v>0.0081</v>
      </c>
      <c r="K263" s="17" t="n">
        <v>0.0074</v>
      </c>
      <c r="L263" s="17" t="n">
        <v>0.0329</v>
      </c>
    </row>
    <row r="264" customFormat="false" ht="30" hidden="false" customHeight="true" outlineLevel="0" collapsed="false">
      <c r="A264" s="2" t="s">
        <v>400</v>
      </c>
      <c r="B264" s="16" t="n">
        <v>-0.0456</v>
      </c>
      <c r="C264" s="16" t="n">
        <v>-0.011</v>
      </c>
      <c r="D264" s="16" t="n">
        <v>-0.0087</v>
      </c>
      <c r="E264" s="16" t="n">
        <v>-0.002</v>
      </c>
      <c r="F264" s="16" t="n">
        <v>-0.016</v>
      </c>
      <c r="G264" s="16" t="n">
        <v>-0.0064</v>
      </c>
      <c r="H264" s="16" t="n">
        <v>-0.0091</v>
      </c>
      <c r="I264" s="16" t="n">
        <v>-0.0128</v>
      </c>
      <c r="J264" s="16" t="n">
        <v>-0.0056</v>
      </c>
      <c r="K264" s="16" t="n">
        <v>-0.0132</v>
      </c>
      <c r="L264" s="16" t="n">
        <v>0.0157</v>
      </c>
    </row>
    <row r="265" customFormat="false" ht="30" hidden="false" customHeight="true" outlineLevel="0" collapsed="false">
      <c r="A265" s="3" t="s">
        <v>401</v>
      </c>
      <c r="B265" s="17" t="n">
        <v>0.0102</v>
      </c>
      <c r="C265" s="17" t="n">
        <v>-0.0012</v>
      </c>
      <c r="D265" s="17" t="n">
        <v>0.0224</v>
      </c>
      <c r="E265" s="17" t="n">
        <v>0.0368</v>
      </c>
      <c r="F265" s="17" t="n">
        <v>0.0233</v>
      </c>
      <c r="G265" s="17" t="n">
        <v>0.0163</v>
      </c>
      <c r="H265" s="17" t="n">
        <v>0.028</v>
      </c>
      <c r="I265" s="17" t="n">
        <v>0.0259</v>
      </c>
      <c r="J265" s="17" t="n">
        <v>0.0283</v>
      </c>
      <c r="K265" s="17" t="n">
        <v>0.0258</v>
      </c>
      <c r="L265" s="17" t="n">
        <v>0.014</v>
      </c>
    </row>
    <row r="266" customFormat="false" ht="30" hidden="false" customHeight="true" outlineLevel="0" collapsed="false">
      <c r="A266" s="2" t="s">
        <v>402</v>
      </c>
      <c r="B266" s="16" t="n">
        <v>0.1658</v>
      </c>
      <c r="C266" s="16" t="n">
        <v>0.138</v>
      </c>
      <c r="D266" s="16" t="n">
        <v>0.1134</v>
      </c>
      <c r="E266" s="16" t="n">
        <v>0.1024</v>
      </c>
      <c r="F266" s="16" t="n">
        <v>0.1077</v>
      </c>
      <c r="G266" s="16" t="n">
        <v>0.0966</v>
      </c>
      <c r="H266" s="16" t="n">
        <v>0.0741</v>
      </c>
      <c r="I266" s="16" t="n">
        <v>0.0671</v>
      </c>
      <c r="J266" s="16" t="n">
        <v>0.0479</v>
      </c>
      <c r="K266" s="16" t="n">
        <v>0.0648</v>
      </c>
      <c r="L266" s="16" t="n">
        <v>-0.0677</v>
      </c>
    </row>
    <row r="267" customFormat="false" ht="30" hidden="false" customHeight="true" outlineLevel="0" collapsed="false">
      <c r="A267" s="3" t="s">
        <v>403</v>
      </c>
      <c r="B267" s="17" t="n">
        <v>0.0025</v>
      </c>
      <c r="C267" s="17" t="n">
        <v>0.0137</v>
      </c>
      <c r="D267" s="17" t="n">
        <v>0.0041</v>
      </c>
      <c r="E267" s="17" t="n">
        <v>0.0119</v>
      </c>
      <c r="F267" s="17" t="n">
        <v>0.0197</v>
      </c>
      <c r="G267" s="17" t="n">
        <v>0.0211</v>
      </c>
      <c r="H267" s="17" t="n">
        <v>0.0148</v>
      </c>
      <c r="I267" s="17" t="n">
        <v>0.0099</v>
      </c>
      <c r="J267" s="17" t="n">
        <v>0.0303</v>
      </c>
      <c r="K267" s="17" t="n">
        <v>0.0288</v>
      </c>
      <c r="L267" s="17" t="n">
        <v>0.0186</v>
      </c>
    </row>
    <row r="268" customFormat="false" ht="30" hidden="false" customHeight="true" outlineLevel="0" collapsed="false">
      <c r="A268" s="2" t="s">
        <v>404</v>
      </c>
      <c r="B268" s="16" t="n">
        <v>-0.0095</v>
      </c>
      <c r="C268" s="16" t="n">
        <v>-0.0067</v>
      </c>
      <c r="D268" s="16" t="n">
        <v>-0.0049</v>
      </c>
      <c r="E268" s="16" t="n">
        <v>-0.0042</v>
      </c>
      <c r="F268" s="16" t="n">
        <v>-0.0073</v>
      </c>
      <c r="G268" s="16" t="n">
        <v>0.0265</v>
      </c>
      <c r="H268" s="16" t="n">
        <v>-0.021</v>
      </c>
      <c r="I268" s="16" t="n">
        <v>0.0164</v>
      </c>
      <c r="J268" s="16" t="n">
        <v>0.0051</v>
      </c>
      <c r="K268" s="16" t="n">
        <v>-0.0053</v>
      </c>
      <c r="L268" s="16" t="n">
        <v>0.0179</v>
      </c>
    </row>
    <row r="269" customFormat="false" ht="30" hidden="false" customHeight="true" outlineLevel="0" collapsed="false">
      <c r="A269" s="3" t="s">
        <v>405</v>
      </c>
      <c r="B269" s="17" t="n">
        <v>-0.0339</v>
      </c>
      <c r="C269" s="17" t="n">
        <v>-0.0231</v>
      </c>
      <c r="D269" s="17" t="n">
        <v>-0.015</v>
      </c>
      <c r="E269" s="17" t="n">
        <v>0.0087</v>
      </c>
      <c r="F269" s="17" t="n">
        <v>-0.0014</v>
      </c>
      <c r="G269" s="17" t="n">
        <v>-0.0061</v>
      </c>
      <c r="H269" s="17" t="n">
        <v>-0.0011</v>
      </c>
      <c r="I269" s="17" t="n">
        <v>0.0057</v>
      </c>
      <c r="J269" s="17" t="n">
        <v>0.006</v>
      </c>
      <c r="K269" s="17" t="n">
        <v>0</v>
      </c>
      <c r="L269" s="17" t="n">
        <v>0.0295</v>
      </c>
    </row>
    <row r="270" customFormat="false" ht="30" hidden="false" customHeight="true" outlineLevel="0" collapsed="false">
      <c r="A270" s="2" t="s">
        <v>406</v>
      </c>
      <c r="B270" s="16" t="n">
        <v>-0.0075</v>
      </c>
      <c r="C270" s="16" t="n">
        <v>0.0182</v>
      </c>
      <c r="D270" s="16" t="n">
        <v>0.035</v>
      </c>
      <c r="E270" s="16" t="n">
        <v>0.0587</v>
      </c>
      <c r="F270" s="16" t="n">
        <v>0.0416</v>
      </c>
      <c r="G270" s="16" t="n">
        <v>0.072</v>
      </c>
      <c r="H270" s="16" t="n">
        <v>0.0812</v>
      </c>
      <c r="I270" s="16" t="n">
        <v>0.0648</v>
      </c>
      <c r="J270" s="16" t="n">
        <v>0.0609</v>
      </c>
      <c r="K270" s="16" t="n">
        <v>0.0746</v>
      </c>
      <c r="L270" s="16" t="n">
        <v>0.0406</v>
      </c>
    </row>
    <row r="271" customFormat="false" ht="30" hidden="false" customHeight="true" outlineLevel="0" collapsed="false">
      <c r="A271" s="3" t="s">
        <v>407</v>
      </c>
      <c r="B271" s="17" t="n">
        <v>-0.0122</v>
      </c>
      <c r="C271" s="17" t="n">
        <v>-0.0011</v>
      </c>
      <c r="D271" s="17" t="n">
        <v>0.0185</v>
      </c>
      <c r="E271" s="17" t="n">
        <v>0.0095</v>
      </c>
      <c r="F271" s="17" t="n">
        <v>-0.0005</v>
      </c>
      <c r="G271" s="17" t="n">
        <v>0.0211</v>
      </c>
      <c r="H271" s="17" t="n">
        <v>0.0209</v>
      </c>
      <c r="I271" s="17" t="n">
        <v>0.0329</v>
      </c>
      <c r="J271" s="17" t="n">
        <v>0.0293</v>
      </c>
      <c r="K271" s="17" t="n">
        <v>0.0355</v>
      </c>
      <c r="L271" s="17" t="n">
        <v>0.0339</v>
      </c>
    </row>
    <row r="272" customFormat="false" ht="30" hidden="false" customHeight="true" outlineLevel="0" collapsed="false">
      <c r="A272" s="2" t="s">
        <v>408</v>
      </c>
      <c r="B272" s="16" t="n">
        <v>0.0305</v>
      </c>
      <c r="C272" s="16" t="n">
        <v>0.0531</v>
      </c>
      <c r="D272" s="16" t="n">
        <v>0.0233</v>
      </c>
      <c r="E272" s="16" t="n">
        <v>0.0159</v>
      </c>
      <c r="F272" s="16" t="n">
        <v>0.0217</v>
      </c>
      <c r="G272" s="16" t="n">
        <v>0.0032</v>
      </c>
      <c r="H272" s="16" t="n">
        <v>-0.0097</v>
      </c>
      <c r="I272" s="16" t="n">
        <v>-0.0268</v>
      </c>
      <c r="J272" s="16" t="n">
        <v>-0.0219</v>
      </c>
      <c r="K272" s="16" t="n">
        <v>-0.0134</v>
      </c>
      <c r="L272" s="16" t="n">
        <v>-0.0385</v>
      </c>
    </row>
    <row r="273" customFormat="false" ht="30" hidden="false" customHeight="true" outlineLevel="0" collapsed="false">
      <c r="A273" s="3" t="s">
        <v>409</v>
      </c>
      <c r="B273" s="17" t="n">
        <v>-0.0321</v>
      </c>
      <c r="C273" s="17" t="n">
        <v>-0.016</v>
      </c>
      <c r="D273" s="17" t="n">
        <v>-0.0094</v>
      </c>
      <c r="E273" s="17" t="n">
        <v>-0.02</v>
      </c>
      <c r="F273" s="17" t="n">
        <v>-0.0076</v>
      </c>
      <c r="G273" s="17" t="n">
        <v>0.0026</v>
      </c>
      <c r="H273" s="17" t="n">
        <v>0.0024</v>
      </c>
      <c r="I273" s="17" t="n">
        <v>0.011</v>
      </c>
      <c r="J273" s="17" t="n">
        <v>0.0032</v>
      </c>
      <c r="K273" s="17" t="n">
        <v>-0.0091</v>
      </c>
      <c r="L273" s="17" t="n">
        <v>0.0178</v>
      </c>
    </row>
    <row r="274" customFormat="false" ht="30" hidden="false" customHeight="true" outlineLevel="0" collapsed="false">
      <c r="A274" s="2" t="s">
        <v>410</v>
      </c>
      <c r="B274" s="16" t="n">
        <v>-0.0883</v>
      </c>
      <c r="C274" s="16" t="n">
        <v>-0.0535</v>
      </c>
      <c r="D274" s="16" t="n">
        <v>-0.0365</v>
      </c>
      <c r="E274" s="16" t="n">
        <v>-0.0303</v>
      </c>
      <c r="F274" s="16" t="n">
        <v>-0.0436</v>
      </c>
      <c r="G274" s="16" t="n">
        <v>-0.0292</v>
      </c>
      <c r="H274" s="16" t="n">
        <v>-0.0355</v>
      </c>
      <c r="I274" s="16" t="n">
        <v>-0.0288</v>
      </c>
      <c r="J274" s="16" t="n">
        <v>-0.0423</v>
      </c>
      <c r="K274" s="16" t="n">
        <v>-0.0486</v>
      </c>
      <c r="L274" s="16" t="n">
        <v>0.0159</v>
      </c>
    </row>
    <row r="275" customFormat="false" ht="30" hidden="false" customHeight="true" outlineLevel="0" collapsed="false">
      <c r="A275" s="3" t="s">
        <v>411</v>
      </c>
      <c r="B275" s="17" t="n">
        <v>0.0002</v>
      </c>
      <c r="C275" s="17" t="n">
        <v>0.0021</v>
      </c>
      <c r="D275" s="17" t="n">
        <v>0.0241</v>
      </c>
      <c r="E275" s="17" t="n">
        <v>0.0426</v>
      </c>
      <c r="F275" s="17" t="n">
        <v>0.0375</v>
      </c>
      <c r="G275" s="17" t="n">
        <v>0.049</v>
      </c>
      <c r="H275" s="17" t="n">
        <v>0.0573</v>
      </c>
      <c r="I275" s="17" t="n">
        <v>0.0549</v>
      </c>
      <c r="J275" s="17" t="n">
        <v>0.0566</v>
      </c>
      <c r="K275" s="17" t="n">
        <v>0.0733</v>
      </c>
      <c r="L275" s="17" t="n">
        <v>0.0486</v>
      </c>
    </row>
    <row r="276" customFormat="false" ht="30" hidden="false" customHeight="true" outlineLevel="0" collapsed="false">
      <c r="A276" s="2" t="s">
        <v>412</v>
      </c>
      <c r="B276" s="16" t="n">
        <v>0.067</v>
      </c>
      <c r="C276" s="16" t="n">
        <v>0.0777</v>
      </c>
      <c r="D276" s="16" t="n">
        <v>0.0874</v>
      </c>
      <c r="E276" s="16" t="n">
        <v>0.0834</v>
      </c>
      <c r="F276" s="16" t="n">
        <v>0.0689</v>
      </c>
      <c r="G276" s="16" t="n">
        <v>0.0688</v>
      </c>
      <c r="H276" s="16" t="n">
        <v>0.0577</v>
      </c>
      <c r="I276" s="16" t="n">
        <v>0.0569</v>
      </c>
      <c r="J276" s="16" t="n">
        <v>0.07</v>
      </c>
      <c r="K276" s="16" t="n">
        <v>0.0741</v>
      </c>
      <c r="L276" s="16" t="n">
        <v>-0.0058</v>
      </c>
    </row>
    <row r="277" customFormat="false" ht="30" hidden="false" customHeight="true" outlineLevel="0" collapsed="false">
      <c r="A277" s="3" t="s">
        <v>413</v>
      </c>
      <c r="B277" s="17" t="n">
        <v>0.0349</v>
      </c>
      <c r="C277" s="17" t="n">
        <v>0.0501</v>
      </c>
      <c r="D277" s="17" t="n">
        <v>0.0456</v>
      </c>
      <c r="E277" s="17" t="n">
        <v>0.0757</v>
      </c>
      <c r="F277" s="17" t="n">
        <v>0.0447</v>
      </c>
      <c r="G277" s="17" t="n">
        <v>0.0303</v>
      </c>
      <c r="H277" s="17" t="n">
        <v>0.0416</v>
      </c>
      <c r="I277" s="17" t="n">
        <v>0.0416</v>
      </c>
      <c r="J277" s="17" t="n">
        <v>0.042</v>
      </c>
      <c r="K277" s="17" t="n">
        <v>0.0376</v>
      </c>
      <c r="L277" s="17" t="n">
        <v>-0.0023</v>
      </c>
    </row>
    <row r="278" customFormat="false" ht="30" hidden="false" customHeight="true" outlineLevel="0" collapsed="false">
      <c r="A278" s="2" t="s">
        <v>414</v>
      </c>
      <c r="B278" s="16" t="n">
        <v>-0.0194</v>
      </c>
      <c r="C278" s="16" t="n">
        <v>0.0075</v>
      </c>
      <c r="D278" s="16" t="n">
        <v>0.019</v>
      </c>
      <c r="E278" s="16" t="n">
        <v>0.0123</v>
      </c>
      <c r="F278" s="16" t="n">
        <v>0.0008</v>
      </c>
      <c r="G278" s="16" t="n">
        <v>-0.0123</v>
      </c>
      <c r="H278" s="16" t="n">
        <v>0.0043</v>
      </c>
      <c r="I278" s="16" t="n">
        <v>0.0242</v>
      </c>
      <c r="J278" s="16" t="n">
        <v>0.0253</v>
      </c>
      <c r="K278" s="16" t="n">
        <v>0.0446</v>
      </c>
      <c r="L278" s="16" t="n">
        <v>0.0296</v>
      </c>
    </row>
    <row r="279" customFormat="false" ht="30" hidden="false" customHeight="true" outlineLevel="0" collapsed="false">
      <c r="A279" s="3" t="s">
        <v>415</v>
      </c>
      <c r="B279" s="17" t="n">
        <v>0.045</v>
      </c>
      <c r="C279" s="17" t="n">
        <v>0.0633</v>
      </c>
      <c r="D279" s="17" t="n">
        <v>0.0691</v>
      </c>
      <c r="E279" s="17" t="n">
        <v>0.0951</v>
      </c>
      <c r="F279" s="17" t="n">
        <v>0.058</v>
      </c>
      <c r="G279" s="17" t="n">
        <v>0.0709</v>
      </c>
      <c r="H279" s="17" t="n">
        <v>0.0898</v>
      </c>
      <c r="I279" s="17" t="n">
        <v>0.073</v>
      </c>
      <c r="J279" s="17" t="n">
        <v>0.0903</v>
      </c>
      <c r="K279" s="17" t="n">
        <v>0.0833</v>
      </c>
      <c r="L279" s="17" t="n">
        <v>0.0259</v>
      </c>
    </row>
    <row r="280" customFormat="false" ht="30" hidden="false" customHeight="true" outlineLevel="0" collapsed="false">
      <c r="A280" s="2" t="s">
        <v>416</v>
      </c>
      <c r="B280" s="16" t="n">
        <v>0.0252</v>
      </c>
      <c r="C280" s="16" t="n">
        <v>0.0117</v>
      </c>
      <c r="D280" s="16" t="n">
        <v>0.0535</v>
      </c>
      <c r="E280" s="16" t="n">
        <v>0.0471</v>
      </c>
      <c r="F280" s="16" t="n">
        <v>0.0378</v>
      </c>
      <c r="G280" s="16" t="n">
        <v>0.0567</v>
      </c>
      <c r="H280" s="16" t="n">
        <v>0.0577</v>
      </c>
      <c r="I280" s="16" t="n">
        <v>0.067</v>
      </c>
      <c r="J280" s="16" t="n">
        <v>0.0817</v>
      </c>
      <c r="K280" s="16" t="n">
        <v>0.0576</v>
      </c>
      <c r="L280" s="16" t="n">
        <v>0.024</v>
      </c>
    </row>
    <row r="281" customFormat="false" ht="30" hidden="false" customHeight="true" outlineLevel="0" collapsed="false">
      <c r="A281" s="3" t="s">
        <v>417</v>
      </c>
      <c r="B281" s="17" t="n">
        <v>-0.0088</v>
      </c>
      <c r="C281" s="17" t="n">
        <v>-0.0031</v>
      </c>
      <c r="D281" s="17" t="n">
        <v>0.0123</v>
      </c>
      <c r="E281" s="17" t="n">
        <v>0.0089</v>
      </c>
      <c r="F281" s="17" t="n">
        <v>-0.0005</v>
      </c>
      <c r="G281" s="17" t="n">
        <v>-0.0261</v>
      </c>
      <c r="H281" s="17" t="n">
        <v>-0.0168</v>
      </c>
      <c r="I281" s="17" t="n">
        <v>-0.0025</v>
      </c>
      <c r="J281" s="17" t="n">
        <v>-0.0265</v>
      </c>
      <c r="K281" s="17" t="n">
        <v>0.0016</v>
      </c>
      <c r="L281" s="17" t="n">
        <v>-0.0034</v>
      </c>
    </row>
    <row r="282" customFormat="false" ht="30" hidden="false" customHeight="true" outlineLevel="0" collapsed="false">
      <c r="A282" s="2" t="s">
        <v>418</v>
      </c>
      <c r="B282" s="16" t="n">
        <v>0.0498</v>
      </c>
      <c r="C282" s="16" t="n">
        <v>0.0569</v>
      </c>
      <c r="D282" s="16" t="n">
        <v>0.0348</v>
      </c>
      <c r="E282" s="16" t="n">
        <v>0.0193</v>
      </c>
      <c r="F282" s="16" t="n">
        <v>0.0424</v>
      </c>
      <c r="G282" s="16" t="n">
        <v>0.0476</v>
      </c>
      <c r="H282" s="16" t="n">
        <v>0.0584</v>
      </c>
      <c r="I282" s="16" t="n">
        <v>0.0535</v>
      </c>
      <c r="J282" s="16" t="n">
        <v>0.0771</v>
      </c>
      <c r="K282" s="16" t="n">
        <v>0.0663</v>
      </c>
      <c r="L282" s="16" t="n">
        <v>0.0209</v>
      </c>
    </row>
    <row r="283" customFormat="false" ht="30" hidden="false" customHeight="true" outlineLevel="0" collapsed="false">
      <c r="A283" s="3" t="s">
        <v>419</v>
      </c>
      <c r="B283" s="17" t="n">
        <v>-0.0425</v>
      </c>
      <c r="C283" s="17" t="n">
        <v>-0.0164</v>
      </c>
      <c r="D283" s="17" t="n">
        <v>-0.0015</v>
      </c>
      <c r="E283" s="17" t="n">
        <v>0.0059</v>
      </c>
      <c r="F283" s="17" t="n">
        <v>0.001</v>
      </c>
      <c r="G283" s="17" t="n">
        <v>0.0176</v>
      </c>
      <c r="H283" s="17" t="n">
        <v>0.0281</v>
      </c>
      <c r="I283" s="17" t="n">
        <v>0.035</v>
      </c>
      <c r="J283" s="17" t="n">
        <v>0.044</v>
      </c>
      <c r="K283" s="17" t="n">
        <v>0.0312</v>
      </c>
      <c r="L283" s="17" t="n">
        <v>0.0495</v>
      </c>
    </row>
    <row r="284" customFormat="false" ht="30" hidden="false" customHeight="true" outlineLevel="0" collapsed="false">
      <c r="A284" s="2" t="s">
        <v>420</v>
      </c>
      <c r="B284" s="16" t="n">
        <v>-0.1172</v>
      </c>
      <c r="C284" s="16" t="n">
        <v>-0.088</v>
      </c>
      <c r="D284" s="16" t="n">
        <v>-0.0583</v>
      </c>
      <c r="E284" s="16" t="n">
        <v>-0.0452</v>
      </c>
      <c r="F284" s="16" t="n">
        <v>-0.0586</v>
      </c>
      <c r="G284" s="16" t="n">
        <v>-0.043</v>
      </c>
      <c r="H284" s="16" t="n">
        <v>-0.0526</v>
      </c>
      <c r="I284" s="16" t="n">
        <v>-0.0486</v>
      </c>
      <c r="J284" s="16" t="n">
        <v>-0.0578</v>
      </c>
      <c r="K284" s="16" t="n">
        <v>-0.0764</v>
      </c>
      <c r="L284" s="16" t="n">
        <v>0.019</v>
      </c>
    </row>
    <row r="285" customFormat="false" ht="30" hidden="false" customHeight="true" outlineLevel="0" collapsed="false">
      <c r="A285" s="3" t="s">
        <v>421</v>
      </c>
      <c r="B285" s="17" t="n">
        <v>0.1108</v>
      </c>
      <c r="C285" s="17" t="n">
        <v>0.1203</v>
      </c>
      <c r="D285" s="17" t="n">
        <v>0.1003</v>
      </c>
      <c r="E285" s="17" t="n">
        <v>0.0799</v>
      </c>
      <c r="F285" s="17" t="n">
        <v>0.0888</v>
      </c>
      <c r="G285" s="17" t="n">
        <v>0.0565</v>
      </c>
      <c r="H285" s="17" t="n">
        <v>0.057</v>
      </c>
      <c r="I285" s="17" t="n">
        <v>0.0543</v>
      </c>
      <c r="J285" s="17" t="n">
        <v>0.0448</v>
      </c>
      <c r="K285" s="17" t="n">
        <v>0.0371</v>
      </c>
      <c r="L285" s="17" t="n">
        <v>-0.0516</v>
      </c>
    </row>
    <row r="286" customFormat="false" ht="30" hidden="false" customHeight="true" outlineLevel="0" collapsed="false">
      <c r="A286" s="2" t="s">
        <v>422</v>
      </c>
      <c r="B286" s="16" t="n">
        <v>-0.0118</v>
      </c>
      <c r="C286" s="16" t="n">
        <v>-0.03</v>
      </c>
      <c r="D286" s="16" t="n">
        <v>-0.0414</v>
      </c>
      <c r="E286" s="16" t="n">
        <v>-0.052</v>
      </c>
      <c r="F286" s="16" t="n">
        <v>-0.0549</v>
      </c>
      <c r="G286" s="16" t="n">
        <v>-0.0901</v>
      </c>
      <c r="H286" s="16" t="n">
        <v>-0.0861</v>
      </c>
      <c r="I286" s="16" t="n">
        <v>-0.1102</v>
      </c>
      <c r="J286" s="16" t="n">
        <v>-0.1031</v>
      </c>
      <c r="K286" s="16" t="n">
        <v>-0.1144</v>
      </c>
      <c r="L286" s="16" t="n">
        <v>-0.0569</v>
      </c>
    </row>
    <row r="287" customFormat="false" ht="30" hidden="false" customHeight="true" outlineLevel="0" collapsed="false">
      <c r="A287" s="3" t="s">
        <v>423</v>
      </c>
      <c r="B287" s="17" t="n">
        <v>0.0191</v>
      </c>
      <c r="C287" s="17" t="n">
        <v>0.03</v>
      </c>
      <c r="D287" s="17" t="n">
        <v>-0.009</v>
      </c>
      <c r="E287" s="17" t="n">
        <v>0.0488</v>
      </c>
      <c r="F287" s="17" t="n">
        <v>0.0613</v>
      </c>
      <c r="G287" s="17" t="n">
        <v>0.0526</v>
      </c>
      <c r="H287" s="17" t="n">
        <v>0.0618</v>
      </c>
      <c r="I287" s="17" t="n">
        <v>0.0677</v>
      </c>
      <c r="J287" s="17" t="n">
        <v>0.0554</v>
      </c>
      <c r="K287" s="17" t="n">
        <v>0.0725</v>
      </c>
      <c r="L287" s="17" t="n">
        <v>0.0446</v>
      </c>
    </row>
    <row r="288" customFormat="false" ht="30" hidden="false" customHeight="true" outlineLevel="0" collapsed="false">
      <c r="A288" s="2" t="s">
        <v>424</v>
      </c>
      <c r="B288" s="16" t="n">
        <v>0.0041</v>
      </c>
      <c r="C288" s="16" t="n">
        <v>-0.003</v>
      </c>
      <c r="D288" s="16" t="n">
        <v>0.0219</v>
      </c>
      <c r="E288" s="16" t="n">
        <v>0.0258</v>
      </c>
      <c r="F288" s="16" t="n">
        <v>0.0138</v>
      </c>
      <c r="G288" s="16" t="n">
        <v>0.0288</v>
      </c>
      <c r="H288" s="16" t="n">
        <v>0.0098</v>
      </c>
      <c r="I288" s="16" t="n">
        <v>0.0157</v>
      </c>
      <c r="J288" s="16" t="n">
        <v>0.0152</v>
      </c>
      <c r="K288" s="16" t="n">
        <v>0.0044</v>
      </c>
      <c r="L288" s="16" t="n">
        <v>-0.0025</v>
      </c>
    </row>
    <row r="289" customFormat="false" ht="30" hidden="false" customHeight="true" outlineLevel="0" collapsed="false">
      <c r="A289" s="3" t="s">
        <v>425</v>
      </c>
      <c r="B289" s="17" t="n">
        <v>-0.052</v>
      </c>
      <c r="C289" s="17" t="n">
        <v>-0.0412</v>
      </c>
      <c r="D289" s="17" t="n">
        <v>-0.0243</v>
      </c>
      <c r="E289" s="17" t="n">
        <v>-0.0386</v>
      </c>
      <c r="F289" s="17" t="n">
        <v>-0.0149</v>
      </c>
      <c r="G289" s="17" t="n">
        <v>-0.0281</v>
      </c>
      <c r="H289" s="17" t="n">
        <v>-0.0158</v>
      </c>
      <c r="I289" s="17" t="n">
        <v>-0.0308</v>
      </c>
      <c r="J289" s="17" t="n">
        <v>-0.0333</v>
      </c>
      <c r="K289" s="17" t="n">
        <v>-0.0212</v>
      </c>
      <c r="L289" s="17" t="n">
        <v>0.0046</v>
      </c>
    </row>
    <row r="290" customFormat="false" ht="30" hidden="false" customHeight="true" outlineLevel="0" collapsed="false">
      <c r="A290" s="2" t="s">
        <v>426</v>
      </c>
      <c r="B290" s="16" t="n">
        <v>0.1412</v>
      </c>
      <c r="C290" s="16" t="n">
        <v>0.1029</v>
      </c>
      <c r="D290" s="16" t="n">
        <v>0.1089</v>
      </c>
      <c r="E290" s="16" t="n">
        <v>0.1105</v>
      </c>
      <c r="F290" s="16" t="n">
        <v>0.1064</v>
      </c>
      <c r="G290" s="16" t="n">
        <v>0.1323</v>
      </c>
      <c r="H290" s="16" t="n">
        <v>0.1256</v>
      </c>
      <c r="I290" s="16" t="n">
        <v>0.1302</v>
      </c>
      <c r="J290" s="16" t="n">
        <v>0.1215</v>
      </c>
      <c r="K290" s="16" t="n">
        <v>0.1803</v>
      </c>
      <c r="L290" s="16" t="n">
        <v>0.0206</v>
      </c>
    </row>
    <row r="291" customFormat="false" ht="30" hidden="false" customHeight="true" outlineLevel="0" collapsed="false">
      <c r="A291" s="3" t="s">
        <v>427</v>
      </c>
      <c r="B291" s="17" t="n">
        <v>0.085</v>
      </c>
      <c r="C291" s="17" t="n">
        <v>0.0814</v>
      </c>
      <c r="D291" s="17" t="n">
        <v>0.0622</v>
      </c>
      <c r="E291" s="17" t="n">
        <v>0.0607</v>
      </c>
      <c r="F291" s="17" t="n">
        <v>0.0721</v>
      </c>
      <c r="G291" s="17" t="n">
        <v>0.0499</v>
      </c>
      <c r="H291" s="17" t="n">
        <v>0.0265</v>
      </c>
      <c r="I291" s="17" t="n">
        <v>0.0274</v>
      </c>
      <c r="J291" s="17" t="n">
        <v>0.0308</v>
      </c>
      <c r="K291" s="17" t="n">
        <v>0.0523</v>
      </c>
      <c r="L291" s="17" t="n">
        <v>-0.0223</v>
      </c>
    </row>
    <row r="292" customFormat="false" ht="30" hidden="false" customHeight="true" outlineLevel="0" collapsed="false">
      <c r="A292" s="2" t="s">
        <v>428</v>
      </c>
      <c r="B292" s="16" t="n">
        <v>0.0006</v>
      </c>
      <c r="C292" s="16" t="n">
        <v>0.0415</v>
      </c>
      <c r="D292" s="16" t="n">
        <v>-0.0125</v>
      </c>
      <c r="E292" s="16" t="n">
        <v>0.0092</v>
      </c>
      <c r="F292" s="16" t="n">
        <v>0.0014</v>
      </c>
      <c r="G292" s="16" t="n">
        <v>0.0327</v>
      </c>
      <c r="H292" s="16" t="n">
        <v>0.0087</v>
      </c>
      <c r="I292" s="16" t="n">
        <v>0.0196</v>
      </c>
      <c r="J292" s="16" t="n">
        <v>0.023</v>
      </c>
      <c r="K292" s="16" t="n">
        <v>0.0409</v>
      </c>
      <c r="L292" s="16" t="n">
        <v>0.0166</v>
      </c>
    </row>
    <row r="293" customFormat="false" ht="30" hidden="false" customHeight="true" outlineLevel="0" collapsed="false">
      <c r="A293" s="3" t="s">
        <v>429</v>
      </c>
      <c r="B293" s="17" t="n">
        <v>-0.05</v>
      </c>
      <c r="C293" s="17" t="n">
        <v>-0.0173</v>
      </c>
      <c r="D293" s="17" t="n">
        <v>0.015</v>
      </c>
      <c r="E293" s="17" t="n">
        <v>-0.031</v>
      </c>
      <c r="F293" s="17" t="n">
        <v>-0.0247</v>
      </c>
      <c r="G293" s="17" t="n">
        <v>-0.0304</v>
      </c>
      <c r="H293" s="17" t="n">
        <v>-0.0382</v>
      </c>
      <c r="I293" s="17" t="n">
        <v>-0.0216</v>
      </c>
      <c r="J293" s="17" t="n">
        <v>-0.0034</v>
      </c>
      <c r="K293" s="17" t="n">
        <v>0.0044</v>
      </c>
      <c r="L293" s="17" t="n">
        <v>0.0021</v>
      </c>
    </row>
    <row r="294" customFormat="false" ht="30" hidden="false" customHeight="true" outlineLevel="0" collapsed="false">
      <c r="A294" s="2" t="s">
        <v>430</v>
      </c>
      <c r="B294" s="16" t="n">
        <v>0.0154</v>
      </c>
      <c r="C294" s="16" t="n">
        <v>0.0238</v>
      </c>
      <c r="D294" s="16" t="n">
        <v>0.0072</v>
      </c>
      <c r="E294" s="16" t="n">
        <v>-0.0101</v>
      </c>
      <c r="F294" s="16" t="n">
        <v>0.0041</v>
      </c>
      <c r="G294" s="16" t="n">
        <v>-0.0026</v>
      </c>
      <c r="H294" s="16" t="n">
        <v>0.0149</v>
      </c>
      <c r="I294" s="16" t="n">
        <v>-0.0034</v>
      </c>
      <c r="J294" s="16" t="n">
        <v>0.0109</v>
      </c>
      <c r="K294" s="16" t="n">
        <v>0.0084</v>
      </c>
      <c r="L294" s="16" t="n">
        <v>-0.008</v>
      </c>
    </row>
    <row r="295" customFormat="false" ht="30" hidden="false" customHeight="true" outlineLevel="0" collapsed="false">
      <c r="A295" s="3" t="s">
        <v>431</v>
      </c>
      <c r="B295" s="17" t="n">
        <v>0.0205</v>
      </c>
      <c r="C295" s="17" t="n">
        <v>0.0436</v>
      </c>
      <c r="D295" s="17" t="n">
        <v>0.0492</v>
      </c>
      <c r="E295" s="17" t="n">
        <v>0.0515</v>
      </c>
      <c r="F295" s="17" t="n">
        <v>0.0557</v>
      </c>
      <c r="G295" s="17" t="n">
        <v>0.0435</v>
      </c>
      <c r="H295" s="17" t="n">
        <v>0.0455</v>
      </c>
      <c r="I295" s="17" t="n">
        <v>0.0461</v>
      </c>
      <c r="J295" s="17" t="n">
        <v>0.0471</v>
      </c>
      <c r="K295" s="17" t="n">
        <v>0.0367</v>
      </c>
      <c r="L295" s="17" t="n">
        <v>-0.0022</v>
      </c>
    </row>
    <row r="296" customFormat="false" ht="30" hidden="false" customHeight="true" outlineLevel="0" collapsed="false">
      <c r="A296" s="2" t="s">
        <v>432</v>
      </c>
      <c r="B296" s="16" t="n">
        <v>0.0309</v>
      </c>
      <c r="C296" s="16" t="n">
        <v>0.0178</v>
      </c>
      <c r="D296" s="16" t="n">
        <v>0.0293</v>
      </c>
      <c r="E296" s="16" t="n">
        <v>0.0273</v>
      </c>
      <c r="F296" s="16" t="n">
        <v>0.0497</v>
      </c>
      <c r="G296" s="16" t="n">
        <v>0.0299</v>
      </c>
      <c r="H296" s="16" t="n">
        <v>0.0547</v>
      </c>
      <c r="I296" s="16" t="n">
        <v>0.0706</v>
      </c>
      <c r="J296" s="16" t="n">
        <v>0.0403</v>
      </c>
      <c r="K296" s="16" t="n">
        <v>0.0554</v>
      </c>
      <c r="L296" s="16" t="n">
        <v>0.0258</v>
      </c>
    </row>
    <row r="297" customFormat="false" ht="30" hidden="false" customHeight="true" outlineLevel="0" collapsed="false">
      <c r="A297" s="3" t="s">
        <v>433</v>
      </c>
      <c r="B297" s="17" t="n">
        <v>0.0331</v>
      </c>
      <c r="C297" s="17" t="n">
        <v>0.051</v>
      </c>
      <c r="D297" s="17" t="n">
        <v>0.0576</v>
      </c>
      <c r="E297" s="17" t="n">
        <v>0.0506</v>
      </c>
      <c r="F297" s="17" t="n">
        <v>0.0317</v>
      </c>
      <c r="G297" s="17" t="n">
        <v>0.0334</v>
      </c>
      <c r="H297" s="17" t="n">
        <v>0.0406</v>
      </c>
      <c r="I297" s="17" t="n">
        <v>0.0366</v>
      </c>
      <c r="J297" s="17" t="n">
        <v>0.0371</v>
      </c>
      <c r="K297" s="17" t="n">
        <v>0.0408</v>
      </c>
      <c r="L297" s="17" t="n">
        <v>-0.0095</v>
      </c>
    </row>
    <row r="298" customFormat="false" ht="30" hidden="false" customHeight="true" outlineLevel="0" collapsed="false">
      <c r="A298" s="2" t="s">
        <v>434</v>
      </c>
      <c r="B298" s="16" t="n">
        <v>-0.0301</v>
      </c>
      <c r="C298" s="16" t="n">
        <v>-0.0157</v>
      </c>
      <c r="D298" s="16" t="n">
        <v>-0.0155</v>
      </c>
      <c r="E298" s="16" t="n">
        <v>-0.0127</v>
      </c>
      <c r="F298" s="16" t="n">
        <v>-0.057</v>
      </c>
      <c r="G298" s="16" t="n">
        <v>-0.0208</v>
      </c>
      <c r="H298" s="16" t="n">
        <v>-0.0166</v>
      </c>
      <c r="I298" s="16" t="n">
        <v>-0.0283</v>
      </c>
      <c r="J298" s="16" t="n">
        <v>-0.0098</v>
      </c>
      <c r="K298" s="16" t="n">
        <v>0.0009</v>
      </c>
      <c r="L298" s="16" t="n">
        <v>0.008</v>
      </c>
    </row>
    <row r="299" customFormat="false" ht="30" hidden="false" customHeight="true" outlineLevel="0" collapsed="false">
      <c r="A299" s="3" t="s">
        <v>435</v>
      </c>
      <c r="B299" s="17" t="n">
        <v>-0.2384</v>
      </c>
      <c r="C299" s="17" t="n">
        <v>-0.1569</v>
      </c>
      <c r="D299" s="17" t="n">
        <v>-0.1581</v>
      </c>
      <c r="E299" s="17" t="n">
        <v>-0.1853</v>
      </c>
      <c r="F299" s="17" t="n">
        <v>-0.2141</v>
      </c>
      <c r="G299" s="17" t="n">
        <v>-0.2392</v>
      </c>
      <c r="H299" s="17" t="n">
        <v>-0.2417</v>
      </c>
      <c r="I299" s="17" t="n">
        <v>-0.205</v>
      </c>
      <c r="J299" s="17" t="n">
        <v>-0.2645</v>
      </c>
      <c r="K299" s="17" t="n">
        <v>-0.267</v>
      </c>
      <c r="L299" s="17" t="n">
        <v>-0.0772</v>
      </c>
    </row>
    <row r="300" customFormat="false" ht="30" hidden="false" customHeight="true" outlineLevel="0" collapsed="false">
      <c r="A300" s="2" t="s">
        <v>436</v>
      </c>
      <c r="B300" s="16" t="n">
        <v>-0.0594</v>
      </c>
      <c r="C300" s="16" t="n">
        <v>-0.0446</v>
      </c>
      <c r="D300" s="16" t="n">
        <v>-0.0537</v>
      </c>
      <c r="E300" s="16" t="n">
        <v>-0.0702</v>
      </c>
      <c r="F300" s="16" t="n">
        <v>-0.0825</v>
      </c>
      <c r="G300" s="16" t="n">
        <v>-0.0775</v>
      </c>
      <c r="H300" s="16" t="n">
        <v>-0.0819</v>
      </c>
      <c r="I300" s="16" t="n">
        <v>-0.0814</v>
      </c>
      <c r="J300" s="16" t="n">
        <v>-0.0856</v>
      </c>
      <c r="K300" s="16" t="n">
        <v>-0.0618</v>
      </c>
      <c r="L300" s="16" t="n">
        <v>-0.0123</v>
      </c>
    </row>
    <row r="301" customFormat="false" ht="30" hidden="false" customHeight="true" outlineLevel="0" collapsed="false">
      <c r="A301" s="3" t="s">
        <v>437</v>
      </c>
      <c r="B301" s="17" t="n">
        <v>0.0197</v>
      </c>
      <c r="C301" s="17" t="n">
        <v>0.0404</v>
      </c>
      <c r="D301" s="17" t="n">
        <v>0.0442</v>
      </c>
      <c r="E301" s="17" t="n">
        <v>0.0663</v>
      </c>
      <c r="F301" s="17" t="n">
        <v>0.0691</v>
      </c>
      <c r="G301" s="17" t="n">
        <v>0.0627</v>
      </c>
      <c r="H301" s="17" t="n">
        <v>0.0674</v>
      </c>
      <c r="I301" s="17" t="n">
        <v>0.0823</v>
      </c>
      <c r="J301" s="17" t="n">
        <v>0.0831</v>
      </c>
      <c r="K301" s="17" t="n">
        <v>0.0802</v>
      </c>
      <c r="L301" s="17" t="n">
        <v>0.0587</v>
      </c>
    </row>
    <row r="302" customFormat="false" ht="30" hidden="false" customHeight="true" outlineLevel="0" collapsed="false">
      <c r="A302" s="2" t="s">
        <v>438</v>
      </c>
      <c r="B302" s="16" t="n">
        <v>0.0747</v>
      </c>
      <c r="C302" s="16" t="n">
        <v>0.0859</v>
      </c>
      <c r="D302" s="16" t="n">
        <v>0.1094</v>
      </c>
      <c r="E302" s="16" t="n">
        <v>0.0807</v>
      </c>
      <c r="F302" s="16" t="n">
        <v>0.0757</v>
      </c>
      <c r="G302" s="16" t="n">
        <v>0.0541</v>
      </c>
      <c r="H302" s="16" t="n">
        <v>0.0527</v>
      </c>
      <c r="I302" s="16" t="n">
        <v>0.0387</v>
      </c>
      <c r="J302" s="16" t="n">
        <v>0.0244</v>
      </c>
      <c r="K302" s="16" t="n">
        <v>-0.0207</v>
      </c>
      <c r="L302" s="16" t="n">
        <v>-0.0736</v>
      </c>
    </row>
    <row r="303" customFormat="false" ht="30" hidden="false" customHeight="true" outlineLevel="0" collapsed="false">
      <c r="A303" s="3" t="s">
        <v>439</v>
      </c>
      <c r="B303" s="17" t="n">
        <v>0.0874</v>
      </c>
      <c r="C303" s="17" t="n">
        <v>0.1025</v>
      </c>
      <c r="D303" s="17" t="n">
        <v>0.0592</v>
      </c>
      <c r="E303" s="17" t="n">
        <v>0.0621</v>
      </c>
      <c r="F303" s="17" t="n">
        <v>0.0497</v>
      </c>
      <c r="G303" s="17" t="n">
        <v>0.0383</v>
      </c>
      <c r="H303" s="17" t="n">
        <v>0.0313</v>
      </c>
      <c r="I303" s="17" t="n">
        <v>0.0366</v>
      </c>
      <c r="J303" s="17" t="n">
        <v>0.0646</v>
      </c>
      <c r="K303" s="17" t="n">
        <v>0.0759</v>
      </c>
      <c r="L303" s="17" t="n">
        <v>-0.0147</v>
      </c>
    </row>
    <row r="304" customFormat="false" ht="30" hidden="false" customHeight="true" outlineLevel="0" collapsed="false">
      <c r="A304" s="2" t="s">
        <v>440</v>
      </c>
      <c r="B304" s="16" t="n">
        <v>0.0001</v>
      </c>
      <c r="C304" s="16" t="n">
        <v>0.0027</v>
      </c>
      <c r="D304" s="16" t="n">
        <v>-0.0046</v>
      </c>
      <c r="E304" s="16" t="n">
        <v>-0.0135</v>
      </c>
      <c r="F304" s="16" t="n">
        <v>-0.0422</v>
      </c>
      <c r="G304" s="16" t="n">
        <v>-0.0315</v>
      </c>
      <c r="H304" s="16" t="n">
        <v>-0.0104</v>
      </c>
      <c r="I304" s="16" t="n">
        <v>-0.0296</v>
      </c>
      <c r="J304" s="16" t="n">
        <v>-0.0206</v>
      </c>
      <c r="K304" s="16" t="n">
        <v>0.0044</v>
      </c>
      <c r="L304" s="16" t="n">
        <v>0.0056</v>
      </c>
    </row>
    <row r="305" customFormat="false" ht="30" hidden="false" customHeight="true" outlineLevel="0" collapsed="false">
      <c r="A305" s="3" t="s">
        <v>441</v>
      </c>
      <c r="B305" s="17" t="n">
        <v>-0.0024</v>
      </c>
      <c r="C305" s="17" t="n">
        <v>-0.001</v>
      </c>
      <c r="D305" s="17" t="n">
        <v>-0.0012</v>
      </c>
      <c r="E305" s="17" t="n">
        <v>0.0192</v>
      </c>
      <c r="F305" s="17" t="n">
        <v>-0.0033</v>
      </c>
      <c r="G305" s="17" t="n">
        <v>-0.0032</v>
      </c>
      <c r="H305" s="17" t="n">
        <v>0.0116</v>
      </c>
      <c r="I305" s="17" t="n">
        <v>0.0138</v>
      </c>
      <c r="J305" s="17" t="n">
        <v>0.0203</v>
      </c>
      <c r="K305" s="17" t="n">
        <v>0.0167</v>
      </c>
      <c r="L305" s="17" t="n">
        <v>0.0221</v>
      </c>
    </row>
    <row r="306" customFormat="false" ht="30" hidden="false" customHeight="true" outlineLevel="0" collapsed="false">
      <c r="A306" s="2" t="s">
        <v>442</v>
      </c>
      <c r="B306" s="16" t="n">
        <v>-0.0305</v>
      </c>
      <c r="C306" s="16" t="n">
        <v>0.0004</v>
      </c>
      <c r="D306" s="16" t="n">
        <v>0.0073</v>
      </c>
      <c r="E306" s="16" t="n">
        <v>0.0177</v>
      </c>
      <c r="F306" s="16" t="n">
        <v>-0.0068</v>
      </c>
      <c r="G306" s="16" t="n">
        <v>-0.005</v>
      </c>
      <c r="H306" s="16" t="n">
        <v>0.0039</v>
      </c>
      <c r="I306" s="16" t="n">
        <v>0.0158</v>
      </c>
      <c r="J306" s="16" t="n">
        <v>-0.0035</v>
      </c>
      <c r="K306" s="16" t="n">
        <v>-0.0114</v>
      </c>
      <c r="L306" s="16" t="n">
        <v>0.0066</v>
      </c>
    </row>
    <row r="307" customFormat="false" ht="30" hidden="false" customHeight="true" outlineLevel="0" collapsed="false">
      <c r="A307" s="3" t="s">
        <v>443</v>
      </c>
      <c r="B307" s="17" t="n">
        <v>0.0967</v>
      </c>
      <c r="C307" s="17" t="n">
        <v>0.0817</v>
      </c>
      <c r="D307" s="17" t="n">
        <v>0.0879</v>
      </c>
      <c r="E307" s="17" t="n">
        <v>0.0398</v>
      </c>
      <c r="F307" s="17" t="n">
        <v>0.0516</v>
      </c>
      <c r="G307" s="17" t="n">
        <v>0.0436</v>
      </c>
      <c r="H307" s="17" t="n">
        <v>0.0495</v>
      </c>
      <c r="I307" s="17" t="n">
        <v>0.0341</v>
      </c>
      <c r="J307" s="17" t="n">
        <v>0.0471</v>
      </c>
      <c r="K307" s="17" t="n">
        <v>0.0353</v>
      </c>
      <c r="L307" s="17" t="n">
        <v>-0.0302</v>
      </c>
    </row>
    <row r="308" customFormat="false" ht="30" hidden="false" customHeight="true" outlineLevel="0" collapsed="false">
      <c r="A308" s="2" t="s">
        <v>444</v>
      </c>
      <c r="B308" s="16" t="n">
        <v>-0.0245</v>
      </c>
      <c r="C308" s="16" t="n">
        <v>-0.0224</v>
      </c>
      <c r="D308" s="16" t="n">
        <v>-0.0109</v>
      </c>
      <c r="E308" s="16" t="n">
        <v>-0.0152</v>
      </c>
      <c r="F308" s="16" t="n">
        <v>-0.0012</v>
      </c>
      <c r="G308" s="16" t="n">
        <v>-0.0018</v>
      </c>
      <c r="H308" s="16" t="n">
        <v>-0.0059</v>
      </c>
      <c r="I308" s="16" t="n">
        <v>-0.0007</v>
      </c>
      <c r="J308" s="16" t="n">
        <v>-0.0057</v>
      </c>
      <c r="K308" s="16" t="n">
        <v>-0.0109</v>
      </c>
      <c r="L308" s="16" t="n">
        <v>0.0065</v>
      </c>
    </row>
    <row r="309" customFormat="false" ht="30" hidden="false" customHeight="true" outlineLevel="0" collapsed="false">
      <c r="A309" s="3" t="s">
        <v>445</v>
      </c>
      <c r="B309" s="17" t="n">
        <v>-0.0364</v>
      </c>
      <c r="C309" s="17" t="n">
        <v>-0.0336</v>
      </c>
      <c r="D309" s="17" t="n">
        <v>-0.0244</v>
      </c>
      <c r="E309" s="17" t="n">
        <v>-0.0395</v>
      </c>
      <c r="F309" s="17" t="n">
        <v>-0.0211</v>
      </c>
      <c r="G309" s="17" t="n">
        <v>-0.0234</v>
      </c>
      <c r="H309" s="17" t="n">
        <v>-0.0256</v>
      </c>
      <c r="I309" s="17" t="n">
        <v>-0.021</v>
      </c>
      <c r="J309" s="17" t="n">
        <v>-0.0282</v>
      </c>
      <c r="K309" s="17" t="n">
        <v>-0.0301</v>
      </c>
      <c r="L309" s="17" t="n">
        <v>0.0036</v>
      </c>
    </row>
    <row r="310" customFormat="false" ht="30" hidden="false" customHeight="true" outlineLevel="0" collapsed="false">
      <c r="A310" s="2" t="s">
        <v>446</v>
      </c>
      <c r="B310" s="16" t="n">
        <v>0.0197</v>
      </c>
      <c r="C310" s="16" t="n">
        <v>0.031</v>
      </c>
      <c r="D310" s="16" t="n">
        <v>0.049</v>
      </c>
      <c r="E310" s="16" t="n">
        <v>0.0523</v>
      </c>
      <c r="F310" s="16" t="n">
        <v>0.0498</v>
      </c>
      <c r="G310" s="16" t="n">
        <v>0.0377</v>
      </c>
      <c r="H310" s="16" t="n">
        <v>0.0277</v>
      </c>
      <c r="I310" s="16" t="n">
        <v>0.0231</v>
      </c>
      <c r="J310" s="16" t="n">
        <v>0.0401</v>
      </c>
      <c r="K310" s="16" t="n">
        <v>0.0438</v>
      </c>
      <c r="L310" s="16" t="n">
        <v>0.0029</v>
      </c>
    </row>
    <row r="311" customFormat="false" ht="30" hidden="false" customHeight="true" outlineLevel="0" collapsed="false">
      <c r="A311" s="3" t="s">
        <v>447</v>
      </c>
      <c r="B311" s="17" t="n">
        <v>0.0064</v>
      </c>
      <c r="C311" s="17" t="n">
        <v>0.0098</v>
      </c>
      <c r="D311" s="17" t="n">
        <v>0.0087</v>
      </c>
      <c r="E311" s="17" t="n">
        <v>0.0199</v>
      </c>
      <c r="F311" s="17" t="n">
        <v>0.0311</v>
      </c>
      <c r="G311" s="17" t="n">
        <v>0.0075</v>
      </c>
      <c r="H311" s="17" t="n">
        <v>0.0269</v>
      </c>
      <c r="I311" s="17" t="n">
        <v>0.0082</v>
      </c>
      <c r="J311" s="17" t="n">
        <v>0.0354</v>
      </c>
      <c r="K311" s="17" t="n">
        <v>0.0168</v>
      </c>
      <c r="L311" s="17" t="n">
        <v>0.0131</v>
      </c>
    </row>
    <row r="312" customFormat="false" ht="30" hidden="false" customHeight="true" outlineLevel="0" collapsed="false">
      <c r="A312" s="2" t="s">
        <v>448</v>
      </c>
      <c r="B312" s="16" t="n">
        <v>-0.0394</v>
      </c>
      <c r="C312" s="16" t="n">
        <v>-0.0094</v>
      </c>
      <c r="D312" s="16" t="n">
        <v>-0.0128</v>
      </c>
      <c r="E312" s="16" t="n">
        <v>-0.0156</v>
      </c>
      <c r="F312" s="16" t="n">
        <v>-0.019</v>
      </c>
      <c r="G312" s="16" t="n">
        <v>-0.0246</v>
      </c>
      <c r="H312" s="16" t="n">
        <v>-0.0073</v>
      </c>
      <c r="I312" s="16" t="n">
        <v>-0.0225</v>
      </c>
      <c r="J312" s="16" t="n">
        <v>-0.0118</v>
      </c>
      <c r="K312" s="16" t="n">
        <v>-0.023</v>
      </c>
      <c r="L312" s="16" t="n">
        <v>0.002</v>
      </c>
    </row>
    <row r="313" customFormat="false" ht="30" hidden="false" customHeight="true" outlineLevel="0" collapsed="false">
      <c r="A313" s="3" t="s">
        <v>449</v>
      </c>
      <c r="B313" s="17" t="n">
        <v>0.0249</v>
      </c>
      <c r="C313" s="17" t="n">
        <v>0.034</v>
      </c>
      <c r="D313" s="17" t="n">
        <v>0.019</v>
      </c>
      <c r="E313" s="17" t="n">
        <v>0.0224</v>
      </c>
      <c r="F313" s="17" t="n">
        <v>0.0179</v>
      </c>
      <c r="G313" s="17" t="n">
        <v>0.0214</v>
      </c>
      <c r="H313" s="17" t="n">
        <v>0.0148</v>
      </c>
      <c r="I313" s="17" t="n">
        <v>0.0144</v>
      </c>
      <c r="J313" s="17" t="n">
        <v>0.0296</v>
      </c>
      <c r="K313" s="17" t="n">
        <v>0.0202</v>
      </c>
      <c r="L313" s="17" t="n">
        <v>0.0032</v>
      </c>
    </row>
    <row r="314" customFormat="false" ht="30" hidden="false" customHeight="true" outlineLevel="0" collapsed="false">
      <c r="A314" s="2" t="s">
        <v>450</v>
      </c>
      <c r="B314" s="16" t="n">
        <v>0.0856</v>
      </c>
      <c r="C314" s="16" t="n">
        <v>0.0614</v>
      </c>
      <c r="D314" s="16" t="n">
        <v>0.0777</v>
      </c>
      <c r="E314" s="16" t="n">
        <v>0.0656</v>
      </c>
      <c r="F314" s="16" t="n">
        <v>0.0498</v>
      </c>
      <c r="G314" s="16" t="n">
        <v>0.0627</v>
      </c>
      <c r="H314" s="16" t="n">
        <v>0.0678</v>
      </c>
      <c r="I314" s="16" t="n">
        <v>0.0565</v>
      </c>
      <c r="J314" s="16" t="n">
        <v>0.0776</v>
      </c>
      <c r="K314" s="16" t="n">
        <v>0.0657</v>
      </c>
      <c r="L314" s="16" t="n">
        <v>-0.002</v>
      </c>
    </row>
    <row r="315" customFormat="false" ht="30" hidden="false" customHeight="true" outlineLevel="0" collapsed="false">
      <c r="A315" s="3" t="s">
        <v>451</v>
      </c>
      <c r="B315" s="17" t="n">
        <v>-0.017</v>
      </c>
      <c r="C315" s="17" t="n">
        <v>-0.0125</v>
      </c>
      <c r="D315" s="17" t="n">
        <v>-0.0192</v>
      </c>
      <c r="E315" s="17" t="n">
        <v>-0.0203</v>
      </c>
      <c r="F315" s="17" t="n">
        <v>-0.0197</v>
      </c>
      <c r="G315" s="17" t="n">
        <v>-0.0284</v>
      </c>
      <c r="H315" s="17" t="n">
        <v>-0.0185</v>
      </c>
      <c r="I315" s="17" t="n">
        <v>-0.0115</v>
      </c>
      <c r="J315" s="17" t="n">
        <v>-0.0098</v>
      </c>
      <c r="K315" s="17" t="n">
        <v>0.0178</v>
      </c>
      <c r="L315" s="17" t="n">
        <v>0.0101</v>
      </c>
    </row>
    <row r="316" customFormat="false" ht="30" hidden="false" customHeight="true" outlineLevel="0" collapsed="false">
      <c r="A316" s="2" t="s">
        <v>452</v>
      </c>
      <c r="B316" s="16" t="n">
        <v>-0.0185</v>
      </c>
      <c r="C316" s="16" t="n">
        <v>0.0086</v>
      </c>
      <c r="D316" s="16" t="n">
        <v>-0.001</v>
      </c>
      <c r="E316" s="16" t="n">
        <v>0.0198</v>
      </c>
      <c r="F316" s="16" t="n">
        <v>0.0329</v>
      </c>
      <c r="G316" s="16" t="n">
        <v>0.0017</v>
      </c>
      <c r="H316" s="16" t="n">
        <v>0.027</v>
      </c>
      <c r="I316" s="16" t="n">
        <v>0.0444</v>
      </c>
      <c r="J316" s="16" t="n">
        <v>0.0335</v>
      </c>
      <c r="K316" s="16" t="n">
        <v>0.0454</v>
      </c>
      <c r="L316" s="16" t="n">
        <v>0.035</v>
      </c>
    </row>
    <row r="317" customFormat="false" ht="30" hidden="false" customHeight="true" outlineLevel="0" collapsed="false">
      <c r="A317" s="3" t="s">
        <v>453</v>
      </c>
      <c r="B317" s="17" t="n">
        <v>0.0216</v>
      </c>
      <c r="C317" s="17" t="n">
        <v>0.0456</v>
      </c>
      <c r="D317" s="17" t="n">
        <v>0.0408</v>
      </c>
      <c r="E317" s="17" t="n">
        <v>0.0517</v>
      </c>
      <c r="F317" s="17" t="n">
        <v>0.0514</v>
      </c>
      <c r="G317" s="17" t="n">
        <v>0.0334</v>
      </c>
      <c r="H317" s="17" t="n">
        <v>0.0588</v>
      </c>
      <c r="I317" s="17" t="n">
        <v>0.0552</v>
      </c>
      <c r="J317" s="17" t="n">
        <v>0.0602</v>
      </c>
      <c r="K317" s="17" t="n">
        <v>0.0564</v>
      </c>
      <c r="L317" s="17" t="n">
        <v>0.018</v>
      </c>
    </row>
    <row r="318" customFormat="false" ht="30" hidden="false" customHeight="true" outlineLevel="0" collapsed="false">
      <c r="A318" s="2" t="s">
        <v>454</v>
      </c>
      <c r="B318" s="16" t="n">
        <v>0.0338</v>
      </c>
      <c r="C318" s="16" t="n">
        <v>0.0512</v>
      </c>
      <c r="D318" s="16" t="n">
        <v>0.0133</v>
      </c>
      <c r="E318" s="16" t="n">
        <v>0.0389</v>
      </c>
      <c r="F318" s="16" t="n">
        <v>0.0383</v>
      </c>
      <c r="G318" s="16" t="n">
        <v>0.0566</v>
      </c>
      <c r="H318" s="16" t="n">
        <v>0.0333</v>
      </c>
      <c r="I318" s="16" t="n">
        <v>0.039</v>
      </c>
      <c r="J318" s="16" t="n">
        <v>0.0551</v>
      </c>
      <c r="K318" s="16" t="n">
        <v>0.0514</v>
      </c>
      <c r="L318" s="16" t="n">
        <v>0.0146</v>
      </c>
    </row>
    <row r="319" customFormat="false" ht="30" hidden="false" customHeight="true" outlineLevel="0" collapsed="false">
      <c r="A319" s="3" t="s">
        <v>455</v>
      </c>
      <c r="B319" s="17" t="n">
        <v>-0.0345</v>
      </c>
      <c r="C319" s="17" t="n">
        <v>-0.0329</v>
      </c>
      <c r="D319" s="17" t="n">
        <v>0.0074</v>
      </c>
      <c r="E319" s="17" t="n">
        <v>-0.0022</v>
      </c>
      <c r="F319" s="17" t="n">
        <v>-0.001</v>
      </c>
      <c r="G319" s="17" t="n">
        <v>-0.0156</v>
      </c>
      <c r="H319" s="17" t="n">
        <v>-0.0078</v>
      </c>
      <c r="I319" s="17" t="n">
        <v>-0.0018</v>
      </c>
      <c r="J319" s="17" t="n">
        <v>-0.0051</v>
      </c>
      <c r="K319" s="17" t="n">
        <v>-0.0022</v>
      </c>
      <c r="L319" s="17" t="n">
        <v>0.0044</v>
      </c>
    </row>
    <row r="320" customFormat="false" ht="30" hidden="false" customHeight="true" outlineLevel="0" collapsed="false">
      <c r="A320" s="2" t="s">
        <v>456</v>
      </c>
      <c r="B320" s="16" t="n">
        <v>-0.0079</v>
      </c>
      <c r="C320" s="16" t="n">
        <v>0.0409</v>
      </c>
      <c r="D320" s="16" t="n">
        <v>0.0512</v>
      </c>
      <c r="E320" s="16" t="n">
        <v>0.0692</v>
      </c>
      <c r="F320" s="16" t="n">
        <v>0.0691</v>
      </c>
      <c r="G320" s="16" t="n">
        <v>0.0697</v>
      </c>
      <c r="H320" s="16" t="n">
        <v>0.0781</v>
      </c>
      <c r="I320" s="16" t="n">
        <v>0.0952</v>
      </c>
      <c r="J320" s="16" t="n">
        <v>0.1166</v>
      </c>
      <c r="K320" s="16" t="n">
        <v>0.0907</v>
      </c>
      <c r="L320" s="16" t="n">
        <v>0.0532</v>
      </c>
    </row>
    <row r="321" customFormat="false" ht="30" hidden="false" customHeight="true" outlineLevel="0" collapsed="false">
      <c r="A321" s="3" t="s">
        <v>457</v>
      </c>
      <c r="B321" s="17" t="n">
        <v>0.01</v>
      </c>
      <c r="C321" s="17" t="n">
        <v>0.0354</v>
      </c>
      <c r="D321" s="17" t="n">
        <v>0.0326</v>
      </c>
      <c r="E321" s="17" t="n">
        <v>0.0299</v>
      </c>
      <c r="F321" s="17" t="n">
        <v>0.0376</v>
      </c>
      <c r="G321" s="17" t="n">
        <v>0.0268</v>
      </c>
      <c r="H321" s="17" t="n">
        <v>0.0047</v>
      </c>
      <c r="I321" s="17" t="n">
        <v>0.0164</v>
      </c>
      <c r="J321" s="17" t="n">
        <v>0.011</v>
      </c>
      <c r="K321" s="17" t="n">
        <v>0.0202</v>
      </c>
      <c r="L321" s="17" t="n">
        <v>-0.0047</v>
      </c>
    </row>
    <row r="322" customFormat="false" ht="30" hidden="false" customHeight="true" outlineLevel="0" collapsed="false">
      <c r="A322" s="2" t="s">
        <v>458</v>
      </c>
      <c r="B322" s="16" t="n">
        <v>-0.0315</v>
      </c>
      <c r="C322" s="16" t="n">
        <v>-0.0086</v>
      </c>
      <c r="D322" s="16" t="n">
        <v>-0.0236</v>
      </c>
      <c r="E322" s="16" t="n">
        <v>-0.0265</v>
      </c>
      <c r="F322" s="16" t="n">
        <v>-0.0033</v>
      </c>
      <c r="G322" s="16" t="n">
        <v>-0.0077</v>
      </c>
      <c r="H322" s="16" t="n">
        <v>-0.0058</v>
      </c>
      <c r="I322" s="16" t="n">
        <v>-0.0021</v>
      </c>
      <c r="J322" s="16" t="n">
        <v>0.0094</v>
      </c>
      <c r="K322" s="16" t="n">
        <v>0.0337</v>
      </c>
      <c r="L322" s="16" t="n">
        <v>0.0349</v>
      </c>
    </row>
    <row r="323" customFormat="false" ht="30" hidden="false" customHeight="true" outlineLevel="0" collapsed="false">
      <c r="A323" s="3" t="s">
        <v>459</v>
      </c>
      <c r="B323" s="17" t="n">
        <v>-0.0999</v>
      </c>
      <c r="C323" s="17" t="n">
        <v>-0.075</v>
      </c>
      <c r="D323" s="17" t="n">
        <v>-0.0276</v>
      </c>
      <c r="E323" s="17" t="n">
        <v>-0.0351</v>
      </c>
      <c r="F323" s="17" t="n">
        <v>-0.033</v>
      </c>
      <c r="G323" s="17" t="n">
        <v>-0.0257</v>
      </c>
      <c r="H323" s="17" t="n">
        <v>-0.0158</v>
      </c>
      <c r="I323" s="17" t="n">
        <v>-0.0204</v>
      </c>
      <c r="J323" s="17" t="n">
        <v>-0.0259</v>
      </c>
      <c r="K323" s="17" t="n">
        <v>-0.0414</v>
      </c>
      <c r="L323" s="17" t="n">
        <v>0.0136</v>
      </c>
    </row>
    <row r="324" customFormat="false" ht="30" hidden="false" customHeight="true" outlineLevel="0" collapsed="false">
      <c r="A324" s="2" t="s">
        <v>460</v>
      </c>
      <c r="B324" s="16" t="n">
        <v>-0.0266</v>
      </c>
      <c r="C324" s="16" t="n">
        <v>-0.0161</v>
      </c>
      <c r="D324" s="16" t="n">
        <v>-0.0023</v>
      </c>
      <c r="E324" s="16" t="n">
        <v>-0.0021</v>
      </c>
      <c r="F324" s="16" t="n">
        <v>0.0139</v>
      </c>
      <c r="G324" s="16" t="n">
        <v>0.0245</v>
      </c>
      <c r="H324" s="16" t="n">
        <v>0.0441</v>
      </c>
      <c r="I324" s="16" t="n">
        <v>0.0145</v>
      </c>
      <c r="J324" s="16" t="n">
        <v>0.025</v>
      </c>
      <c r="K324" s="16" t="n">
        <v>0.0127</v>
      </c>
      <c r="L324" s="16" t="n">
        <v>0.0268</v>
      </c>
    </row>
    <row r="325" customFormat="false" ht="30" hidden="false" customHeight="true" outlineLevel="0" collapsed="false">
      <c r="A325" s="3" t="s">
        <v>461</v>
      </c>
      <c r="B325" s="17" t="n">
        <v>-0.0112</v>
      </c>
      <c r="C325" s="17" t="n">
        <v>-0.0136</v>
      </c>
      <c r="D325" s="17" t="n">
        <v>-0.0117</v>
      </c>
      <c r="E325" s="17" t="n">
        <v>0.0215</v>
      </c>
      <c r="F325" s="17" t="n">
        <v>0.0242</v>
      </c>
      <c r="G325" s="17" t="n">
        <v>0.018</v>
      </c>
      <c r="H325" s="17" t="n">
        <v>0.0402</v>
      </c>
      <c r="I325" s="17" t="n">
        <v>0.0339</v>
      </c>
      <c r="J325" s="17" t="n">
        <v>0.0237</v>
      </c>
      <c r="K325" s="17" t="n">
        <v>-0.0043</v>
      </c>
      <c r="L325" s="17" t="n">
        <v>0.0277</v>
      </c>
    </row>
    <row r="326" customFormat="false" ht="30" hidden="false" customHeight="true" outlineLevel="0" collapsed="false">
      <c r="A326" s="2" t="s">
        <v>462</v>
      </c>
      <c r="B326" s="16" t="n">
        <v>-0.0877</v>
      </c>
      <c r="C326" s="16" t="n">
        <v>-0.0393</v>
      </c>
      <c r="D326" s="16" t="n">
        <v>-0.0488</v>
      </c>
      <c r="E326" s="16" t="n">
        <v>-0.0667</v>
      </c>
      <c r="F326" s="16" t="n">
        <v>-0.0639</v>
      </c>
      <c r="G326" s="16" t="n">
        <v>-0.0692</v>
      </c>
      <c r="H326" s="16" t="n">
        <v>-0.0613</v>
      </c>
      <c r="I326" s="16" t="n">
        <v>-0.0656</v>
      </c>
      <c r="J326" s="16" t="n">
        <v>-0.0834</v>
      </c>
      <c r="K326" s="16" t="n">
        <v>-0.1065</v>
      </c>
      <c r="L326" s="16" t="n">
        <v>-0.03</v>
      </c>
    </row>
    <row r="327" customFormat="false" ht="30" hidden="false" customHeight="true" outlineLevel="0" collapsed="false">
      <c r="A327" s="3" t="s">
        <v>463</v>
      </c>
      <c r="B327" s="17" t="n">
        <v>0.0279</v>
      </c>
      <c r="C327" s="17" t="n">
        <v>0.0434</v>
      </c>
      <c r="D327" s="17" t="n">
        <v>0.0235</v>
      </c>
      <c r="E327" s="17" t="n">
        <v>0.0257</v>
      </c>
      <c r="F327" s="17" t="n">
        <v>0.0132</v>
      </c>
      <c r="G327" s="17" t="n">
        <v>0.016</v>
      </c>
      <c r="H327" s="17" t="n">
        <v>0.0067</v>
      </c>
      <c r="I327" s="17" t="n">
        <v>0.0138</v>
      </c>
      <c r="J327" s="17" t="n">
        <v>0.0154</v>
      </c>
      <c r="K327" s="17" t="n">
        <v>0.0153</v>
      </c>
      <c r="L327" s="17" t="n">
        <v>-0.0051</v>
      </c>
    </row>
    <row r="328" customFormat="false" ht="30" hidden="false" customHeight="true" outlineLevel="0" collapsed="false">
      <c r="A328" s="2" t="s">
        <v>464</v>
      </c>
      <c r="B328" s="16" t="n">
        <v>0.0201</v>
      </c>
      <c r="C328" s="16" t="n">
        <v>0.0166</v>
      </c>
      <c r="D328" s="16" t="n">
        <v>0.0259</v>
      </c>
      <c r="E328" s="16" t="n">
        <v>0.0293</v>
      </c>
      <c r="F328" s="16" t="n">
        <v>0.0031</v>
      </c>
      <c r="G328" s="16" t="n">
        <v>0.0124</v>
      </c>
      <c r="H328" s="16" t="n">
        <v>0.0208</v>
      </c>
      <c r="I328" s="16" t="n">
        <v>0.0213</v>
      </c>
      <c r="J328" s="16" t="n">
        <v>0.0314</v>
      </c>
      <c r="K328" s="16" t="n">
        <v>0.039</v>
      </c>
      <c r="L328" s="16" t="n">
        <v>0.0173</v>
      </c>
    </row>
    <row r="329" customFormat="false" ht="30" hidden="false" customHeight="true" outlineLevel="0" collapsed="false">
      <c r="A329" s="3" t="s">
        <v>465</v>
      </c>
      <c r="B329" s="17" t="n">
        <v>-0.0755</v>
      </c>
      <c r="C329" s="17" t="n">
        <v>-0.0465</v>
      </c>
      <c r="D329" s="17" t="n">
        <v>-0.0381</v>
      </c>
      <c r="E329" s="17" t="n">
        <v>-0.0381</v>
      </c>
      <c r="F329" s="17" t="n">
        <v>-0.0226</v>
      </c>
      <c r="G329" s="17" t="n">
        <v>-0.0267</v>
      </c>
      <c r="H329" s="17" t="n">
        <v>-0.0284</v>
      </c>
      <c r="I329" s="17" t="n">
        <v>-0.0246</v>
      </c>
      <c r="J329" s="17" t="n">
        <v>-0.023</v>
      </c>
      <c r="K329" s="17" t="n">
        <v>-0.0159</v>
      </c>
      <c r="L329" s="17" t="n">
        <v>0.0231</v>
      </c>
    </row>
    <row r="330" customFormat="false" ht="30" hidden="false" customHeight="true" outlineLevel="0" collapsed="false">
      <c r="A330" s="2" t="s">
        <v>466</v>
      </c>
      <c r="B330" s="16" t="n">
        <v>0.0414</v>
      </c>
      <c r="C330" s="16" t="n">
        <v>0.0876</v>
      </c>
      <c r="D330" s="16" t="n">
        <v>0.0775</v>
      </c>
      <c r="E330" s="16" t="n">
        <v>0.0855</v>
      </c>
      <c r="F330" s="16" t="n">
        <v>0.0956</v>
      </c>
      <c r="G330" s="16" t="n">
        <v>0.0722</v>
      </c>
      <c r="H330" s="16" t="n">
        <v>0.0872</v>
      </c>
      <c r="I330" s="16" t="n">
        <v>0.0916</v>
      </c>
      <c r="J330" s="16" t="n">
        <v>0.0845</v>
      </c>
      <c r="K330" s="16" t="n">
        <v>0.1302</v>
      </c>
      <c r="L330" s="16" t="n">
        <v>0.0312</v>
      </c>
    </row>
    <row r="331" customFormat="false" ht="30" hidden="false" customHeight="true" outlineLevel="0" collapsed="false">
      <c r="A331" s="3" t="s">
        <v>467</v>
      </c>
      <c r="B331" s="17" t="n">
        <v>-0.0241</v>
      </c>
      <c r="C331" s="17" t="n">
        <v>-0.0383</v>
      </c>
      <c r="D331" s="17" t="n">
        <v>-0.0231</v>
      </c>
      <c r="E331" s="17" t="n">
        <v>-0.0189</v>
      </c>
      <c r="F331" s="17" t="n">
        <v>-0.0065</v>
      </c>
      <c r="G331" s="17" t="n">
        <v>-0.0145</v>
      </c>
      <c r="H331" s="17" t="n">
        <v>-0.0075</v>
      </c>
      <c r="I331" s="17" t="n">
        <v>-0.0172</v>
      </c>
      <c r="J331" s="17" t="n">
        <v>0.0132</v>
      </c>
      <c r="K331" s="17" t="n">
        <v>0.016</v>
      </c>
      <c r="L331" s="17" t="n">
        <v>0.0251</v>
      </c>
    </row>
    <row r="332" customFormat="false" ht="30" hidden="false" customHeight="true" outlineLevel="0" collapsed="false">
      <c r="A332" s="2" t="s">
        <v>468</v>
      </c>
      <c r="B332" s="16" t="n">
        <v>-0.0924</v>
      </c>
      <c r="C332" s="16" t="n">
        <v>-0.0793</v>
      </c>
      <c r="D332" s="16" t="n">
        <v>-0.0677</v>
      </c>
      <c r="E332" s="16" t="n">
        <v>-0.0345</v>
      </c>
      <c r="F332" s="16" t="n">
        <v>-0.0163</v>
      </c>
      <c r="G332" s="16" t="n">
        <v>-0.0151</v>
      </c>
      <c r="H332" s="16" t="n">
        <v>-0.0095</v>
      </c>
      <c r="I332" s="16" t="n">
        <v>0.0024</v>
      </c>
      <c r="J332" s="16" t="n">
        <v>0.0134</v>
      </c>
      <c r="K332" s="16" t="n">
        <v>-0.0175</v>
      </c>
      <c r="L332" s="16" t="n">
        <v>0.0604</v>
      </c>
    </row>
    <row r="333" customFormat="false" ht="30" hidden="false" customHeight="true" outlineLevel="0" collapsed="false">
      <c r="A333" s="3" t="s">
        <v>469</v>
      </c>
      <c r="B333" s="17" t="n">
        <v>-0.1669</v>
      </c>
      <c r="C333" s="17" t="n">
        <v>-0.1249</v>
      </c>
      <c r="D333" s="17" t="n">
        <v>-0.1023</v>
      </c>
      <c r="E333" s="17" t="n">
        <v>-0.1105</v>
      </c>
      <c r="F333" s="17" t="n">
        <v>-0.0934</v>
      </c>
      <c r="G333" s="17" t="n">
        <v>-0.0959</v>
      </c>
      <c r="H333" s="17" t="n">
        <v>-0.0965</v>
      </c>
      <c r="I333" s="17" t="n">
        <v>-0.0774</v>
      </c>
      <c r="J333" s="17" t="n">
        <v>-0.0834</v>
      </c>
      <c r="K333" s="17" t="n">
        <v>-0.1024</v>
      </c>
      <c r="L333" s="17" t="n">
        <v>0.0196</v>
      </c>
    </row>
    <row r="334" customFormat="false" ht="30" hidden="false" customHeight="true" outlineLevel="0" collapsed="false">
      <c r="A334" s="2" t="s">
        <v>470</v>
      </c>
      <c r="B334" s="16" t="n">
        <v>-0.1479</v>
      </c>
      <c r="C334" s="16" t="n">
        <v>-0.1293</v>
      </c>
      <c r="D334" s="16" t="n">
        <v>-0.1094</v>
      </c>
      <c r="E334" s="16" t="n">
        <v>-0.0767</v>
      </c>
      <c r="F334" s="16" t="n">
        <v>-0.0862</v>
      </c>
      <c r="G334" s="16" t="n">
        <v>-0.0265</v>
      </c>
      <c r="H334" s="16" t="n">
        <v>-0.0217</v>
      </c>
      <c r="I334" s="16" t="n">
        <v>-0.043</v>
      </c>
      <c r="J334" s="16" t="n">
        <v>-0.0403</v>
      </c>
      <c r="K334" s="16" t="n">
        <v>-0.0652</v>
      </c>
      <c r="L334" s="16" t="n">
        <v>0.0576</v>
      </c>
    </row>
    <row r="335" customFormat="false" ht="30" hidden="false" customHeight="true" outlineLevel="0" collapsed="false">
      <c r="A335" s="3" t="s">
        <v>471</v>
      </c>
      <c r="B335" s="17" t="n">
        <v>-0.112</v>
      </c>
      <c r="C335" s="17" t="n">
        <v>-0.0953</v>
      </c>
      <c r="D335" s="17" t="n">
        <v>-0.0594</v>
      </c>
      <c r="E335" s="17" t="n">
        <v>-0.0372</v>
      </c>
      <c r="F335" s="17" t="n">
        <v>-0.0351</v>
      </c>
      <c r="G335" s="17" t="n">
        <v>0.0019</v>
      </c>
      <c r="H335" s="17" t="n">
        <v>0.0052</v>
      </c>
      <c r="I335" s="17" t="n">
        <v>0.0082</v>
      </c>
      <c r="J335" s="17" t="n">
        <v>0.0027</v>
      </c>
      <c r="K335" s="17" t="n">
        <v>-0.009</v>
      </c>
      <c r="L335" s="17" t="n">
        <v>0.0671</v>
      </c>
    </row>
    <row r="336" customFormat="false" ht="30" hidden="false" customHeight="true" outlineLevel="0" collapsed="false">
      <c r="A336" s="2" t="s">
        <v>472</v>
      </c>
      <c r="B336" s="16" t="n">
        <v>0.1355</v>
      </c>
      <c r="C336" s="16" t="n">
        <v>0.1395</v>
      </c>
      <c r="D336" s="16" t="n">
        <v>0.1229</v>
      </c>
      <c r="E336" s="16" t="n">
        <v>0.0758</v>
      </c>
      <c r="F336" s="16" t="n">
        <v>0.0762</v>
      </c>
      <c r="G336" s="16" t="n">
        <v>0.084</v>
      </c>
      <c r="H336" s="16" t="n">
        <v>0.0682</v>
      </c>
      <c r="I336" s="16" t="n">
        <v>0.0567</v>
      </c>
      <c r="J336" s="16" t="n">
        <v>0.0537</v>
      </c>
      <c r="K336" s="16" t="n">
        <v>0.0553</v>
      </c>
      <c r="L336" s="16" t="n">
        <v>-0.0546</v>
      </c>
    </row>
    <row r="337" customFormat="false" ht="30" hidden="false" customHeight="true" outlineLevel="0" collapsed="false">
      <c r="A337" s="3" t="s">
        <v>473</v>
      </c>
      <c r="B337" s="17" t="n">
        <v>-0.0112</v>
      </c>
      <c r="C337" s="17" t="n">
        <v>0.0317</v>
      </c>
      <c r="D337" s="17" t="n">
        <v>0.0585</v>
      </c>
      <c r="E337" s="17" t="n">
        <v>0.0394</v>
      </c>
      <c r="F337" s="17" t="n">
        <v>0.0637</v>
      </c>
      <c r="G337" s="17" t="n">
        <v>0.0405</v>
      </c>
      <c r="H337" s="17" t="n">
        <v>0.0363</v>
      </c>
      <c r="I337" s="17" t="n">
        <v>0.0285</v>
      </c>
      <c r="J337" s="17" t="n">
        <v>0.0209</v>
      </c>
      <c r="K337" s="17" t="n">
        <v>0.0175</v>
      </c>
      <c r="L337" s="17" t="n">
        <v>0.0024</v>
      </c>
    </row>
    <row r="338" customFormat="false" ht="30" hidden="false" customHeight="true" outlineLevel="0" collapsed="false">
      <c r="A338" s="2" t="s">
        <v>474</v>
      </c>
      <c r="B338" s="16" t="n">
        <v>0.0797</v>
      </c>
      <c r="C338" s="16" t="n">
        <v>0.1391</v>
      </c>
      <c r="D338" s="16" t="n">
        <v>0.1315</v>
      </c>
      <c r="E338" s="16" t="n">
        <v>0.0967</v>
      </c>
      <c r="F338" s="16" t="n">
        <v>0.0532</v>
      </c>
      <c r="G338" s="16" t="n">
        <v>0.0623</v>
      </c>
      <c r="H338" s="16" t="n">
        <v>0.0395</v>
      </c>
      <c r="I338" s="16" t="n">
        <v>0.0137</v>
      </c>
      <c r="J338" s="16" t="n">
        <v>0.0207</v>
      </c>
      <c r="K338" s="16" t="n">
        <v>0.0624</v>
      </c>
      <c r="L338" s="16" t="n">
        <v>-0.0645</v>
      </c>
    </row>
    <row r="339" customFormat="false" ht="30" hidden="false" customHeight="true" outlineLevel="0" collapsed="false">
      <c r="A339" s="3" t="s">
        <v>475</v>
      </c>
      <c r="B339" s="17" t="n">
        <v>0.217</v>
      </c>
      <c r="C339" s="17" t="n">
        <v>0.1499</v>
      </c>
      <c r="D339" s="17" t="n">
        <v>0.1079</v>
      </c>
      <c r="E339" s="17" t="n">
        <v>0.0564</v>
      </c>
      <c r="F339" s="17" t="n">
        <v>0.0753</v>
      </c>
      <c r="G339" s="17" t="n">
        <v>0.0743</v>
      </c>
      <c r="H339" s="17" t="n">
        <v>0.0706</v>
      </c>
      <c r="I339" s="17" t="n">
        <v>0.0558</v>
      </c>
      <c r="J339" s="17" t="n">
        <v>0.0654</v>
      </c>
      <c r="K339" s="17" t="n">
        <v>0.091</v>
      </c>
      <c r="L339" s="17" t="n">
        <v>-0.049</v>
      </c>
    </row>
    <row r="340" customFormat="false" ht="30" hidden="false" customHeight="true" outlineLevel="0" collapsed="false">
      <c r="A340" s="2" t="s">
        <v>476</v>
      </c>
      <c r="B340" s="16" t="n">
        <v>0.0611</v>
      </c>
      <c r="C340" s="16" t="n">
        <v>0.0487</v>
      </c>
      <c r="D340" s="16" t="n">
        <v>0.0037</v>
      </c>
      <c r="E340" s="16" t="n">
        <v>0.0167</v>
      </c>
      <c r="F340" s="16" t="n">
        <v>0.0224</v>
      </c>
      <c r="G340" s="16" t="n">
        <v>0.0152</v>
      </c>
      <c r="H340" s="16" t="n">
        <v>0.0242</v>
      </c>
      <c r="I340" s="16" t="n">
        <v>0.0315</v>
      </c>
      <c r="J340" s="16" t="n">
        <v>0.0189</v>
      </c>
      <c r="K340" s="16" t="n">
        <v>0.0646</v>
      </c>
      <c r="L340" s="16" t="n">
        <v>0.0274</v>
      </c>
    </row>
    <row r="341" customFormat="false" ht="30" hidden="false" customHeight="true" outlineLevel="0" collapsed="false">
      <c r="A341" s="3" t="s">
        <v>477</v>
      </c>
      <c r="B341" s="17" t="n">
        <v>-0.0036</v>
      </c>
      <c r="C341" s="17" t="n">
        <v>0.0201</v>
      </c>
      <c r="D341" s="17" t="n">
        <v>0.0415</v>
      </c>
      <c r="E341" s="17" t="n">
        <v>0.0028</v>
      </c>
      <c r="F341" s="17" t="n">
        <v>-0.0033</v>
      </c>
      <c r="G341" s="17" t="n">
        <v>0.0162</v>
      </c>
      <c r="H341" s="17" t="n">
        <v>0.0074</v>
      </c>
      <c r="I341" s="17" t="n">
        <v>0.0076</v>
      </c>
      <c r="J341" s="17" t="n">
        <v>-0.0072</v>
      </c>
      <c r="K341" s="17" t="n">
        <v>-0.0144</v>
      </c>
      <c r="L341" s="17" t="n">
        <v>-0.0233</v>
      </c>
    </row>
    <row r="342" customFormat="false" ht="30" hidden="false" customHeight="true" outlineLevel="0" collapsed="false">
      <c r="A342" s="2" t="s">
        <v>478</v>
      </c>
      <c r="B342" s="16" t="n">
        <v>0.0197</v>
      </c>
      <c r="C342" s="16" t="n">
        <v>0.0729</v>
      </c>
      <c r="D342" s="16" t="n">
        <v>0.0658</v>
      </c>
      <c r="E342" s="16" t="n">
        <v>0.03</v>
      </c>
      <c r="F342" s="16" t="n">
        <v>0.045</v>
      </c>
      <c r="G342" s="16" t="n">
        <v>0.038</v>
      </c>
      <c r="H342" s="16" t="n">
        <v>0.0296</v>
      </c>
      <c r="I342" s="16" t="n">
        <v>0.0415</v>
      </c>
      <c r="J342" s="16" t="n">
        <v>0.0402</v>
      </c>
      <c r="K342" s="16" t="n">
        <v>0.0406</v>
      </c>
      <c r="L342" s="16" t="n">
        <v>-0.001</v>
      </c>
    </row>
    <row r="343" customFormat="false" ht="30" hidden="false" customHeight="true" outlineLevel="0" collapsed="false">
      <c r="A343" s="3" t="s">
        <v>479</v>
      </c>
      <c r="B343" s="17" t="n">
        <v>-0.04</v>
      </c>
      <c r="C343" s="17" t="n">
        <v>-0.0584</v>
      </c>
      <c r="D343" s="17" t="n">
        <v>-0.0567</v>
      </c>
      <c r="E343" s="17" t="n">
        <v>-0.0528</v>
      </c>
      <c r="F343" s="17" t="n">
        <v>-0.0471</v>
      </c>
      <c r="G343" s="17" t="n">
        <v>-0.0472</v>
      </c>
      <c r="H343" s="17" t="n">
        <v>-0.0453</v>
      </c>
      <c r="I343" s="17" t="n">
        <v>-0.0374</v>
      </c>
      <c r="J343" s="17" t="n">
        <v>-0.0332</v>
      </c>
      <c r="K343" s="17" t="n">
        <v>-0.0469</v>
      </c>
      <c r="L343" s="17" t="n">
        <v>0.0042</v>
      </c>
    </row>
    <row r="344" customFormat="false" ht="30" hidden="false" customHeight="true" outlineLevel="0" collapsed="false">
      <c r="A344" s="2" t="s">
        <v>480</v>
      </c>
      <c r="B344" s="16" t="n">
        <v>0.0182</v>
      </c>
      <c r="C344" s="16" t="n">
        <v>0.0332</v>
      </c>
      <c r="D344" s="16" t="n">
        <v>0.0283</v>
      </c>
      <c r="E344" s="16" t="n">
        <v>0.0316</v>
      </c>
      <c r="F344" s="16" t="n">
        <v>0.0379</v>
      </c>
      <c r="G344" s="16" t="n">
        <v>0.0304</v>
      </c>
      <c r="H344" s="16" t="n">
        <v>0.0261</v>
      </c>
      <c r="I344" s="16" t="n">
        <v>0.0578</v>
      </c>
      <c r="J344" s="16" t="n">
        <v>0.0771</v>
      </c>
      <c r="K344" s="16" t="n">
        <v>0.0774</v>
      </c>
      <c r="L344" s="16" t="n">
        <v>0.0426</v>
      </c>
    </row>
    <row r="345" customFormat="false" ht="30" hidden="false" customHeight="true" outlineLevel="0" collapsed="false">
      <c r="A345" s="3" t="s">
        <v>481</v>
      </c>
      <c r="B345" s="17" t="n">
        <v>0.0593</v>
      </c>
      <c r="C345" s="17" t="n">
        <v>0.0451</v>
      </c>
      <c r="D345" s="17" t="n">
        <v>0.0283</v>
      </c>
      <c r="E345" s="17" t="n">
        <v>0.0052</v>
      </c>
      <c r="F345" s="17" t="n">
        <v>0.0224</v>
      </c>
      <c r="G345" s="17" t="n">
        <v>0.0204</v>
      </c>
      <c r="H345" s="17" t="n">
        <v>0.0107</v>
      </c>
      <c r="I345" s="17" t="n">
        <v>0.0325</v>
      </c>
      <c r="J345" s="17" t="n">
        <v>0.0366</v>
      </c>
      <c r="K345" s="17" t="n">
        <v>0.0578</v>
      </c>
      <c r="L345" s="17" t="n">
        <v>0.0158</v>
      </c>
    </row>
    <row r="346" customFormat="false" ht="30" hidden="false" customHeight="true" outlineLevel="0" collapsed="false">
      <c r="A346" s="2" t="s">
        <v>482</v>
      </c>
      <c r="B346" s="16" t="n">
        <v>-0.0666</v>
      </c>
      <c r="C346" s="16" t="n">
        <v>-0.0261</v>
      </c>
      <c r="D346" s="16" t="n">
        <v>-0.0046</v>
      </c>
      <c r="E346" s="16" t="n">
        <v>-0.0185</v>
      </c>
      <c r="F346" s="16" t="n">
        <v>-0.0054</v>
      </c>
      <c r="G346" s="16" t="n">
        <v>-0.0069</v>
      </c>
      <c r="H346" s="16" t="n">
        <v>-0.012</v>
      </c>
      <c r="I346" s="16" t="n">
        <v>-0.0225</v>
      </c>
      <c r="J346" s="16" t="n">
        <v>-0.0114</v>
      </c>
      <c r="K346" s="16" t="n">
        <v>0.0061</v>
      </c>
      <c r="L346" s="16" t="n">
        <v>0.0174</v>
      </c>
    </row>
    <row r="347" customFormat="false" ht="30" hidden="false" customHeight="true" outlineLevel="0" collapsed="false">
      <c r="A347" s="3" t="s">
        <v>483</v>
      </c>
      <c r="B347" s="17" t="n">
        <v>0.0065</v>
      </c>
      <c r="C347" s="17" t="n">
        <v>-0.0174</v>
      </c>
      <c r="D347" s="17" t="n">
        <v>0.0109</v>
      </c>
      <c r="E347" s="17" t="n">
        <v>0.0149</v>
      </c>
      <c r="F347" s="17" t="n">
        <v>0.0116</v>
      </c>
      <c r="G347" s="17" t="n">
        <v>0.0111</v>
      </c>
      <c r="H347" s="17" t="n">
        <v>0.026</v>
      </c>
      <c r="I347" s="17" t="n">
        <v>0.0309</v>
      </c>
      <c r="J347" s="17" t="n">
        <v>0.0175</v>
      </c>
      <c r="K347" s="17" t="n">
        <v>0.0372</v>
      </c>
      <c r="L347" s="17" t="n">
        <v>0.0318</v>
      </c>
    </row>
    <row r="348" customFormat="false" ht="30" hidden="false" customHeight="true" outlineLevel="0" collapsed="false">
      <c r="A348" s="2" t="s">
        <v>484</v>
      </c>
      <c r="B348" s="16" t="n">
        <v>-0.0831</v>
      </c>
      <c r="C348" s="16" t="n">
        <v>-0.0564</v>
      </c>
      <c r="D348" s="16" t="n">
        <v>-0.0477</v>
      </c>
      <c r="E348" s="16" t="n">
        <v>-0.0308</v>
      </c>
      <c r="F348" s="16" t="n">
        <v>-0.026</v>
      </c>
      <c r="G348" s="16" t="n">
        <v>-0.0252</v>
      </c>
      <c r="H348" s="16" t="n">
        <v>-0.0333</v>
      </c>
      <c r="I348" s="16" t="n">
        <v>-0.0068</v>
      </c>
      <c r="J348" s="16" t="n">
        <v>-0.0539</v>
      </c>
      <c r="K348" s="16" t="n">
        <v>-0.0541</v>
      </c>
      <c r="L348" s="16" t="n">
        <v>0.0118</v>
      </c>
    </row>
    <row r="349" customFormat="false" ht="30" hidden="false" customHeight="true" outlineLevel="0" collapsed="false">
      <c r="A349" s="3" t="s">
        <v>485</v>
      </c>
      <c r="B349" s="17" t="n">
        <v>0.0254</v>
      </c>
      <c r="C349" s="17" t="n">
        <v>0.0421</v>
      </c>
      <c r="D349" s="17" t="n">
        <v>0.0971</v>
      </c>
      <c r="E349" s="17" t="n">
        <v>0.0881</v>
      </c>
      <c r="F349" s="17" t="n">
        <v>0.0845</v>
      </c>
      <c r="G349" s="17" t="n">
        <v>0.1147</v>
      </c>
      <c r="H349" s="17" t="n">
        <v>0.1441</v>
      </c>
      <c r="I349" s="17" t="n">
        <v>0.1397</v>
      </c>
      <c r="J349" s="17" t="n">
        <v>0.146</v>
      </c>
      <c r="K349" s="17" t="n">
        <v>0.177</v>
      </c>
      <c r="L349" s="17" t="n">
        <v>0.0827</v>
      </c>
    </row>
    <row r="350" customFormat="false" ht="30" hidden="false" customHeight="true" outlineLevel="0" collapsed="false">
      <c r="A350" s="2" t="s">
        <v>486</v>
      </c>
      <c r="B350" s="16" t="n">
        <v>0.0576</v>
      </c>
      <c r="C350" s="16" t="n">
        <v>0.0133</v>
      </c>
      <c r="D350" s="16" t="n">
        <v>0.0249</v>
      </c>
      <c r="E350" s="16" t="n">
        <v>0.0034</v>
      </c>
      <c r="F350" s="16" t="n">
        <v>-0.0139</v>
      </c>
      <c r="G350" s="16" t="n">
        <v>-0.0178</v>
      </c>
      <c r="H350" s="16" t="n">
        <v>-0.0332</v>
      </c>
      <c r="I350" s="16" t="n">
        <v>-0.0078</v>
      </c>
      <c r="J350" s="16" t="n">
        <v>-0.024</v>
      </c>
      <c r="K350" s="16" t="n">
        <v>0.0262</v>
      </c>
      <c r="L350" s="16" t="n">
        <v>-0.0249</v>
      </c>
    </row>
    <row r="351" customFormat="false" ht="30" hidden="false" customHeight="true" outlineLevel="0" collapsed="false">
      <c r="A351" s="3" t="s">
        <v>487</v>
      </c>
      <c r="B351" s="17" t="n">
        <v>0.0182</v>
      </c>
      <c r="C351" s="17" t="n">
        <v>0.059</v>
      </c>
      <c r="D351" s="17" t="n">
        <v>0.0132</v>
      </c>
      <c r="E351" s="17" t="n">
        <v>0.0175</v>
      </c>
      <c r="F351" s="17" t="n">
        <v>0.0023</v>
      </c>
      <c r="G351" s="17" t="n">
        <v>0.0111</v>
      </c>
      <c r="H351" s="17" t="n">
        <v>0.0047</v>
      </c>
      <c r="I351" s="17" t="n">
        <v>0.0208</v>
      </c>
      <c r="J351" s="17" t="n">
        <v>0.0166</v>
      </c>
      <c r="K351" s="17" t="n">
        <v>0.0083</v>
      </c>
      <c r="L351" s="17" t="n">
        <v>-0.0069</v>
      </c>
    </row>
    <row r="352" customFormat="false" ht="30" hidden="false" customHeight="true" outlineLevel="0" collapsed="false">
      <c r="A352" s="2" t="s">
        <v>488</v>
      </c>
      <c r="B352" s="16" t="n">
        <v>-0.0533</v>
      </c>
      <c r="C352" s="16" t="n">
        <v>-0.0173</v>
      </c>
      <c r="D352" s="16" t="n">
        <v>-0.0265</v>
      </c>
      <c r="E352" s="16" t="n">
        <v>-0.0114</v>
      </c>
      <c r="F352" s="16" t="n">
        <v>-0.0171</v>
      </c>
      <c r="G352" s="16" t="n">
        <v>-0.0163</v>
      </c>
      <c r="H352" s="16" t="n">
        <v>-0.0135</v>
      </c>
      <c r="I352" s="16" t="n">
        <v>-0.027</v>
      </c>
      <c r="J352" s="16" t="n">
        <v>-0.0276</v>
      </c>
      <c r="K352" s="16" t="n">
        <v>-0.0405</v>
      </c>
      <c r="L352" s="16" t="n">
        <v>-0.0024</v>
      </c>
    </row>
    <row r="353" customFormat="false" ht="30" hidden="false" customHeight="true" outlineLevel="0" collapsed="false">
      <c r="A353" s="3" t="s">
        <v>489</v>
      </c>
      <c r="B353" s="17" t="n">
        <v>0.0026</v>
      </c>
      <c r="C353" s="17" t="n">
        <v>0.0545</v>
      </c>
      <c r="D353" s="17" t="n">
        <v>0.0219</v>
      </c>
      <c r="E353" s="17" t="n">
        <v>0.0367</v>
      </c>
      <c r="F353" s="17" t="n">
        <v>0.0243</v>
      </c>
      <c r="G353" s="17" t="n">
        <v>0.0281</v>
      </c>
      <c r="H353" s="17" t="n">
        <v>0.0069</v>
      </c>
      <c r="I353" s="17" t="n">
        <v>0.0049</v>
      </c>
      <c r="J353" s="17" t="n">
        <v>-0.0102</v>
      </c>
      <c r="K353" s="17" t="n">
        <v>-0.0247</v>
      </c>
      <c r="L353" s="17" t="n">
        <v>-0.0251</v>
      </c>
    </row>
    <row r="354" customFormat="false" ht="30" hidden="false" customHeight="true" outlineLevel="0" collapsed="false">
      <c r="A354" s="2" t="s">
        <v>490</v>
      </c>
      <c r="B354" s="16" t="n">
        <v>0.0352</v>
      </c>
      <c r="C354" s="16" t="n">
        <v>0.0181</v>
      </c>
      <c r="D354" s="16" t="n">
        <v>-0.0046</v>
      </c>
      <c r="E354" s="16" t="n">
        <v>-0.0029</v>
      </c>
      <c r="F354" s="16" t="n">
        <v>0.0009</v>
      </c>
      <c r="G354" s="16" t="n">
        <v>0.0039</v>
      </c>
      <c r="H354" s="16" t="n">
        <v>-0.0007</v>
      </c>
      <c r="I354" s="16" t="n">
        <v>0.0184</v>
      </c>
      <c r="J354" s="16" t="n">
        <v>0.0099</v>
      </c>
      <c r="K354" s="16" t="n">
        <v>0.0226</v>
      </c>
      <c r="L354" s="16" t="n">
        <v>0.0007</v>
      </c>
    </row>
    <row r="355" customFormat="false" ht="30" hidden="false" customHeight="true" outlineLevel="0" collapsed="false">
      <c r="A355" s="3" t="s">
        <v>491</v>
      </c>
      <c r="B355" s="17" t="n">
        <v>-0.0575</v>
      </c>
      <c r="C355" s="17" t="n">
        <v>-0.0343</v>
      </c>
      <c r="D355" s="17" t="n">
        <v>-0.0105</v>
      </c>
      <c r="E355" s="17" t="n">
        <v>-0.0117</v>
      </c>
      <c r="F355" s="17" t="n">
        <v>-0.0037</v>
      </c>
      <c r="G355" s="17" t="n">
        <v>-0.0109</v>
      </c>
      <c r="H355" s="17" t="n">
        <v>-0.0083</v>
      </c>
      <c r="I355" s="17" t="n">
        <v>-0.0293</v>
      </c>
      <c r="J355" s="17" t="n">
        <v>-0.0432</v>
      </c>
      <c r="K355" s="17" t="n">
        <v>-0.0403</v>
      </c>
      <c r="L355" s="17" t="n">
        <v>-0.0057</v>
      </c>
    </row>
    <row r="356" customFormat="false" ht="30" hidden="false" customHeight="true" outlineLevel="0" collapsed="false">
      <c r="A356" s="2" t="s">
        <v>492</v>
      </c>
      <c r="B356" s="16" t="n">
        <v>0.0267</v>
      </c>
      <c r="C356" s="16" t="n">
        <v>0.0434</v>
      </c>
      <c r="D356" s="16" t="n">
        <v>0.0276</v>
      </c>
      <c r="E356" s="16" t="n">
        <v>0.0349</v>
      </c>
      <c r="F356" s="16" t="n">
        <v>0.0452</v>
      </c>
      <c r="G356" s="16" t="n">
        <v>0.044</v>
      </c>
      <c r="H356" s="16" t="n">
        <v>0.0507</v>
      </c>
      <c r="I356" s="16" t="n">
        <v>0.0395</v>
      </c>
      <c r="J356" s="16" t="n">
        <v>0.0427</v>
      </c>
      <c r="K356" s="16" t="n">
        <v>0.0406</v>
      </c>
      <c r="L356" s="16" t="n">
        <v>0.0153</v>
      </c>
    </row>
    <row r="357" customFormat="false" ht="30" hidden="false" customHeight="true" outlineLevel="0" collapsed="false">
      <c r="A357" s="3" t="s">
        <v>493</v>
      </c>
      <c r="B357" s="17" t="n">
        <v>-0.0345</v>
      </c>
      <c r="C357" s="17" t="n">
        <v>-0.0212</v>
      </c>
      <c r="D357" s="17" t="n">
        <v>-0.0218</v>
      </c>
      <c r="E357" s="17" t="n">
        <v>-0.0041</v>
      </c>
      <c r="F357" s="17" t="n">
        <v>-0.0149</v>
      </c>
      <c r="G357" s="17" t="n">
        <v>-0.0086</v>
      </c>
      <c r="H357" s="17" t="n">
        <v>-0.0344</v>
      </c>
      <c r="I357" s="17" t="n">
        <v>-0.0265</v>
      </c>
      <c r="J357" s="17" t="n">
        <v>-0.026</v>
      </c>
      <c r="K357" s="17" t="n">
        <v>-0.0454</v>
      </c>
      <c r="L357" s="17" t="n">
        <v>-0.0049</v>
      </c>
    </row>
    <row r="358" customFormat="false" ht="30" hidden="false" customHeight="true" outlineLevel="0" collapsed="false">
      <c r="A358" s="2" t="s">
        <v>494</v>
      </c>
      <c r="B358" s="16" t="n">
        <v>-0.0007</v>
      </c>
      <c r="C358" s="16" t="n">
        <v>0.0008</v>
      </c>
      <c r="D358" s="16" t="n">
        <v>0.0227</v>
      </c>
      <c r="E358" s="16" t="n">
        <v>0.0066</v>
      </c>
      <c r="F358" s="16" t="n">
        <v>0.0214</v>
      </c>
      <c r="G358" s="16" t="n">
        <v>0.0116</v>
      </c>
      <c r="H358" s="16" t="n">
        <v>0.0155</v>
      </c>
      <c r="I358" s="16" t="n">
        <v>0.002</v>
      </c>
      <c r="J358" s="16" t="n">
        <v>0.0226</v>
      </c>
      <c r="K358" s="16" t="n">
        <v>0.0425</v>
      </c>
      <c r="L358" s="16" t="n">
        <v>0.0141</v>
      </c>
    </row>
    <row r="359" customFormat="false" ht="30" hidden="false" customHeight="true" outlineLevel="0" collapsed="false">
      <c r="A359" s="3" t="s">
        <v>495</v>
      </c>
      <c r="B359" s="17" t="n">
        <v>0.0235</v>
      </c>
      <c r="C359" s="17" t="n">
        <v>0.0148</v>
      </c>
      <c r="D359" s="17" t="n">
        <v>-0.0155</v>
      </c>
      <c r="E359" s="17" t="n">
        <v>0.0143</v>
      </c>
      <c r="F359" s="17" t="n">
        <v>0.002</v>
      </c>
      <c r="G359" s="17" t="n">
        <v>0.0087</v>
      </c>
      <c r="H359" s="17" t="n">
        <v>-0.0049</v>
      </c>
      <c r="I359" s="17" t="n">
        <v>0.0225</v>
      </c>
      <c r="J359" s="17" t="n">
        <v>0.0249</v>
      </c>
      <c r="K359" s="17" t="n">
        <v>0.0528</v>
      </c>
      <c r="L359" s="17" t="n">
        <v>0.0259</v>
      </c>
    </row>
    <row r="360" customFormat="false" ht="30" hidden="false" customHeight="true" outlineLevel="0" collapsed="false">
      <c r="A360" s="2" t="s">
        <v>496</v>
      </c>
      <c r="B360" s="16" t="n">
        <v>0.0763</v>
      </c>
      <c r="C360" s="16" t="n">
        <v>0.0431</v>
      </c>
      <c r="D360" s="16" t="n">
        <v>0.0439</v>
      </c>
      <c r="E360" s="16" t="n">
        <v>0.0403</v>
      </c>
      <c r="F360" s="16" t="n">
        <v>0.0397</v>
      </c>
      <c r="G360" s="16" t="n">
        <v>0.0188</v>
      </c>
      <c r="H360" s="16" t="n">
        <v>0.0433</v>
      </c>
      <c r="I360" s="16" t="n">
        <v>0.045</v>
      </c>
      <c r="J360" s="16" t="n">
        <v>0.0383</v>
      </c>
      <c r="K360" s="16" t="n">
        <v>0.0837</v>
      </c>
      <c r="L360" s="16" t="n">
        <v>-0.0023</v>
      </c>
    </row>
    <row r="361" customFormat="false" ht="30" hidden="false" customHeight="true" outlineLevel="0" collapsed="false">
      <c r="A361" s="3" t="s">
        <v>497</v>
      </c>
      <c r="B361" s="17" t="n">
        <v>-0.016</v>
      </c>
      <c r="C361" s="17" t="n">
        <v>-0.0275</v>
      </c>
      <c r="D361" s="17" t="n">
        <v>-0.0033</v>
      </c>
      <c r="E361" s="17" t="n">
        <v>0.017</v>
      </c>
      <c r="F361" s="17" t="n">
        <v>0.0265</v>
      </c>
      <c r="G361" s="17" t="n">
        <v>0.0192</v>
      </c>
      <c r="H361" s="17" t="n">
        <v>0.0262</v>
      </c>
      <c r="I361" s="17" t="n">
        <v>0.0113</v>
      </c>
      <c r="J361" s="17" t="n">
        <v>0.0237</v>
      </c>
      <c r="K361" s="17" t="n">
        <v>0.0572</v>
      </c>
      <c r="L361" s="17" t="n">
        <v>0.0446</v>
      </c>
    </row>
    <row r="362" customFormat="false" ht="30" hidden="false" customHeight="true" outlineLevel="0" collapsed="false">
      <c r="A362" s="2" t="s">
        <v>498</v>
      </c>
      <c r="B362" s="16" t="n">
        <v>0.0147</v>
      </c>
      <c r="C362" s="16" t="n">
        <v>-0.0355</v>
      </c>
      <c r="D362" s="16" t="n">
        <v>-0.0195</v>
      </c>
      <c r="E362" s="16" t="n">
        <v>0.0024</v>
      </c>
      <c r="F362" s="16" t="n">
        <v>0.0039</v>
      </c>
      <c r="G362" s="16" t="n">
        <v>0.0105</v>
      </c>
      <c r="H362" s="16" t="n">
        <v>0.0245</v>
      </c>
      <c r="I362" s="16" t="n">
        <v>0.0203</v>
      </c>
      <c r="J362" s="16" t="n">
        <v>0.0491</v>
      </c>
      <c r="K362" s="16" t="n">
        <v>0.0626</v>
      </c>
      <c r="L362" s="16" t="n">
        <v>0.0484</v>
      </c>
    </row>
    <row r="363" customFormat="false" ht="30" hidden="false" customHeight="true" outlineLevel="0" collapsed="false">
      <c r="A363" s="3" t="s">
        <v>499</v>
      </c>
      <c r="B363" s="17" t="n">
        <v>-0.0214</v>
      </c>
      <c r="C363" s="17" t="n">
        <v>-0.0205</v>
      </c>
      <c r="D363" s="17" t="n">
        <v>-0.025</v>
      </c>
      <c r="E363" s="17" t="n">
        <v>-0.0302</v>
      </c>
      <c r="F363" s="17" t="n">
        <v>0.0084</v>
      </c>
      <c r="G363" s="17" t="n">
        <v>0.0334</v>
      </c>
      <c r="H363" s="17" t="n">
        <v>0.0137</v>
      </c>
      <c r="I363" s="17" t="n">
        <v>0.0116</v>
      </c>
      <c r="J363" s="17" t="n">
        <v>0.0224</v>
      </c>
      <c r="K363" s="17" t="n">
        <v>-0.0079</v>
      </c>
      <c r="L363" s="17" t="n">
        <v>0.0312</v>
      </c>
    </row>
    <row r="364" customFormat="false" ht="30" hidden="false" customHeight="true" outlineLevel="0" collapsed="false">
      <c r="A364" s="2" t="s">
        <v>500</v>
      </c>
      <c r="B364" s="16" t="n">
        <v>-0.0293</v>
      </c>
      <c r="C364" s="16" t="n">
        <v>0.011</v>
      </c>
      <c r="D364" s="16" t="n">
        <v>0.0185</v>
      </c>
      <c r="E364" s="16" t="n">
        <v>0.0081</v>
      </c>
      <c r="F364" s="16" t="n">
        <v>0.0248</v>
      </c>
      <c r="G364" s="16" t="n">
        <v>0.0344</v>
      </c>
      <c r="H364" s="16" t="n">
        <v>0.0118</v>
      </c>
      <c r="I364" s="16" t="n">
        <v>0.0392</v>
      </c>
      <c r="J364" s="16" t="n">
        <v>0.0477</v>
      </c>
      <c r="K364" s="16" t="n">
        <v>0.0474</v>
      </c>
      <c r="L364" s="16" t="n">
        <v>0.0372</v>
      </c>
    </row>
    <row r="365" customFormat="false" ht="30" hidden="false" customHeight="true" outlineLevel="0" collapsed="false">
      <c r="A365" s="3" t="s">
        <v>501</v>
      </c>
      <c r="B365" s="17" t="n">
        <v>-0.0594</v>
      </c>
      <c r="C365" s="17" t="n">
        <v>0.0119</v>
      </c>
      <c r="D365" s="17" t="n">
        <v>-0.0572</v>
      </c>
      <c r="E365" s="17" t="n">
        <v>-0.0239</v>
      </c>
      <c r="F365" s="17" t="n">
        <v>-0.0209</v>
      </c>
      <c r="G365" s="17" t="n">
        <v>-0.0239</v>
      </c>
      <c r="H365" s="17" t="n">
        <v>-0.0244</v>
      </c>
      <c r="I365" s="17" t="n">
        <v>-0.0266</v>
      </c>
      <c r="J365" s="17" t="n">
        <v>-0.0388</v>
      </c>
      <c r="K365" s="17" t="n">
        <v>-0.0322</v>
      </c>
      <c r="L365" s="17" t="n">
        <v>0.0036</v>
      </c>
    </row>
    <row r="366" customFormat="false" ht="30" hidden="false" customHeight="true" outlineLevel="0" collapsed="false">
      <c r="A366" s="2" t="s">
        <v>502</v>
      </c>
      <c r="B366" s="16" t="n">
        <v>0.0564</v>
      </c>
      <c r="C366" s="16" t="n">
        <v>0.0345</v>
      </c>
      <c r="D366" s="16" t="n">
        <v>0.0301</v>
      </c>
      <c r="E366" s="16" t="n">
        <v>0.0292</v>
      </c>
      <c r="F366" s="16" t="n">
        <v>0.0125</v>
      </c>
      <c r="G366" s="16" t="n">
        <v>0.0173</v>
      </c>
      <c r="H366" s="16" t="n">
        <v>0.0137</v>
      </c>
      <c r="I366" s="16" t="n">
        <v>0.0472</v>
      </c>
      <c r="J366" s="16" t="n">
        <v>0.032</v>
      </c>
      <c r="K366" s="16" t="n">
        <v>0.0805</v>
      </c>
      <c r="L366" s="16" t="n">
        <v>0.002</v>
      </c>
    </row>
    <row r="367" customFormat="false" ht="30" hidden="false" customHeight="true" outlineLevel="0" collapsed="false">
      <c r="A367" s="3" t="s">
        <v>503</v>
      </c>
      <c r="B367" s="17" t="n">
        <v>-0.0291</v>
      </c>
      <c r="C367" s="17" t="n">
        <v>-0.0371</v>
      </c>
      <c r="D367" s="17" t="n">
        <v>-0.0102</v>
      </c>
      <c r="E367" s="17" t="n">
        <v>-0.0204</v>
      </c>
      <c r="F367" s="17" t="n">
        <v>0</v>
      </c>
      <c r="G367" s="17" t="n">
        <v>0.0038</v>
      </c>
      <c r="H367" s="17" t="n">
        <v>0.0331</v>
      </c>
      <c r="I367" s="17" t="n">
        <v>0.0278</v>
      </c>
      <c r="J367" s="17" t="n">
        <v>0.0328</v>
      </c>
      <c r="K367" s="17" t="n">
        <v>0.0296</v>
      </c>
      <c r="L367" s="17" t="n">
        <v>0.0455</v>
      </c>
    </row>
    <row r="368" customFormat="false" ht="30" hidden="false" customHeight="true" outlineLevel="0" collapsed="false">
      <c r="A368" s="2" t="s">
        <v>504</v>
      </c>
      <c r="B368" s="16" t="n">
        <v>-0.0568</v>
      </c>
      <c r="C368" s="16" t="n">
        <v>-0.0108</v>
      </c>
      <c r="D368" s="16" t="n">
        <v>-0.0189</v>
      </c>
      <c r="E368" s="16" t="n">
        <v>-0.0001</v>
      </c>
      <c r="F368" s="16" t="n">
        <v>0.0029</v>
      </c>
      <c r="G368" s="16" t="n">
        <v>-0.0015</v>
      </c>
      <c r="H368" s="16" t="n">
        <v>-0.0027</v>
      </c>
      <c r="I368" s="16" t="n">
        <v>0.0299</v>
      </c>
      <c r="J368" s="16" t="n">
        <v>0.0135</v>
      </c>
      <c r="K368" s="16" t="n">
        <v>0.0077</v>
      </c>
      <c r="L368" s="16" t="n">
        <v>0.0323</v>
      </c>
    </row>
    <row r="369" customFormat="false" ht="30" hidden="false" customHeight="true" outlineLevel="0" collapsed="false">
      <c r="A369" s="3" t="s">
        <v>505</v>
      </c>
      <c r="B369" s="17" t="n">
        <v>0.0302</v>
      </c>
      <c r="C369" s="17" t="n">
        <v>0.0456</v>
      </c>
      <c r="D369" s="17" t="n">
        <v>0.0321</v>
      </c>
      <c r="E369" s="17" t="n">
        <v>0.033</v>
      </c>
      <c r="F369" s="17" t="n">
        <v>0.0229</v>
      </c>
      <c r="G369" s="17" t="n">
        <v>0.0408</v>
      </c>
      <c r="H369" s="17" t="n">
        <v>0.0234</v>
      </c>
      <c r="I369" s="17" t="n">
        <v>0.0538</v>
      </c>
      <c r="J369" s="17" t="n">
        <v>0.0421</v>
      </c>
      <c r="K369" s="17" t="n">
        <v>0.0852</v>
      </c>
      <c r="L369" s="17" t="n">
        <v>0.0259</v>
      </c>
    </row>
    <row r="370" customFormat="false" ht="30" hidden="false" customHeight="true" outlineLevel="0" collapsed="false">
      <c r="A370" s="2" t="s">
        <v>506</v>
      </c>
      <c r="B370" s="16" t="n">
        <v>-0.0307</v>
      </c>
      <c r="C370" s="16" t="n">
        <v>-0.0132</v>
      </c>
      <c r="D370" s="16" t="n">
        <v>-0.0124</v>
      </c>
      <c r="E370" s="16" t="n">
        <v>-0.0113</v>
      </c>
      <c r="F370" s="16" t="n">
        <v>-0.0061</v>
      </c>
      <c r="G370" s="16" t="n">
        <v>0.008</v>
      </c>
      <c r="H370" s="16" t="n">
        <v>0.0109</v>
      </c>
      <c r="I370" s="16" t="n">
        <v>0.0009</v>
      </c>
      <c r="J370" s="16" t="n">
        <v>0.004</v>
      </c>
      <c r="K370" s="16" t="n">
        <v>0.0487</v>
      </c>
      <c r="L370" s="16" t="n">
        <v>0.0344</v>
      </c>
    </row>
    <row r="371" customFormat="false" ht="30" hidden="false" customHeight="true" outlineLevel="0" collapsed="false">
      <c r="A371" s="3" t="s">
        <v>507</v>
      </c>
      <c r="B371" s="17" t="n">
        <v>0.0948</v>
      </c>
      <c r="C371" s="17" t="n">
        <v>0.038</v>
      </c>
      <c r="D371" s="17" t="n">
        <v>0.0283</v>
      </c>
      <c r="E371" s="17" t="n">
        <v>0.014</v>
      </c>
      <c r="F371" s="17" t="n">
        <v>-0.0105</v>
      </c>
      <c r="G371" s="17" t="n">
        <v>-0.0024</v>
      </c>
      <c r="H371" s="17" t="n">
        <v>0.0072</v>
      </c>
      <c r="I371" s="17" t="n">
        <v>0.0128</v>
      </c>
      <c r="J371" s="17" t="n">
        <v>0.0066</v>
      </c>
      <c r="K371" s="17" t="n">
        <v>0.0085</v>
      </c>
      <c r="L371" s="17" t="n">
        <v>-0.0269</v>
      </c>
    </row>
    <row r="372" customFormat="false" ht="30" hidden="false" customHeight="true" outlineLevel="0" collapsed="false">
      <c r="A372" s="2" t="s">
        <v>508</v>
      </c>
      <c r="B372" s="16" t="n">
        <v>0.0445</v>
      </c>
      <c r="C372" s="16" t="n">
        <v>0.0285</v>
      </c>
      <c r="D372" s="16" t="n">
        <v>0.0041</v>
      </c>
      <c r="E372" s="16" t="n">
        <v>-0.0155</v>
      </c>
      <c r="F372" s="16" t="n">
        <v>-0.0209</v>
      </c>
      <c r="G372" s="16" t="n">
        <v>-0.0354</v>
      </c>
      <c r="H372" s="16" t="n">
        <v>-0.0298</v>
      </c>
      <c r="I372" s="16" t="n">
        <v>-0.0245</v>
      </c>
      <c r="J372" s="16" t="n">
        <v>-0.041</v>
      </c>
      <c r="K372" s="16" t="n">
        <v>-0.0483</v>
      </c>
      <c r="L372" s="16" t="n">
        <v>-0.048</v>
      </c>
    </row>
    <row r="373" customFormat="false" ht="30" hidden="false" customHeight="true" outlineLevel="0" collapsed="false">
      <c r="A373" s="3" t="s">
        <v>509</v>
      </c>
      <c r="B373" s="17" t="n">
        <v>0.0078</v>
      </c>
      <c r="C373" s="17" t="n">
        <v>-0.0139</v>
      </c>
      <c r="D373" s="17" t="n">
        <v>0.0169</v>
      </c>
      <c r="E373" s="17" t="n">
        <v>0.0192</v>
      </c>
      <c r="F373" s="17" t="n">
        <v>0.03</v>
      </c>
      <c r="G373" s="17" t="n">
        <v>0.0211</v>
      </c>
      <c r="H373" s="17" t="n">
        <v>0.022</v>
      </c>
      <c r="I373" s="17" t="n">
        <v>0.0243</v>
      </c>
      <c r="J373" s="17" t="n">
        <v>0.0233</v>
      </c>
      <c r="K373" s="17" t="n">
        <v>0.0312</v>
      </c>
      <c r="L373" s="17" t="n">
        <v>0.0236</v>
      </c>
    </row>
    <row r="374" customFormat="false" ht="30" hidden="false" customHeight="true" outlineLevel="0" collapsed="false">
      <c r="A374" s="2" t="s">
        <v>510</v>
      </c>
      <c r="B374" s="16" t="n">
        <v>0.0668</v>
      </c>
      <c r="C374" s="16" t="n">
        <v>0.0405</v>
      </c>
      <c r="D374" s="16" t="n">
        <v>0.0273</v>
      </c>
      <c r="E374" s="16" t="n">
        <v>0.0088</v>
      </c>
      <c r="F374" s="16" t="n">
        <v>0.0305</v>
      </c>
      <c r="G374" s="16" t="n">
        <v>0.0218</v>
      </c>
      <c r="H374" s="16" t="n">
        <v>0.0269</v>
      </c>
      <c r="I374" s="16" t="n">
        <v>0.0401</v>
      </c>
      <c r="J374" s="16" t="n">
        <v>0.0296</v>
      </c>
      <c r="K374" s="16" t="n">
        <v>0.049</v>
      </c>
      <c r="L374" s="16" t="n">
        <v>0.001</v>
      </c>
    </row>
    <row r="375" customFormat="false" ht="30" hidden="false" customHeight="true" outlineLevel="0" collapsed="false">
      <c r="A375" s="3" t="s">
        <v>511</v>
      </c>
      <c r="B375" s="17" t="n">
        <v>-0.0149</v>
      </c>
      <c r="C375" s="17" t="n">
        <v>-0.0146</v>
      </c>
      <c r="D375" s="17" t="n">
        <v>-0.0269</v>
      </c>
      <c r="E375" s="17" t="n">
        <v>-0.0323</v>
      </c>
      <c r="F375" s="17" t="n">
        <v>-0.0215</v>
      </c>
      <c r="G375" s="17" t="n">
        <v>-0.0232</v>
      </c>
      <c r="H375" s="17" t="n">
        <v>-0.024</v>
      </c>
      <c r="I375" s="17" t="n">
        <v>-0.0257</v>
      </c>
      <c r="J375" s="17" t="n">
        <v>-0.0272</v>
      </c>
      <c r="K375" s="17" t="n">
        <v>-0.0116</v>
      </c>
      <c r="L375" s="17" t="n">
        <v>-0.0038</v>
      </c>
    </row>
    <row r="376" customFormat="false" ht="30" hidden="false" customHeight="true" outlineLevel="0" collapsed="false">
      <c r="A376" s="2" t="s">
        <v>512</v>
      </c>
      <c r="B376" s="16" t="n">
        <v>-0.0489</v>
      </c>
      <c r="C376" s="16" t="n">
        <v>-0.0417</v>
      </c>
      <c r="D376" s="16" t="n">
        <v>-0.0413</v>
      </c>
      <c r="E376" s="16" t="n">
        <v>-0.0289</v>
      </c>
      <c r="F376" s="16" t="n">
        <v>-0.043</v>
      </c>
      <c r="G376" s="16" t="n">
        <v>-0.0382</v>
      </c>
      <c r="H376" s="16" t="n">
        <v>-0.0523</v>
      </c>
      <c r="I376" s="16" t="n">
        <v>-0.0494</v>
      </c>
      <c r="J376" s="16" t="n">
        <v>-0.0483</v>
      </c>
      <c r="K376" s="16" t="n">
        <v>-0.0572</v>
      </c>
      <c r="L376" s="16" t="n">
        <v>-0.0131</v>
      </c>
    </row>
    <row r="377" customFormat="false" ht="30" hidden="false" customHeight="true" outlineLevel="0" collapsed="false">
      <c r="A377" s="3" t="s">
        <v>513</v>
      </c>
      <c r="B377" s="17" t="n">
        <v>-0.0152</v>
      </c>
      <c r="C377" s="17" t="n">
        <v>0.0039</v>
      </c>
      <c r="D377" s="17" t="n">
        <v>0.0177</v>
      </c>
      <c r="E377" s="17" t="n">
        <v>0.0234</v>
      </c>
      <c r="F377" s="17" t="n">
        <v>0.0144</v>
      </c>
      <c r="G377" s="17" t="n">
        <v>0.0184</v>
      </c>
      <c r="H377" s="17" t="n">
        <v>0.0064</v>
      </c>
      <c r="I377" s="17" t="n">
        <v>0.0089</v>
      </c>
      <c r="J377" s="17" t="n">
        <v>-0.0099</v>
      </c>
      <c r="K377" s="17" t="n">
        <v>0.0031</v>
      </c>
      <c r="L377" s="17" t="n">
        <v>0.0034</v>
      </c>
    </row>
    <row r="378" customFormat="false" ht="30" hidden="false" customHeight="true" outlineLevel="0" collapsed="false">
      <c r="A378" s="2" t="s">
        <v>514</v>
      </c>
      <c r="B378" s="16" t="n">
        <v>0.0154</v>
      </c>
      <c r="C378" s="16" t="n">
        <v>0.0155</v>
      </c>
      <c r="D378" s="16" t="n">
        <v>0.0135</v>
      </c>
      <c r="E378" s="16" t="n">
        <v>0.0153</v>
      </c>
      <c r="F378" s="16" t="n">
        <v>0.0103</v>
      </c>
      <c r="G378" s="16" t="n">
        <v>0.0107</v>
      </c>
      <c r="H378" s="16" t="n">
        <v>0.0148</v>
      </c>
      <c r="I378" s="16" t="n">
        <v>0.0043</v>
      </c>
      <c r="J378" s="16" t="n">
        <v>0.0055</v>
      </c>
      <c r="K378" s="16" t="n">
        <v>-0.0218</v>
      </c>
      <c r="L378" s="16" t="n">
        <v>-0.0207</v>
      </c>
    </row>
    <row r="379" customFormat="false" ht="30" hidden="false" customHeight="true" outlineLevel="0" collapsed="false">
      <c r="A379" s="3" t="s">
        <v>515</v>
      </c>
      <c r="B379" s="17" t="n">
        <v>-0.0423</v>
      </c>
      <c r="C379" s="17" t="n">
        <v>-0.0149</v>
      </c>
      <c r="D379" s="17" t="n">
        <v>-0.021</v>
      </c>
      <c r="E379" s="17" t="n">
        <v>-0.0171</v>
      </c>
      <c r="F379" s="17" t="n">
        <v>-0.034</v>
      </c>
      <c r="G379" s="17" t="n">
        <v>-0.0294</v>
      </c>
      <c r="H379" s="17" t="n">
        <v>-0.0155</v>
      </c>
      <c r="I379" s="17" t="n">
        <v>-0.0223</v>
      </c>
      <c r="J379" s="17" t="n">
        <v>-0.0349</v>
      </c>
      <c r="K379" s="17" t="n">
        <v>-0.0616</v>
      </c>
      <c r="L379" s="17" t="n">
        <v>-0.0088</v>
      </c>
    </row>
    <row r="380" customFormat="false" ht="30" hidden="false" customHeight="true" outlineLevel="0" collapsed="false">
      <c r="A380" s="2" t="s">
        <v>516</v>
      </c>
      <c r="B380" s="16" t="n">
        <v>0.0348</v>
      </c>
      <c r="C380" s="16" t="n">
        <v>0.0337</v>
      </c>
      <c r="D380" s="16" t="n">
        <v>0.0258</v>
      </c>
      <c r="E380" s="16" t="n">
        <v>0.03</v>
      </c>
      <c r="F380" s="16" t="n">
        <v>0.0222</v>
      </c>
      <c r="G380" s="16" t="n">
        <v>0.0529</v>
      </c>
      <c r="H380" s="16" t="n">
        <v>0.039</v>
      </c>
      <c r="I380" s="16" t="n">
        <v>0.0176</v>
      </c>
      <c r="J380" s="16" t="n">
        <v>0.0212</v>
      </c>
      <c r="K380" s="16" t="n">
        <v>0.0249</v>
      </c>
      <c r="L380" s="16" t="n">
        <v>0.0012</v>
      </c>
    </row>
    <row r="381" customFormat="false" ht="30" hidden="false" customHeight="true" outlineLevel="0" collapsed="false">
      <c r="A381" s="3" t="s">
        <v>517</v>
      </c>
      <c r="B381" s="17" t="n">
        <v>0.0543</v>
      </c>
      <c r="C381" s="17" t="n">
        <v>0.0497</v>
      </c>
      <c r="D381" s="17" t="n">
        <v>0.0287</v>
      </c>
      <c r="E381" s="17" t="n">
        <v>0.0307</v>
      </c>
      <c r="F381" s="17" t="n">
        <v>0.0219</v>
      </c>
      <c r="G381" s="17" t="n">
        <v>0.0432</v>
      </c>
      <c r="H381" s="17" t="n">
        <v>0.0408</v>
      </c>
      <c r="I381" s="17" t="n">
        <v>0.0576</v>
      </c>
      <c r="J381" s="17" t="n">
        <v>0.0558</v>
      </c>
      <c r="K381" s="17" t="n">
        <v>0.0834</v>
      </c>
      <c r="L381" s="17" t="n">
        <v>0.0154</v>
      </c>
    </row>
    <row r="382" customFormat="false" ht="30" hidden="false" customHeight="true" outlineLevel="0" collapsed="false">
      <c r="A382" s="2" t="s">
        <v>518</v>
      </c>
      <c r="B382" s="16" t="n">
        <v>-0.0129</v>
      </c>
      <c r="C382" s="16" t="n">
        <v>-0.0232</v>
      </c>
      <c r="D382" s="16" t="n">
        <v>-0.0247</v>
      </c>
      <c r="E382" s="16" t="n">
        <v>-0.0279</v>
      </c>
      <c r="F382" s="16" t="n">
        <v>-0.0206</v>
      </c>
      <c r="G382" s="16" t="n">
        <v>-0.0149</v>
      </c>
      <c r="H382" s="16" t="n">
        <v>-0.0268</v>
      </c>
      <c r="I382" s="16" t="n">
        <v>-0.0204</v>
      </c>
      <c r="J382" s="16" t="n">
        <v>-0.0192</v>
      </c>
      <c r="K382" s="16" t="n">
        <v>0.0076</v>
      </c>
      <c r="L382" s="16" t="n">
        <v>0.0131</v>
      </c>
    </row>
    <row r="383" customFormat="false" ht="30" hidden="false" customHeight="true" outlineLevel="0" collapsed="false">
      <c r="A383" s="3" t="s">
        <v>519</v>
      </c>
      <c r="B383" s="17" t="n">
        <v>-0.0057</v>
      </c>
      <c r="C383" s="17" t="n">
        <v>0.0213</v>
      </c>
      <c r="D383" s="17" t="n">
        <v>0.0113</v>
      </c>
      <c r="E383" s="17" t="n">
        <v>0.0275</v>
      </c>
      <c r="F383" s="17" t="n">
        <v>0.0198</v>
      </c>
      <c r="G383" s="17" t="n">
        <v>0.0198</v>
      </c>
      <c r="H383" s="17" t="n">
        <v>0.0083</v>
      </c>
      <c r="I383" s="17" t="n">
        <v>0.0077</v>
      </c>
      <c r="J383" s="17" t="n">
        <v>0.0226</v>
      </c>
      <c r="K383" s="17" t="n">
        <v>0.0294</v>
      </c>
      <c r="L383" s="17" t="n">
        <v>0.0143</v>
      </c>
    </row>
    <row r="384" customFormat="false" ht="30" hidden="false" customHeight="true" outlineLevel="0" collapsed="false">
      <c r="A384" s="2" t="s">
        <v>520</v>
      </c>
      <c r="B384" s="16" t="n">
        <v>-0.0315</v>
      </c>
      <c r="C384" s="16" t="n">
        <v>-0.0301</v>
      </c>
      <c r="D384" s="16" t="n">
        <v>-0.0202</v>
      </c>
      <c r="E384" s="16" t="n">
        <v>-0.0368</v>
      </c>
      <c r="F384" s="16" t="n">
        <v>-0.0471</v>
      </c>
      <c r="G384" s="16" t="n">
        <v>-0.0372</v>
      </c>
      <c r="H384" s="16" t="n">
        <v>-0.0353</v>
      </c>
      <c r="I384" s="16" t="n">
        <v>-0.0247</v>
      </c>
      <c r="J384" s="16" t="n">
        <v>-0.0432</v>
      </c>
      <c r="K384" s="16" t="n">
        <v>-0.0514</v>
      </c>
      <c r="L384" s="16" t="n">
        <v>-0.0015</v>
      </c>
    </row>
    <row r="385" customFormat="false" ht="30" hidden="false" customHeight="true" outlineLevel="0" collapsed="false">
      <c r="A385" s="3" t="s">
        <v>521</v>
      </c>
      <c r="B385" s="17" t="n">
        <v>-0.0202</v>
      </c>
      <c r="C385" s="17" t="n">
        <v>-0.0111</v>
      </c>
      <c r="D385" s="17" t="n">
        <v>0.0097</v>
      </c>
      <c r="E385" s="17" t="n">
        <v>-0.0021</v>
      </c>
      <c r="F385" s="17" t="n">
        <v>0.0178</v>
      </c>
      <c r="G385" s="17" t="n">
        <v>0.0258</v>
      </c>
      <c r="H385" s="17" t="n">
        <v>0.0178</v>
      </c>
      <c r="I385" s="17" t="n">
        <v>0.006</v>
      </c>
      <c r="J385" s="17" t="n">
        <v>0.0262</v>
      </c>
      <c r="K385" s="17" t="n">
        <v>0.0148</v>
      </c>
      <c r="L385" s="17" t="n">
        <v>0.0346</v>
      </c>
    </row>
    <row r="386" customFormat="false" ht="30" hidden="false" customHeight="true" outlineLevel="0" collapsed="false">
      <c r="A386" s="2" t="s">
        <v>522</v>
      </c>
      <c r="B386" s="16" t="n">
        <v>0.0167</v>
      </c>
      <c r="C386" s="16" t="n">
        <v>0.019</v>
      </c>
      <c r="D386" s="16" t="n">
        <v>0.0424</v>
      </c>
      <c r="E386" s="16" t="n">
        <v>0.0319</v>
      </c>
      <c r="F386" s="16" t="n">
        <v>0.0303</v>
      </c>
      <c r="G386" s="16" t="n">
        <v>0.0168</v>
      </c>
      <c r="H386" s="16" t="n">
        <v>0.0375</v>
      </c>
      <c r="I386" s="16" t="n">
        <v>0.0283</v>
      </c>
      <c r="J386" s="16" t="n">
        <v>0.0087</v>
      </c>
      <c r="K386" s="16" t="n">
        <v>-0.0179</v>
      </c>
      <c r="L386" s="16" t="n">
        <v>-0.0181</v>
      </c>
    </row>
    <row r="387" customFormat="false" ht="30" hidden="false" customHeight="true" outlineLevel="0" collapsed="false">
      <c r="A387" s="3" t="s">
        <v>523</v>
      </c>
      <c r="B387" s="17" t="n">
        <v>0.0317</v>
      </c>
      <c r="C387" s="17" t="n">
        <v>0.0505</v>
      </c>
      <c r="D387" s="17" t="n">
        <v>0.0482</v>
      </c>
      <c r="E387" s="17" t="n">
        <v>0.0554</v>
      </c>
      <c r="F387" s="17" t="n">
        <v>0.0321</v>
      </c>
      <c r="G387" s="17" t="n">
        <v>0.0449</v>
      </c>
      <c r="H387" s="17" t="n">
        <v>0.0378</v>
      </c>
      <c r="I387" s="17" t="n">
        <v>0.0341</v>
      </c>
      <c r="J387" s="17" t="n">
        <v>0.0306</v>
      </c>
      <c r="K387" s="17" t="n">
        <v>0.0422</v>
      </c>
      <c r="L387" s="17" t="n">
        <v>-0.0043</v>
      </c>
    </row>
    <row r="388" customFormat="false" ht="30" hidden="false" customHeight="true" outlineLevel="0" collapsed="false">
      <c r="A388" s="2" t="s">
        <v>524</v>
      </c>
      <c r="B388" s="16" t="n">
        <v>0.0043</v>
      </c>
      <c r="C388" s="16" t="n">
        <v>0.0345</v>
      </c>
      <c r="D388" s="16" t="n">
        <v>0.0317</v>
      </c>
      <c r="E388" s="16" t="n">
        <v>0.0307</v>
      </c>
      <c r="F388" s="16" t="n">
        <v>0.0231</v>
      </c>
      <c r="G388" s="16" t="n">
        <v>0.0199</v>
      </c>
      <c r="H388" s="16" t="n">
        <v>0.0219</v>
      </c>
      <c r="I388" s="16" t="n">
        <v>0.0261</v>
      </c>
      <c r="J388" s="16" t="n">
        <v>0.0197</v>
      </c>
      <c r="K388" s="16" t="n">
        <v>0.0406</v>
      </c>
      <c r="L388" s="16" t="n">
        <v>0.0043</v>
      </c>
    </row>
    <row r="389" customFormat="false" ht="30" hidden="false" customHeight="true" outlineLevel="0" collapsed="false">
      <c r="A389" s="3" t="s">
        <v>525</v>
      </c>
      <c r="B389" s="17" t="n">
        <v>0.0275</v>
      </c>
      <c r="C389" s="17" t="n">
        <v>0.0081</v>
      </c>
      <c r="D389" s="17" t="n">
        <v>0.0013</v>
      </c>
      <c r="E389" s="17" t="n">
        <v>0.0146</v>
      </c>
      <c r="F389" s="17" t="n">
        <v>0.0163</v>
      </c>
      <c r="G389" s="17" t="n">
        <v>0.0267</v>
      </c>
      <c r="H389" s="17" t="n">
        <v>0.0259</v>
      </c>
      <c r="I389" s="17" t="n">
        <v>0.0311</v>
      </c>
      <c r="J389" s="17" t="n">
        <v>0.0255</v>
      </c>
      <c r="K389" s="17" t="n">
        <v>0.0469</v>
      </c>
      <c r="L389" s="17" t="n">
        <v>0.0179</v>
      </c>
    </row>
    <row r="390" customFormat="false" ht="30" hidden="false" customHeight="true" outlineLevel="0" collapsed="false">
      <c r="A390" s="2" t="s">
        <v>526</v>
      </c>
      <c r="B390" s="16" t="n">
        <v>0.0284</v>
      </c>
      <c r="C390" s="16" t="n">
        <v>0.0353</v>
      </c>
      <c r="D390" s="16" t="n">
        <v>0.0418</v>
      </c>
      <c r="E390" s="16" t="n">
        <v>0.0363</v>
      </c>
      <c r="F390" s="16" t="n">
        <v>0.0312</v>
      </c>
      <c r="G390" s="16" t="n">
        <v>0.0447</v>
      </c>
      <c r="H390" s="16" t="n">
        <v>0.0355</v>
      </c>
      <c r="I390" s="16" t="n">
        <v>0.0401</v>
      </c>
      <c r="J390" s="16" t="n">
        <v>0.0282</v>
      </c>
      <c r="K390" s="16" t="n">
        <v>0.0264</v>
      </c>
      <c r="L390" s="16" t="n">
        <v>-0.0054</v>
      </c>
    </row>
    <row r="391" customFormat="false" ht="30" hidden="false" customHeight="true" outlineLevel="0" collapsed="false">
      <c r="A391" s="3" t="s">
        <v>527</v>
      </c>
      <c r="B391" s="17" t="n">
        <v>0.0698</v>
      </c>
      <c r="C391" s="17" t="n">
        <v>0.0193</v>
      </c>
      <c r="D391" s="17" t="n">
        <v>0.0259</v>
      </c>
      <c r="E391" s="17" t="n">
        <v>0.0257</v>
      </c>
      <c r="F391" s="17" t="n">
        <v>0.0099</v>
      </c>
      <c r="G391" s="17" t="n">
        <v>0.0158</v>
      </c>
      <c r="H391" s="17" t="n">
        <v>0.0052</v>
      </c>
      <c r="I391" s="17" t="n">
        <v>0.0306</v>
      </c>
      <c r="J391" s="17" t="n">
        <v>0.0392</v>
      </c>
      <c r="K391" s="17" t="n">
        <v>0.0721</v>
      </c>
      <c r="L391" s="17" t="n">
        <v>0.0302</v>
      </c>
    </row>
    <row r="392" customFormat="false" ht="30" hidden="false" customHeight="true" outlineLevel="0" collapsed="false">
      <c r="A392" s="2" t="s">
        <v>528</v>
      </c>
      <c r="B392" s="16" t="n">
        <v>0.0586</v>
      </c>
      <c r="C392" s="16" t="n">
        <v>0.0421</v>
      </c>
      <c r="D392" s="16" t="n">
        <v>0.0282</v>
      </c>
      <c r="E392" s="16" t="n">
        <v>0.0322</v>
      </c>
      <c r="F392" s="16" t="n">
        <v>0.0422</v>
      </c>
      <c r="G392" s="16" t="n">
        <v>0.0311</v>
      </c>
      <c r="H392" s="16" t="n">
        <v>0.0396</v>
      </c>
      <c r="I392" s="16" t="n">
        <v>0.0205</v>
      </c>
      <c r="J392" s="16" t="n">
        <v>0.0453</v>
      </c>
      <c r="K392" s="16" t="n">
        <v>0.0653</v>
      </c>
      <c r="L392" s="16" t="n">
        <v>0.0254</v>
      </c>
    </row>
    <row r="393" customFormat="false" ht="30" hidden="false" customHeight="true" outlineLevel="0" collapsed="false">
      <c r="A393" s="3" t="s">
        <v>529</v>
      </c>
      <c r="B393" s="17" t="n">
        <v>0.0122</v>
      </c>
      <c r="C393" s="17" t="n">
        <v>-0.0041</v>
      </c>
      <c r="D393" s="17" t="n">
        <v>0.0228</v>
      </c>
      <c r="E393" s="17" t="n">
        <v>0.0222</v>
      </c>
      <c r="F393" s="17" t="n">
        <v>0.0064</v>
      </c>
      <c r="G393" s="17" t="n">
        <v>0.0164</v>
      </c>
      <c r="H393" s="17" t="n">
        <v>0.014</v>
      </c>
      <c r="I393" s="17" t="n">
        <v>0.0005</v>
      </c>
      <c r="J393" s="17" t="n">
        <v>0.0079</v>
      </c>
      <c r="K393" s="17" t="n">
        <v>0.0067</v>
      </c>
      <c r="L393" s="17" t="n">
        <v>0.0014</v>
      </c>
    </row>
    <row r="394" customFormat="false" ht="30" hidden="false" customHeight="true" outlineLevel="0" collapsed="false">
      <c r="A394" s="2" t="s">
        <v>530</v>
      </c>
      <c r="B394" s="16" t="n">
        <v>-0.0162</v>
      </c>
      <c r="C394" s="16" t="n">
        <v>0.019</v>
      </c>
      <c r="D394" s="16" t="n">
        <v>0.0206</v>
      </c>
      <c r="E394" s="16" t="n">
        <v>0.043</v>
      </c>
      <c r="F394" s="16" t="n">
        <v>0.026</v>
      </c>
      <c r="G394" s="16" t="n">
        <v>0.0382</v>
      </c>
      <c r="H394" s="16" t="n">
        <v>0.0413</v>
      </c>
      <c r="I394" s="16" t="n">
        <v>0.0472</v>
      </c>
      <c r="J394" s="16" t="n">
        <v>0.0563</v>
      </c>
      <c r="K394" s="16" t="n">
        <v>0.033</v>
      </c>
      <c r="L394" s="16" t="n">
        <v>0.0287</v>
      </c>
    </row>
    <row r="395" customFormat="false" ht="30" hidden="false" customHeight="true" outlineLevel="0" collapsed="false">
      <c r="A395" s="3" t="s">
        <v>531</v>
      </c>
      <c r="B395" s="17" t="n">
        <v>-0.0903</v>
      </c>
      <c r="C395" s="17" t="n">
        <v>-0.0585</v>
      </c>
      <c r="D395" s="17" t="n">
        <v>-0.0332</v>
      </c>
      <c r="E395" s="17" t="n">
        <v>-0.0378</v>
      </c>
      <c r="F395" s="17" t="n">
        <v>-0.0111</v>
      </c>
      <c r="G395" s="17" t="n">
        <v>-0.0087</v>
      </c>
      <c r="H395" s="17" t="n">
        <v>0.004</v>
      </c>
      <c r="I395" s="17" t="n">
        <v>0.0022</v>
      </c>
      <c r="J395" s="17" t="n">
        <v>0.0026</v>
      </c>
      <c r="K395" s="17" t="n">
        <v>-0.0028</v>
      </c>
      <c r="L395" s="17" t="n">
        <v>0.0418</v>
      </c>
    </row>
    <row r="396" customFormat="false" ht="30" hidden="false" customHeight="true" outlineLevel="0" collapsed="false">
      <c r="A396" s="2" t="s">
        <v>532</v>
      </c>
      <c r="B396" s="16" t="n">
        <v>0.0497</v>
      </c>
      <c r="C396" s="16" t="n">
        <v>0.076</v>
      </c>
      <c r="D396" s="16" t="n">
        <v>0.0503</v>
      </c>
      <c r="E396" s="16" t="n">
        <v>0.0562</v>
      </c>
      <c r="F396" s="16" t="n">
        <v>0.0548</v>
      </c>
      <c r="G396" s="16" t="n">
        <v>0.0421</v>
      </c>
      <c r="H396" s="16" t="n">
        <v>0.0419</v>
      </c>
      <c r="I396" s="16" t="n">
        <v>0.0515</v>
      </c>
      <c r="J396" s="16" t="n">
        <v>0.0404</v>
      </c>
      <c r="K396" s="16" t="n">
        <v>0.0127</v>
      </c>
      <c r="L396" s="16" t="n">
        <v>-0.0072</v>
      </c>
    </row>
    <row r="397" customFormat="false" ht="30" hidden="false" customHeight="true" outlineLevel="0" collapsed="false">
      <c r="A397" s="3" t="s">
        <v>533</v>
      </c>
      <c r="B397" s="17" t="n">
        <v>-0.0249</v>
      </c>
      <c r="C397" s="17" t="n">
        <v>-0.0061</v>
      </c>
      <c r="D397" s="17" t="n">
        <v>0.0105</v>
      </c>
      <c r="E397" s="17" t="n">
        <v>0.0195</v>
      </c>
      <c r="F397" s="17" t="n">
        <v>0.0222</v>
      </c>
      <c r="G397" s="17" t="n">
        <v>0.0285</v>
      </c>
      <c r="H397" s="17" t="n">
        <v>0.0166</v>
      </c>
      <c r="I397" s="17" t="n">
        <v>0.0224</v>
      </c>
      <c r="J397" s="17" t="n">
        <v>0.0273</v>
      </c>
      <c r="K397" s="17" t="n">
        <v>-0.0129</v>
      </c>
      <c r="L397" s="17" t="n">
        <v>0.025</v>
      </c>
    </row>
    <row r="398" customFormat="false" ht="30" hidden="false" customHeight="true" outlineLevel="0" collapsed="false">
      <c r="A398" s="2" t="s">
        <v>534</v>
      </c>
      <c r="B398" s="16" t="n">
        <v>0.0019</v>
      </c>
      <c r="C398" s="16" t="n">
        <v>0.0174</v>
      </c>
      <c r="D398" s="16" t="n">
        <v>0.0157</v>
      </c>
      <c r="E398" s="16" t="n">
        <v>0.0077</v>
      </c>
      <c r="F398" s="16" t="n">
        <v>0.0116</v>
      </c>
      <c r="G398" s="16" t="n">
        <v>0.0168</v>
      </c>
      <c r="H398" s="16" t="n">
        <v>0.0412</v>
      </c>
      <c r="I398" s="16" t="n">
        <v>0.0304</v>
      </c>
      <c r="J398" s="16" t="n">
        <v>0.0404</v>
      </c>
      <c r="K398" s="16" t="n">
        <v>0.0267</v>
      </c>
      <c r="L398" s="16" t="n">
        <v>0.0055</v>
      </c>
    </row>
    <row r="399" customFormat="false" ht="30" hidden="false" customHeight="true" outlineLevel="0" collapsed="false">
      <c r="A399" s="3" t="s">
        <v>535</v>
      </c>
      <c r="B399" s="17" t="n">
        <v>0.0432</v>
      </c>
      <c r="C399" s="17" t="n">
        <v>0.024</v>
      </c>
      <c r="D399" s="17" t="n">
        <v>0.0104</v>
      </c>
      <c r="E399" s="17" t="n">
        <v>0.018</v>
      </c>
      <c r="F399" s="17" t="n">
        <v>0.0086</v>
      </c>
      <c r="G399" s="17" t="n">
        <v>0.0169</v>
      </c>
      <c r="H399" s="17" t="n">
        <v>0.0006</v>
      </c>
      <c r="I399" s="17" t="n">
        <v>0.0122</v>
      </c>
      <c r="J399" s="17" t="n">
        <v>0.0306</v>
      </c>
      <c r="K399" s="17" t="n">
        <v>0.0352</v>
      </c>
      <c r="L399" s="17" t="n">
        <v>0.0057</v>
      </c>
    </row>
    <row r="400" customFormat="false" ht="30" hidden="false" customHeight="true" outlineLevel="0" collapsed="false">
      <c r="A400" s="2" t="s">
        <v>536</v>
      </c>
      <c r="B400" s="16" t="n">
        <v>0.0439</v>
      </c>
      <c r="C400" s="16" t="n">
        <v>0.0344</v>
      </c>
      <c r="D400" s="16" t="n">
        <v>0.0297</v>
      </c>
      <c r="E400" s="16" t="n">
        <v>0.0225</v>
      </c>
      <c r="F400" s="16" t="n">
        <v>0.013</v>
      </c>
      <c r="G400" s="16" t="n">
        <v>0.0082</v>
      </c>
      <c r="H400" s="16" t="n">
        <v>0.0132</v>
      </c>
      <c r="I400" s="16" t="n">
        <v>0.0103</v>
      </c>
      <c r="J400" s="16" t="n">
        <v>-0.0009</v>
      </c>
      <c r="K400" s="16" t="n">
        <v>0.0044</v>
      </c>
      <c r="L400" s="16" t="n">
        <v>-0.0185</v>
      </c>
    </row>
    <row r="401" customFormat="false" ht="30" hidden="false" customHeight="true" outlineLevel="0" collapsed="false">
      <c r="A401" s="3" t="s">
        <v>537</v>
      </c>
      <c r="B401" s="17" t="n">
        <v>0.1018</v>
      </c>
      <c r="C401" s="17" t="n">
        <v>0.036</v>
      </c>
      <c r="D401" s="17" t="n">
        <v>0.0566</v>
      </c>
      <c r="E401" s="17" t="n">
        <v>0.0319</v>
      </c>
      <c r="F401" s="17" t="n">
        <v>0.0163</v>
      </c>
      <c r="G401" s="17" t="n">
        <v>0.0028</v>
      </c>
      <c r="H401" s="17" t="n">
        <v>0.0069</v>
      </c>
      <c r="I401" s="17" t="n">
        <v>0.0168</v>
      </c>
      <c r="J401" s="17" t="n">
        <v>0.0045</v>
      </c>
      <c r="K401" s="17" t="n">
        <v>0.0617</v>
      </c>
      <c r="L401" s="17" t="n">
        <v>-0.0096</v>
      </c>
    </row>
    <row r="402" customFormat="false" ht="30" hidden="false" customHeight="true" outlineLevel="0" collapsed="false">
      <c r="A402" s="2" t="s">
        <v>538</v>
      </c>
      <c r="B402" s="16" t="n">
        <v>0.01</v>
      </c>
      <c r="C402" s="16" t="n">
        <v>0.0335</v>
      </c>
      <c r="D402" s="16" t="n">
        <v>0.0268</v>
      </c>
      <c r="E402" s="16" t="n">
        <v>0.0318</v>
      </c>
      <c r="F402" s="16" t="n">
        <v>0.0168</v>
      </c>
      <c r="G402" s="16" t="n">
        <v>0.0149</v>
      </c>
      <c r="H402" s="16" t="n">
        <v>0.0206</v>
      </c>
      <c r="I402" s="16" t="n">
        <v>0.0385</v>
      </c>
      <c r="J402" s="16" t="n">
        <v>0.0231</v>
      </c>
      <c r="K402" s="16" t="n">
        <v>0.0504</v>
      </c>
      <c r="L402" s="16" t="n">
        <v>0.016</v>
      </c>
    </row>
    <row r="403" customFormat="false" ht="30" hidden="false" customHeight="true" outlineLevel="0" collapsed="false">
      <c r="A403" s="3" t="s">
        <v>539</v>
      </c>
      <c r="B403" s="17" t="n">
        <v>-0.0687</v>
      </c>
      <c r="C403" s="17" t="n">
        <v>-0.03</v>
      </c>
      <c r="D403" s="17" t="n">
        <v>-0.0108</v>
      </c>
      <c r="E403" s="17" t="n">
        <v>0.0075</v>
      </c>
      <c r="F403" s="17" t="n">
        <v>-0.0142</v>
      </c>
      <c r="G403" s="17" t="n">
        <v>-0.0026</v>
      </c>
      <c r="H403" s="17" t="n">
        <v>0.015</v>
      </c>
      <c r="I403" s="17" t="n">
        <v>0.0151</v>
      </c>
      <c r="J403" s="17" t="n">
        <v>-0.0166</v>
      </c>
      <c r="K403" s="17" t="n">
        <v>-0.0406</v>
      </c>
      <c r="L403" s="17" t="n">
        <v>0.01</v>
      </c>
    </row>
    <row r="404" customFormat="false" ht="30" hidden="false" customHeight="true" outlineLevel="0" collapsed="false">
      <c r="A404" s="2" t="s">
        <v>540</v>
      </c>
      <c r="B404" s="16" t="n">
        <v>-0.1113</v>
      </c>
      <c r="C404" s="16" t="n">
        <v>-0.0804</v>
      </c>
      <c r="D404" s="16" t="n">
        <v>-0.0528</v>
      </c>
      <c r="E404" s="16" t="n">
        <v>-0.0388</v>
      </c>
      <c r="F404" s="16" t="n">
        <v>-0.0533</v>
      </c>
      <c r="G404" s="16" t="n">
        <v>-0.0416</v>
      </c>
      <c r="H404" s="16" t="n">
        <v>-0.0345</v>
      </c>
      <c r="I404" s="16" t="n">
        <v>-0.0439</v>
      </c>
      <c r="J404" s="16" t="n">
        <v>-0.0475</v>
      </c>
      <c r="K404" s="16" t="n">
        <v>-0.1068</v>
      </c>
      <c r="L404" s="16" t="n">
        <v>-0.0015</v>
      </c>
    </row>
    <row r="405" customFormat="false" ht="30" hidden="false" customHeight="true" outlineLevel="0" collapsed="false">
      <c r="A405" s="3" t="s">
        <v>541</v>
      </c>
      <c r="B405" s="17" t="n">
        <v>0.0459</v>
      </c>
      <c r="C405" s="17" t="n">
        <v>0.0436</v>
      </c>
      <c r="D405" s="17" t="n">
        <v>0.0509</v>
      </c>
      <c r="E405" s="17" t="n">
        <v>0.0304</v>
      </c>
      <c r="F405" s="17" t="n">
        <v>0.0415</v>
      </c>
      <c r="G405" s="17" t="n">
        <v>0.0285</v>
      </c>
      <c r="H405" s="17" t="n">
        <v>0.0184</v>
      </c>
      <c r="I405" s="17" t="n">
        <v>0.0296</v>
      </c>
      <c r="J405" s="17" t="n">
        <v>0.0164</v>
      </c>
      <c r="K405" s="17" t="n">
        <v>0.0579</v>
      </c>
      <c r="L405" s="17" t="n">
        <v>-0.0001</v>
      </c>
    </row>
    <row r="406" customFormat="false" ht="30" hidden="false" customHeight="true" outlineLevel="0" collapsed="false">
      <c r="A406" s="2" t="s">
        <v>542</v>
      </c>
      <c r="B406" s="16" t="n">
        <v>0.0515</v>
      </c>
      <c r="C406" s="16" t="n">
        <v>0.0272</v>
      </c>
      <c r="D406" s="16" t="n">
        <v>0.0336</v>
      </c>
      <c r="E406" s="16" t="n">
        <v>0.0516</v>
      </c>
      <c r="F406" s="16" t="n">
        <v>0.0364</v>
      </c>
      <c r="G406" s="16" t="n">
        <v>0.039</v>
      </c>
      <c r="H406" s="16" t="n">
        <v>0.0543</v>
      </c>
      <c r="I406" s="16" t="n">
        <v>0.054</v>
      </c>
      <c r="J406" s="16" t="n">
        <v>0.0656</v>
      </c>
      <c r="K406" s="16" t="n">
        <v>0.0801</v>
      </c>
      <c r="L406" s="16" t="n">
        <v>0.0266</v>
      </c>
    </row>
    <row r="407" customFormat="false" ht="30" hidden="false" customHeight="true" outlineLevel="0" collapsed="false">
      <c r="A407" s="3" t="s">
        <v>543</v>
      </c>
      <c r="B407" s="17" t="n">
        <v>-0.0784</v>
      </c>
      <c r="C407" s="17" t="n">
        <v>-0.0453</v>
      </c>
      <c r="D407" s="17" t="n">
        <v>-0.0018</v>
      </c>
      <c r="E407" s="17" t="n">
        <v>0.0255</v>
      </c>
      <c r="F407" s="17" t="n">
        <v>0.0149</v>
      </c>
      <c r="G407" s="17" t="n">
        <v>0.0416</v>
      </c>
      <c r="H407" s="17" t="n">
        <v>0.0258</v>
      </c>
      <c r="I407" s="17" t="n">
        <v>0.0365</v>
      </c>
      <c r="J407" s="17" t="n">
        <v>0.0289</v>
      </c>
      <c r="K407" s="17" t="n">
        <v>-0.0104</v>
      </c>
      <c r="L407" s="17" t="n">
        <v>0.0379</v>
      </c>
    </row>
    <row r="408" customFormat="false" ht="30" hidden="false" customHeight="true" outlineLevel="0" collapsed="false">
      <c r="A408" s="2" t="s">
        <v>544</v>
      </c>
      <c r="B408" s="16" t="n">
        <v>0.1188</v>
      </c>
      <c r="C408" s="16" t="n">
        <v>0.0839</v>
      </c>
      <c r="D408" s="16" t="n">
        <v>0.0499</v>
      </c>
      <c r="E408" s="16" t="n">
        <v>0.0689</v>
      </c>
      <c r="F408" s="16" t="n">
        <v>0.0676</v>
      </c>
      <c r="G408" s="16" t="n">
        <v>0.0606</v>
      </c>
      <c r="H408" s="16" t="n">
        <v>0.0887</v>
      </c>
      <c r="I408" s="16" t="n">
        <v>0.0754</v>
      </c>
      <c r="J408" s="16" t="n">
        <v>0.0606</v>
      </c>
      <c r="K408" s="16" t="n">
        <v>0.0162</v>
      </c>
      <c r="L408" s="16" t="n">
        <v>-0.0234</v>
      </c>
    </row>
    <row r="409" customFormat="false" ht="30" hidden="false" customHeight="true" outlineLevel="0" collapsed="false">
      <c r="A409" s="3" t="s">
        <v>545</v>
      </c>
      <c r="B409" s="17" t="n">
        <v>0.0072</v>
      </c>
      <c r="C409" s="17" t="n">
        <v>-0.0103</v>
      </c>
      <c r="D409" s="17" t="n">
        <v>-0.0024</v>
      </c>
      <c r="E409" s="17" t="n">
        <v>0.0033</v>
      </c>
      <c r="F409" s="17" t="n">
        <v>-0.0061</v>
      </c>
      <c r="G409" s="17" t="n">
        <v>-0.0064</v>
      </c>
      <c r="H409" s="17" t="n">
        <v>-0.0273</v>
      </c>
      <c r="I409" s="17" t="n">
        <v>-0.0202</v>
      </c>
      <c r="J409" s="17" t="n">
        <v>-0.0274</v>
      </c>
      <c r="K409" s="17" t="n">
        <v>0.0083</v>
      </c>
      <c r="L409" s="17" t="n">
        <v>0.0058</v>
      </c>
    </row>
    <row r="410" customFormat="false" ht="30" hidden="false" customHeight="true" outlineLevel="0" collapsed="false">
      <c r="A410" s="2" t="s">
        <v>546</v>
      </c>
      <c r="B410" s="16" t="n">
        <v>0.0309</v>
      </c>
      <c r="C410" s="16" t="n">
        <v>0.0195</v>
      </c>
      <c r="D410" s="16" t="n">
        <v>0.0437</v>
      </c>
      <c r="E410" s="16" t="n">
        <v>0.0318</v>
      </c>
      <c r="F410" s="16" t="n">
        <v>0.03</v>
      </c>
      <c r="G410" s="16" t="n">
        <v>0.0364</v>
      </c>
      <c r="H410" s="16" t="n">
        <v>0.0572</v>
      </c>
      <c r="I410" s="16" t="n">
        <v>0.0776</v>
      </c>
      <c r="J410" s="16" t="n">
        <v>0.061</v>
      </c>
      <c r="K410" s="16" t="n">
        <v>0.0902</v>
      </c>
      <c r="L410" s="16" t="n">
        <v>0.0192</v>
      </c>
    </row>
    <row r="411" customFormat="false" ht="30" hidden="false" customHeight="true" outlineLevel="0" collapsed="false">
      <c r="A411" s="3" t="s">
        <v>547</v>
      </c>
      <c r="B411" s="17" t="n">
        <v>-0.0295</v>
      </c>
      <c r="C411" s="17" t="n">
        <v>0.0022</v>
      </c>
      <c r="D411" s="17" t="n">
        <v>0.0063</v>
      </c>
      <c r="E411" s="17" t="n">
        <v>0.0158</v>
      </c>
      <c r="F411" s="17" t="n">
        <v>0.0122</v>
      </c>
      <c r="G411" s="17" t="n">
        <v>0.0106</v>
      </c>
      <c r="H411" s="17" t="n">
        <v>0.0273</v>
      </c>
      <c r="I411" s="17" t="n">
        <v>0.0073</v>
      </c>
      <c r="J411" s="17" t="n">
        <v>-0.0218</v>
      </c>
      <c r="K411" s="17" t="n">
        <v>-0.0681</v>
      </c>
      <c r="L411" s="17" t="n">
        <v>-0.0208</v>
      </c>
    </row>
    <row r="412" customFormat="false" ht="30" hidden="false" customHeight="true" outlineLevel="0" collapsed="false">
      <c r="A412" s="2" t="s">
        <v>548</v>
      </c>
      <c r="B412" s="16" t="n">
        <v>-0.0763</v>
      </c>
      <c r="C412" s="16" t="n">
        <v>-0.0417</v>
      </c>
      <c r="D412" s="16" t="n">
        <v>-0.0362</v>
      </c>
      <c r="E412" s="16" t="n">
        <v>-0.053</v>
      </c>
      <c r="F412" s="16" t="n">
        <v>-0.0282</v>
      </c>
      <c r="G412" s="16" t="n">
        <v>-0.0261</v>
      </c>
      <c r="H412" s="16" t="n">
        <v>-0.0503</v>
      </c>
      <c r="I412" s="16" t="n">
        <v>-0.0345</v>
      </c>
      <c r="J412" s="16" t="n">
        <v>-0.0637</v>
      </c>
      <c r="K412" s="16" t="n">
        <v>-0.0444</v>
      </c>
      <c r="L412" s="16" t="n">
        <v>0.009</v>
      </c>
    </row>
    <row r="413" customFormat="false" ht="30" hidden="false" customHeight="true" outlineLevel="0" collapsed="false">
      <c r="A413" s="3" t="s">
        <v>549</v>
      </c>
      <c r="B413" s="17" t="n">
        <v>-0.0275</v>
      </c>
      <c r="C413" s="17" t="n">
        <v>0.0152</v>
      </c>
      <c r="D413" s="17" t="n">
        <v>-0.0017</v>
      </c>
      <c r="E413" s="17" t="n">
        <v>0.0147</v>
      </c>
      <c r="F413" s="17" t="n">
        <v>0.0271</v>
      </c>
      <c r="G413" s="17" t="n">
        <v>0.0281</v>
      </c>
      <c r="H413" s="17" t="n">
        <v>0.059</v>
      </c>
      <c r="I413" s="17" t="n">
        <v>0.0687</v>
      </c>
      <c r="J413" s="17" t="n">
        <v>0.0695</v>
      </c>
      <c r="K413" s="17" t="n">
        <v>0.0892</v>
      </c>
      <c r="L413" s="17" t="n">
        <v>0.0484</v>
      </c>
    </row>
    <row r="414" customFormat="false" ht="30" hidden="false" customHeight="true" outlineLevel="0" collapsed="false">
      <c r="A414" s="2" t="s">
        <v>550</v>
      </c>
      <c r="B414" s="16" t="n">
        <v>0.1741</v>
      </c>
      <c r="C414" s="16" t="n">
        <v>0.1234</v>
      </c>
      <c r="D414" s="16" t="n">
        <v>0.1078</v>
      </c>
      <c r="E414" s="16" t="n">
        <v>0.0652</v>
      </c>
      <c r="F414" s="16" t="n">
        <v>0.0631</v>
      </c>
      <c r="G414" s="16" t="n">
        <v>0.065</v>
      </c>
      <c r="H414" s="16" t="n">
        <v>0.0575</v>
      </c>
      <c r="I414" s="16" t="n">
        <v>0.0727</v>
      </c>
      <c r="J414" s="16" t="n">
        <v>0.0523</v>
      </c>
      <c r="K414" s="16" t="n">
        <v>0.0607</v>
      </c>
      <c r="L414" s="16" t="n">
        <v>-0.052</v>
      </c>
    </row>
    <row r="415" customFormat="false" ht="30" hidden="false" customHeight="true" outlineLevel="0" collapsed="false">
      <c r="A415" s="3" t="s">
        <v>551</v>
      </c>
      <c r="B415" s="17" t="n">
        <v>0.0144</v>
      </c>
      <c r="C415" s="17" t="n">
        <v>0.0188</v>
      </c>
      <c r="D415" s="17" t="n">
        <v>0.0604</v>
      </c>
      <c r="E415" s="17" t="n">
        <v>0.037</v>
      </c>
      <c r="F415" s="17" t="n">
        <v>0.0311</v>
      </c>
      <c r="G415" s="17" t="n">
        <v>0.0342</v>
      </c>
      <c r="H415" s="17" t="n">
        <v>0.042</v>
      </c>
      <c r="I415" s="17" t="n">
        <v>0.0423</v>
      </c>
      <c r="J415" s="17" t="n">
        <v>0.0589</v>
      </c>
      <c r="K415" s="17" t="n">
        <v>0.0451</v>
      </c>
      <c r="L415" s="17" t="n">
        <v>0.026</v>
      </c>
    </row>
    <row r="416" customFormat="false" ht="30" hidden="false" customHeight="true" outlineLevel="0" collapsed="false">
      <c r="A416" s="2" t="s">
        <v>552</v>
      </c>
      <c r="B416" s="16" t="n">
        <v>0.0411</v>
      </c>
      <c r="C416" s="16" t="n">
        <v>0.0465</v>
      </c>
      <c r="D416" s="16" t="n">
        <v>0.0531</v>
      </c>
      <c r="E416" s="16" t="n">
        <v>0.077</v>
      </c>
      <c r="F416" s="16" t="n">
        <v>0.0455</v>
      </c>
      <c r="G416" s="16" t="n">
        <v>0.0833</v>
      </c>
      <c r="H416" s="16" t="n">
        <v>0.0575</v>
      </c>
      <c r="I416" s="16" t="n">
        <v>0.0667</v>
      </c>
      <c r="J416" s="16" t="n">
        <v>0.0747</v>
      </c>
      <c r="K416" s="16" t="n">
        <v>0.1508</v>
      </c>
      <c r="L416" s="16" t="n">
        <v>0.0369</v>
      </c>
    </row>
    <row r="417" customFormat="false" ht="30" hidden="false" customHeight="true" outlineLevel="0" collapsed="false">
      <c r="A417" s="3" t="s">
        <v>553</v>
      </c>
      <c r="B417" s="17" t="n">
        <v>0.0149</v>
      </c>
      <c r="C417" s="17" t="n">
        <v>0.015</v>
      </c>
      <c r="D417" s="17" t="n">
        <v>-0.0207</v>
      </c>
      <c r="E417" s="17" t="n">
        <v>-0.0237</v>
      </c>
      <c r="F417" s="17" t="n">
        <v>-0.0256</v>
      </c>
      <c r="G417" s="17" t="n">
        <v>-0.0306</v>
      </c>
      <c r="H417" s="17" t="n">
        <v>-0.0428</v>
      </c>
      <c r="I417" s="17" t="n">
        <v>-0.0654</v>
      </c>
      <c r="J417" s="17" t="n">
        <v>-0.0672</v>
      </c>
      <c r="K417" s="17" t="n">
        <v>-0.0265</v>
      </c>
      <c r="L417" s="17" t="n">
        <v>-0.0264</v>
      </c>
    </row>
    <row r="418" customFormat="false" ht="30" hidden="false" customHeight="true" outlineLevel="0" collapsed="false">
      <c r="A418" s="2" t="s">
        <v>554</v>
      </c>
      <c r="B418" s="16" t="n">
        <v>0.0407</v>
      </c>
      <c r="C418" s="16" t="n">
        <v>0.0692</v>
      </c>
      <c r="D418" s="16" t="n">
        <v>0.0518</v>
      </c>
      <c r="E418" s="16" t="n">
        <v>0.0468</v>
      </c>
      <c r="F418" s="16" t="n">
        <v>0.0537</v>
      </c>
      <c r="G418" s="16" t="n">
        <v>0.0638</v>
      </c>
      <c r="H418" s="16" t="n">
        <v>0.0507</v>
      </c>
      <c r="I418" s="16" t="n">
        <v>0.049</v>
      </c>
      <c r="J418" s="16" t="n">
        <v>0.0609</v>
      </c>
      <c r="K418" s="16" t="n">
        <v>0.0704</v>
      </c>
      <c r="L418" s="16" t="n">
        <v>0.0148</v>
      </c>
    </row>
    <row r="419" customFormat="false" ht="30" hidden="false" customHeight="true" outlineLevel="0" collapsed="false">
      <c r="A419" s="3" t="s">
        <v>555</v>
      </c>
      <c r="B419" s="17" t="n">
        <v>-0.0591</v>
      </c>
      <c r="C419" s="17" t="n">
        <v>-0.0489</v>
      </c>
      <c r="D419" s="17" t="n">
        <v>0.004</v>
      </c>
      <c r="E419" s="17" t="n">
        <v>-0.0359</v>
      </c>
      <c r="F419" s="17" t="n">
        <v>-0.0152</v>
      </c>
      <c r="G419" s="17" t="n">
        <v>-0.038</v>
      </c>
      <c r="H419" s="17" t="n">
        <v>-0.0253</v>
      </c>
      <c r="I419" s="17" t="n">
        <v>-0.0321</v>
      </c>
      <c r="J419" s="17" t="n">
        <v>-0.016</v>
      </c>
      <c r="K419" s="17" t="n">
        <v>-0.0789</v>
      </c>
      <c r="L419" s="17" t="n">
        <v>-0.0054</v>
      </c>
    </row>
    <row r="420" customFormat="false" ht="30" hidden="false" customHeight="true" outlineLevel="0" collapsed="false">
      <c r="A420" s="2" t="s">
        <v>556</v>
      </c>
      <c r="B420" s="16" t="n">
        <v>-0.0141</v>
      </c>
      <c r="C420" s="16" t="n">
        <v>0.0237</v>
      </c>
      <c r="D420" s="16" t="n">
        <v>0.0504</v>
      </c>
      <c r="E420" s="16" t="n">
        <v>0.0567</v>
      </c>
      <c r="F420" s="16" t="n">
        <v>0.0285</v>
      </c>
      <c r="G420" s="16" t="n">
        <v>0.0476</v>
      </c>
      <c r="H420" s="16" t="n">
        <v>0.047</v>
      </c>
      <c r="I420" s="16" t="n">
        <v>0.034</v>
      </c>
      <c r="J420" s="16" t="n">
        <v>0.0157</v>
      </c>
      <c r="K420" s="16" t="n">
        <v>0.0138</v>
      </c>
      <c r="L420" s="16" t="n">
        <v>0.0042</v>
      </c>
    </row>
    <row r="421" customFormat="false" ht="30" hidden="false" customHeight="true" outlineLevel="0" collapsed="false">
      <c r="A421" s="3" t="s">
        <v>557</v>
      </c>
      <c r="B421" s="17" t="n">
        <v>-0.0252</v>
      </c>
      <c r="C421" s="17" t="n">
        <v>-0.0019</v>
      </c>
      <c r="D421" s="17" t="n">
        <v>0.0192</v>
      </c>
      <c r="E421" s="17" t="n">
        <v>0.0252</v>
      </c>
      <c r="F421" s="17" t="n">
        <v>0.0141</v>
      </c>
      <c r="G421" s="17" t="n">
        <v>0.0124</v>
      </c>
      <c r="H421" s="17" t="n">
        <v>0.0332</v>
      </c>
      <c r="I421" s="17" t="n">
        <v>0.0509</v>
      </c>
      <c r="J421" s="17" t="n">
        <v>0.0086</v>
      </c>
      <c r="K421" s="17" t="n">
        <v>0.0147</v>
      </c>
      <c r="L421" s="17" t="n">
        <v>0.0393</v>
      </c>
    </row>
    <row r="422" customFormat="false" ht="30" hidden="false" customHeight="true" outlineLevel="0" collapsed="false">
      <c r="A422" s="2" t="s">
        <v>558</v>
      </c>
      <c r="B422" s="16" t="n">
        <v>-0.0001</v>
      </c>
      <c r="C422" s="16" t="n">
        <v>-0.0046</v>
      </c>
      <c r="D422" s="16" t="n">
        <v>-0.0052</v>
      </c>
      <c r="E422" s="16" t="n">
        <v>-0.0128</v>
      </c>
      <c r="F422" s="16" t="n">
        <v>0.0079</v>
      </c>
      <c r="G422" s="16" t="n">
        <v>-0.0079</v>
      </c>
      <c r="H422" s="16" t="n">
        <v>0.0214</v>
      </c>
      <c r="I422" s="16" t="n">
        <v>-0.0048</v>
      </c>
      <c r="J422" s="16" t="n">
        <v>0.0131</v>
      </c>
      <c r="K422" s="16" t="n">
        <v>0.0252</v>
      </c>
      <c r="L422" s="16" t="n">
        <v>0.0008</v>
      </c>
    </row>
    <row r="423" customFormat="false" ht="30" hidden="false" customHeight="true" outlineLevel="0" collapsed="false">
      <c r="A423" s="3" t="s">
        <v>559</v>
      </c>
      <c r="B423" s="17" t="n">
        <v>0.0839</v>
      </c>
      <c r="C423" s="17" t="n">
        <v>0.0875</v>
      </c>
      <c r="D423" s="17" t="n">
        <v>0.0784</v>
      </c>
      <c r="E423" s="17" t="n">
        <v>0.0804</v>
      </c>
      <c r="F423" s="17" t="n">
        <v>0.0748</v>
      </c>
      <c r="G423" s="17" t="n">
        <v>0.0887</v>
      </c>
      <c r="H423" s="17" t="n">
        <v>0.0518</v>
      </c>
      <c r="I423" s="17" t="n">
        <v>0.0638</v>
      </c>
      <c r="J423" s="17" t="n">
        <v>0.063</v>
      </c>
      <c r="K423" s="17" t="n">
        <v>0.0983</v>
      </c>
      <c r="L423" s="17" t="n">
        <v>-0.0119</v>
      </c>
    </row>
    <row r="424" customFormat="false" ht="30" hidden="false" customHeight="true" outlineLevel="0" collapsed="false">
      <c r="A424" s="2" t="s">
        <v>560</v>
      </c>
      <c r="B424" s="16" t="n">
        <v>0.045</v>
      </c>
      <c r="C424" s="16" t="n">
        <v>0.0272</v>
      </c>
      <c r="D424" s="16" t="n">
        <v>0.044</v>
      </c>
      <c r="E424" s="16" t="n">
        <v>0.0372</v>
      </c>
      <c r="F424" s="16" t="n">
        <v>0.0507</v>
      </c>
      <c r="G424" s="16" t="n">
        <v>0.0563</v>
      </c>
      <c r="H424" s="16" t="n">
        <v>0.0493</v>
      </c>
      <c r="I424" s="16" t="n">
        <v>0.0614</v>
      </c>
      <c r="J424" s="16" t="n">
        <v>0.0589</v>
      </c>
      <c r="K424" s="16" t="n">
        <v>0.0595</v>
      </c>
      <c r="L424" s="16" t="n">
        <v>0.0214</v>
      </c>
    </row>
    <row r="425" customFormat="false" ht="30" hidden="false" customHeight="true" outlineLevel="0" collapsed="false">
      <c r="A425" s="3" t="s">
        <v>561</v>
      </c>
      <c r="B425" s="17" t="n">
        <v>0.046</v>
      </c>
      <c r="C425" s="17" t="n">
        <v>-0.0072</v>
      </c>
      <c r="D425" s="17" t="n">
        <v>0.0039</v>
      </c>
      <c r="E425" s="17" t="n">
        <v>0.003</v>
      </c>
      <c r="F425" s="17" t="n">
        <v>0.0183</v>
      </c>
      <c r="G425" s="17" t="n">
        <v>-0.0096</v>
      </c>
      <c r="H425" s="17" t="n">
        <v>0.0014</v>
      </c>
      <c r="I425" s="17" t="n">
        <v>0.0172</v>
      </c>
      <c r="J425" s="17" t="n">
        <v>0.0051</v>
      </c>
      <c r="K425" s="17" t="n">
        <v>0.0539</v>
      </c>
      <c r="L425" s="17" t="n">
        <v>0.0068</v>
      </c>
    </row>
    <row r="426" customFormat="false" ht="30" hidden="false" customHeight="true" outlineLevel="0" collapsed="false">
      <c r="A426" s="2" t="s">
        <v>562</v>
      </c>
      <c r="B426" s="16" t="n">
        <v>-0.0862</v>
      </c>
      <c r="C426" s="16" t="n">
        <v>-0.0452</v>
      </c>
      <c r="D426" s="16" t="n">
        <v>-0.029</v>
      </c>
      <c r="E426" s="16" t="n">
        <v>-0.0246</v>
      </c>
      <c r="F426" s="16" t="n">
        <v>-0.022</v>
      </c>
      <c r="G426" s="16" t="n">
        <v>-0.0177</v>
      </c>
      <c r="H426" s="16" t="n">
        <v>-0.0221</v>
      </c>
      <c r="I426" s="16" t="n">
        <v>-0.0262</v>
      </c>
      <c r="J426" s="16" t="n">
        <v>0.0002</v>
      </c>
      <c r="K426" s="16" t="n">
        <v>-0.0349</v>
      </c>
      <c r="L426" s="16" t="n">
        <v>0.0197</v>
      </c>
    </row>
    <row r="427" customFormat="false" ht="30" hidden="false" customHeight="true" outlineLevel="0" collapsed="false">
      <c r="A427" s="3" t="s">
        <v>563</v>
      </c>
      <c r="B427" s="17" t="n">
        <v>-0.0367</v>
      </c>
      <c r="C427" s="17" t="n">
        <v>-0.0141</v>
      </c>
      <c r="D427" s="17" t="n">
        <v>-0.0254</v>
      </c>
      <c r="E427" s="17" t="n">
        <v>0.0223</v>
      </c>
      <c r="F427" s="17" t="n">
        <v>0.0158</v>
      </c>
      <c r="G427" s="17" t="n">
        <v>0.022</v>
      </c>
      <c r="H427" s="17" t="n">
        <v>0.0722</v>
      </c>
      <c r="I427" s="17" t="n">
        <v>0.0324</v>
      </c>
      <c r="J427" s="17" t="n">
        <v>0.0512</v>
      </c>
      <c r="K427" s="17" t="n">
        <v>0.0948</v>
      </c>
      <c r="L427" s="17" t="n">
        <v>0.0805</v>
      </c>
    </row>
    <row r="428" customFormat="false" ht="30" hidden="false" customHeight="true" outlineLevel="0" collapsed="false">
      <c r="A428" s="2" t="s">
        <v>564</v>
      </c>
      <c r="B428" s="16" t="n">
        <v>-0.0725</v>
      </c>
      <c r="C428" s="16" t="n">
        <v>-0.0546</v>
      </c>
      <c r="D428" s="16" t="n">
        <v>-0.0174</v>
      </c>
      <c r="E428" s="16" t="n">
        <v>-0.0191</v>
      </c>
      <c r="F428" s="16" t="n">
        <v>-0.0419</v>
      </c>
      <c r="G428" s="16" t="n">
        <v>-0.0403</v>
      </c>
      <c r="H428" s="16" t="n">
        <v>-0.0072</v>
      </c>
      <c r="I428" s="16" t="n">
        <v>-0.0154</v>
      </c>
      <c r="J428" s="16" t="n">
        <v>-0.0105</v>
      </c>
      <c r="K428" s="16" t="n">
        <v>0.0096</v>
      </c>
      <c r="L428" s="16" t="n">
        <v>0.0379</v>
      </c>
    </row>
    <row r="429" customFormat="false" ht="30" hidden="false" customHeight="true" outlineLevel="0" collapsed="false">
      <c r="A429" s="3" t="s">
        <v>565</v>
      </c>
      <c r="B429" s="17" t="n">
        <v>-0.217</v>
      </c>
      <c r="C429" s="17" t="n">
        <v>-0.1894</v>
      </c>
      <c r="D429" s="17" t="n">
        <v>-0.1278</v>
      </c>
      <c r="E429" s="17" t="n">
        <v>-0.1475</v>
      </c>
      <c r="F429" s="17" t="n">
        <v>-0.1773</v>
      </c>
      <c r="G429" s="17" t="n">
        <v>-0.1612</v>
      </c>
      <c r="H429" s="17" t="n">
        <v>-0.1413</v>
      </c>
      <c r="I429" s="17" t="n">
        <v>-0.1386</v>
      </c>
      <c r="J429" s="17" t="n">
        <v>-0.1371</v>
      </c>
      <c r="K429" s="17" t="n">
        <v>-0.1704</v>
      </c>
      <c r="L429" s="17" t="n">
        <v>0.0187</v>
      </c>
    </row>
    <row r="430" customFormat="false" ht="30" hidden="false" customHeight="true" outlineLevel="0" collapsed="false">
      <c r="A430" s="2" t="s">
        <v>566</v>
      </c>
      <c r="B430" s="16" t="n">
        <v>0.1282</v>
      </c>
      <c r="C430" s="16" t="n">
        <v>0.0886</v>
      </c>
      <c r="D430" s="16" t="n">
        <v>0.0844</v>
      </c>
      <c r="E430" s="16" t="n">
        <v>0.0937</v>
      </c>
      <c r="F430" s="16" t="n">
        <v>0.068</v>
      </c>
      <c r="G430" s="16" t="n">
        <v>0.057</v>
      </c>
      <c r="H430" s="16" t="n">
        <v>0.0401</v>
      </c>
      <c r="I430" s="16" t="n">
        <v>0.0681</v>
      </c>
      <c r="J430" s="16" t="n">
        <v>0.0377</v>
      </c>
      <c r="K430" s="16" t="n">
        <v>0.0867</v>
      </c>
      <c r="L430" s="16" t="n">
        <v>-0.0069</v>
      </c>
    </row>
    <row r="431" customFormat="false" ht="30" hidden="false" customHeight="true" outlineLevel="0" collapsed="false">
      <c r="A431" s="3" t="s">
        <v>567</v>
      </c>
      <c r="B431" s="17" t="n">
        <v>0.1328</v>
      </c>
      <c r="C431" s="17" t="n">
        <v>0.1128</v>
      </c>
      <c r="D431" s="17" t="n">
        <v>0.0983</v>
      </c>
      <c r="E431" s="17" t="n">
        <v>0.0846</v>
      </c>
      <c r="F431" s="17" t="n">
        <v>0.0548</v>
      </c>
      <c r="G431" s="17" t="n">
        <v>0.0903</v>
      </c>
      <c r="H431" s="17" t="n">
        <v>0.0891</v>
      </c>
      <c r="I431" s="17" t="n">
        <v>0.0941</v>
      </c>
      <c r="J431" s="17" t="n">
        <v>0.078</v>
      </c>
      <c r="K431" s="17" t="n">
        <v>0.0406</v>
      </c>
      <c r="L431" s="17" t="n">
        <v>-0.0534</v>
      </c>
    </row>
    <row r="432" customFormat="false" ht="30" hidden="false" customHeight="true" outlineLevel="0" collapsed="false">
      <c r="A432" s="2" t="s">
        <v>568</v>
      </c>
      <c r="B432" s="16" t="n">
        <v>0.0364</v>
      </c>
      <c r="C432" s="16" t="n">
        <v>0.0297</v>
      </c>
      <c r="D432" s="16" t="n">
        <v>0.09</v>
      </c>
      <c r="E432" s="16" t="n">
        <v>0.0782</v>
      </c>
      <c r="F432" s="16" t="n">
        <v>0.059</v>
      </c>
      <c r="G432" s="16" t="n">
        <v>0.0676</v>
      </c>
      <c r="H432" s="16" t="n">
        <v>0.0412</v>
      </c>
      <c r="I432" s="16" t="n">
        <v>0.0673</v>
      </c>
      <c r="J432" s="16" t="n">
        <v>0.0513</v>
      </c>
      <c r="K432" s="16" t="n">
        <v>0.0743</v>
      </c>
      <c r="L432" s="16" t="n">
        <v>0.0114</v>
      </c>
    </row>
    <row r="433" customFormat="false" ht="30" hidden="false" customHeight="true" outlineLevel="0" collapsed="false">
      <c r="A433" s="3" t="s">
        <v>569</v>
      </c>
      <c r="B433" s="17" t="n">
        <v>-0.0088</v>
      </c>
      <c r="C433" s="17" t="n">
        <v>0.0097</v>
      </c>
      <c r="D433" s="17" t="n">
        <v>-0.022</v>
      </c>
      <c r="E433" s="17" t="n">
        <v>-0.0135</v>
      </c>
      <c r="F433" s="17" t="n">
        <v>0.0183</v>
      </c>
      <c r="G433" s="17" t="n">
        <v>0.0197</v>
      </c>
      <c r="H433" s="17" t="n">
        <v>0.0428</v>
      </c>
      <c r="I433" s="17" t="n">
        <v>0.0423</v>
      </c>
      <c r="J433" s="17" t="n">
        <v>0.059</v>
      </c>
      <c r="K433" s="17" t="n">
        <v>0.1299</v>
      </c>
      <c r="L433" s="17" t="n">
        <v>0.0888</v>
      </c>
    </row>
    <row r="434" customFormat="false" ht="30" hidden="false" customHeight="true" outlineLevel="0" collapsed="false">
      <c r="A434" s="2" t="s">
        <v>570</v>
      </c>
      <c r="B434" s="16" t="n">
        <v>0.024</v>
      </c>
      <c r="C434" s="16" t="n">
        <v>0.0158</v>
      </c>
      <c r="D434" s="16" t="n">
        <v>-0.0088</v>
      </c>
      <c r="E434" s="16" t="n">
        <v>-0.0163</v>
      </c>
      <c r="F434" s="16" t="n">
        <v>0.0208</v>
      </c>
      <c r="G434" s="16" t="n">
        <v>-0.0042</v>
      </c>
      <c r="H434" s="16" t="n">
        <v>0.014</v>
      </c>
      <c r="I434" s="16" t="n">
        <v>0.0057</v>
      </c>
      <c r="J434" s="16" t="n">
        <v>0.0098</v>
      </c>
      <c r="K434" s="16" t="n">
        <v>0.0908</v>
      </c>
      <c r="L434" s="16" t="n">
        <v>0.0285</v>
      </c>
    </row>
    <row r="435" customFormat="false" ht="30" hidden="false" customHeight="true" outlineLevel="0" collapsed="false">
      <c r="A435" s="3" t="s">
        <v>119</v>
      </c>
      <c r="B435" s="17" t="n">
        <v>-0.0728</v>
      </c>
      <c r="C435" s="17" t="n">
        <v>-0.0564</v>
      </c>
      <c r="D435" s="17" t="n">
        <v>-0.0367</v>
      </c>
      <c r="E435" s="17" t="n">
        <v>-0.0216</v>
      </c>
      <c r="F435" s="17" t="n">
        <v>-0.045</v>
      </c>
      <c r="G435" s="17" t="n">
        <v>-0.0063</v>
      </c>
      <c r="H435" s="17" t="n">
        <v>-0.0261</v>
      </c>
      <c r="I435" s="17" t="n">
        <v>-0.0229</v>
      </c>
      <c r="J435" s="17" t="n">
        <v>-0.05</v>
      </c>
      <c r="K435" s="17" t="n">
        <v>-0.047</v>
      </c>
      <c r="L435" s="17" t="n">
        <v>-0.0008</v>
      </c>
    </row>
    <row r="436" customFormat="false" ht="30" hidden="false" customHeight="true" outlineLevel="0" collapsed="false">
      <c r="A436" s="2" t="s">
        <v>571</v>
      </c>
      <c r="B436" s="16" t="n">
        <v>0.1032</v>
      </c>
      <c r="C436" s="16" t="n">
        <v>0.0322</v>
      </c>
      <c r="D436" s="16" t="n">
        <v>0.0263</v>
      </c>
      <c r="E436" s="16" t="n">
        <v>0.0262</v>
      </c>
      <c r="F436" s="16" t="n">
        <v>0.0299</v>
      </c>
      <c r="G436" s="16" t="n">
        <v>-0.0045</v>
      </c>
      <c r="H436" s="16" t="n">
        <v>0.0221</v>
      </c>
      <c r="I436" s="16" t="n">
        <v>0.0258</v>
      </c>
      <c r="J436" s="16" t="n">
        <v>0.026</v>
      </c>
      <c r="K436" s="16" t="n">
        <v>0.0578</v>
      </c>
      <c r="L436" s="16" t="n">
        <v>-0.0121</v>
      </c>
    </row>
    <row r="437" customFormat="false" ht="30" hidden="false" customHeight="true" outlineLevel="0" collapsed="false">
      <c r="A437" s="3" t="s">
        <v>572</v>
      </c>
      <c r="B437" s="17" t="n">
        <v>0.1757</v>
      </c>
      <c r="C437" s="17" t="n">
        <v>0.1317</v>
      </c>
      <c r="D437" s="17" t="n">
        <v>0.1442</v>
      </c>
      <c r="E437" s="17" t="n">
        <v>0.1168</v>
      </c>
      <c r="F437" s="17" t="n">
        <v>0.1198</v>
      </c>
      <c r="G437" s="17" t="n">
        <v>0.0977</v>
      </c>
      <c r="H437" s="17" t="n">
        <v>0.0584</v>
      </c>
      <c r="I437" s="17" t="n">
        <v>0.104</v>
      </c>
      <c r="J437" s="17" t="n">
        <v>0.0397</v>
      </c>
      <c r="K437" s="17" t="n">
        <v>-0.0087</v>
      </c>
      <c r="L437" s="17" t="n">
        <v>-0.0892</v>
      </c>
    </row>
    <row r="438" customFormat="false" ht="30" hidden="false" customHeight="true" outlineLevel="0" collapsed="false">
      <c r="A438" s="2" t="s">
        <v>120</v>
      </c>
      <c r="B438" s="16" t="n">
        <v>0.0715</v>
      </c>
      <c r="C438" s="16" t="n">
        <v>0.0482</v>
      </c>
      <c r="D438" s="16" t="n">
        <v>0.0378</v>
      </c>
      <c r="E438" s="16" t="n">
        <v>0.0114</v>
      </c>
      <c r="F438" s="16" t="n">
        <v>-0.002</v>
      </c>
      <c r="G438" s="16" t="n">
        <v>0.0006</v>
      </c>
      <c r="H438" s="16" t="n">
        <v>-0.0043</v>
      </c>
      <c r="I438" s="16" t="n">
        <v>-0.0106</v>
      </c>
      <c r="J438" s="16" t="n">
        <v>-0.0327</v>
      </c>
      <c r="K438" s="16" t="n">
        <v>-0.0316</v>
      </c>
      <c r="L438" s="16" t="n">
        <v>-0.0528</v>
      </c>
    </row>
    <row r="439" customFormat="false" ht="30" hidden="false" customHeight="true" outlineLevel="0" collapsed="false">
      <c r="A439" s="3" t="s">
        <v>573</v>
      </c>
      <c r="B439" s="17" t="n">
        <v>0.0158</v>
      </c>
      <c r="C439" s="17" t="n">
        <v>0.0485</v>
      </c>
      <c r="D439" s="17" t="n">
        <v>0.0268</v>
      </c>
      <c r="E439" s="17" t="n">
        <v>0.0134</v>
      </c>
      <c r="F439" s="17" t="n">
        <v>0.0087</v>
      </c>
      <c r="G439" s="17" t="n">
        <v>-0.0008</v>
      </c>
      <c r="H439" s="17" t="n">
        <v>0.0367</v>
      </c>
      <c r="I439" s="17" t="n">
        <v>0.0126</v>
      </c>
      <c r="J439" s="17" t="n">
        <v>0.0551</v>
      </c>
      <c r="K439" s="17" t="n">
        <v>0.085</v>
      </c>
      <c r="L439" s="17" t="n">
        <v>0.0466</v>
      </c>
    </row>
    <row r="440" customFormat="false" ht="30" hidden="false" customHeight="true" outlineLevel="0" collapsed="false">
      <c r="A440" s="2" t="s">
        <v>574</v>
      </c>
      <c r="B440" s="16" t="n">
        <v>-0.0425</v>
      </c>
      <c r="C440" s="16" t="n">
        <v>-0.0504</v>
      </c>
      <c r="D440" s="16" t="n">
        <v>-0.0173</v>
      </c>
      <c r="E440" s="16" t="n">
        <v>-0.0362</v>
      </c>
      <c r="F440" s="16" t="n">
        <v>-0.0339</v>
      </c>
      <c r="G440" s="16" t="n">
        <v>-0.0291</v>
      </c>
      <c r="H440" s="16" t="n">
        <v>-0.0495</v>
      </c>
      <c r="I440" s="16" t="n">
        <v>-0.0419</v>
      </c>
      <c r="J440" s="16" t="n">
        <v>-0.0222</v>
      </c>
      <c r="K440" s="16" t="n">
        <v>-0.0182</v>
      </c>
      <c r="L440" s="16" t="n">
        <v>0.017</v>
      </c>
    </row>
    <row r="441" customFormat="false" ht="30" hidden="false" customHeight="true" outlineLevel="0" collapsed="false">
      <c r="A441" s="3" t="s">
        <v>575</v>
      </c>
      <c r="B441" s="17" t="n">
        <v>-0.0537</v>
      </c>
      <c r="C441" s="17" t="n">
        <v>-0.0464</v>
      </c>
      <c r="D441" s="17" t="n">
        <v>-0.0159</v>
      </c>
      <c r="E441" s="17" t="n">
        <v>-0.0389</v>
      </c>
      <c r="F441" s="17" t="n">
        <v>-0.0216</v>
      </c>
      <c r="G441" s="17" t="n">
        <v>-0.0104</v>
      </c>
      <c r="H441" s="17" t="n">
        <v>-0.021</v>
      </c>
      <c r="I441" s="17" t="n">
        <v>0.0024</v>
      </c>
      <c r="J441" s="17" t="n">
        <v>-0.0184</v>
      </c>
      <c r="K441" s="17" t="n">
        <v>0.0076</v>
      </c>
      <c r="L441" s="17" t="n">
        <v>0.0293</v>
      </c>
    </row>
    <row r="442" customFormat="false" ht="30" hidden="false" customHeight="true" outlineLevel="0" collapsed="false">
      <c r="A442" s="2" t="s">
        <v>576</v>
      </c>
      <c r="B442" s="16" t="n">
        <v>-0.0628</v>
      </c>
      <c r="C442" s="16" t="n">
        <v>-0.0484</v>
      </c>
      <c r="D442" s="16" t="n">
        <v>-0.1005</v>
      </c>
      <c r="E442" s="16" t="n">
        <v>-0.0693</v>
      </c>
      <c r="F442" s="16" t="n">
        <v>-0.0659</v>
      </c>
      <c r="G442" s="16" t="n">
        <v>-0.0382</v>
      </c>
      <c r="H442" s="16" t="n">
        <v>-0.018</v>
      </c>
      <c r="I442" s="16" t="n">
        <v>-0.0038</v>
      </c>
      <c r="J442" s="16" t="n">
        <v>-0.0181</v>
      </c>
      <c r="K442" s="16" t="n">
        <v>0.004</v>
      </c>
      <c r="L442" s="16" t="n">
        <v>0.064</v>
      </c>
    </row>
    <row r="443" customFormat="false" ht="30" hidden="false" customHeight="true" outlineLevel="0" collapsed="false">
      <c r="A443" s="3" t="s">
        <v>577</v>
      </c>
      <c r="B443" s="17" t="n">
        <v>-0.0398</v>
      </c>
      <c r="C443" s="17" t="n">
        <v>0.0104</v>
      </c>
      <c r="D443" s="17" t="n">
        <v>0.0124</v>
      </c>
      <c r="E443" s="17" t="n">
        <v>0.0494</v>
      </c>
      <c r="F443" s="17" t="n">
        <v>0.0952</v>
      </c>
      <c r="G443" s="17" t="n">
        <v>0.0522</v>
      </c>
      <c r="H443" s="17" t="n">
        <v>0.0473</v>
      </c>
      <c r="I443" s="17" t="n">
        <v>0.0779</v>
      </c>
      <c r="J443" s="17" t="n">
        <v>0.0736</v>
      </c>
      <c r="K443" s="17" t="n">
        <v>0.0659</v>
      </c>
      <c r="L443" s="17" t="n">
        <v>0.0541</v>
      </c>
    </row>
    <row r="444" customFormat="false" ht="30" hidden="false" customHeight="true" outlineLevel="0" collapsed="false">
      <c r="A444" s="2" t="s">
        <v>121</v>
      </c>
      <c r="B444" s="16" t="n">
        <v>0.0256</v>
      </c>
      <c r="C444" s="16" t="n">
        <v>0.048</v>
      </c>
      <c r="D444" s="16" t="n">
        <v>-0.0105</v>
      </c>
      <c r="E444" s="16" t="n">
        <v>-0.016</v>
      </c>
      <c r="F444" s="16" t="n">
        <v>-0.026</v>
      </c>
      <c r="G444" s="16" t="n">
        <v>-0.0076</v>
      </c>
      <c r="H444" s="16" t="n">
        <v>0.0068</v>
      </c>
      <c r="I444" s="16" t="n">
        <v>0.0004</v>
      </c>
      <c r="J444" s="16" t="n">
        <v>0.0113</v>
      </c>
      <c r="K444" s="16" t="n">
        <v>0.1051</v>
      </c>
      <c r="L444" s="16" t="n">
        <v>0.055</v>
      </c>
    </row>
    <row r="445" customFormat="false" ht="30" hidden="false" customHeight="true" outlineLevel="0" collapsed="false">
      <c r="A445" s="3" t="s">
        <v>29</v>
      </c>
      <c r="B445" s="17" t="n">
        <v>-0.0047</v>
      </c>
      <c r="C445" s="17" t="n">
        <v>0.023</v>
      </c>
      <c r="D445" s="17" t="n">
        <v>-0.0259</v>
      </c>
      <c r="E445" s="17" t="n">
        <v>-0.0383</v>
      </c>
      <c r="F445" s="17" t="n">
        <v>-0.0113</v>
      </c>
      <c r="G445" s="17" t="n">
        <v>-0.0272</v>
      </c>
      <c r="H445" s="17" t="n">
        <v>-0.0488</v>
      </c>
      <c r="I445" s="17" t="n">
        <v>0.032</v>
      </c>
      <c r="J445" s="17" t="n">
        <v>0.0324</v>
      </c>
      <c r="K445" s="17" t="n">
        <v>0.2175</v>
      </c>
      <c r="L445" s="17" t="n">
        <v>0.1315</v>
      </c>
    </row>
    <row r="446" customFormat="false" ht="30" hidden="false" customHeight="true" outlineLevel="0" collapsed="false">
      <c r="A446" s="2" t="s">
        <v>32</v>
      </c>
      <c r="B446" s="16" t="n">
        <v>-0.0445</v>
      </c>
      <c r="C446" s="16" t="n">
        <v>-0.0277</v>
      </c>
      <c r="D446" s="16" t="n">
        <v>-0.06</v>
      </c>
      <c r="E446" s="16" t="n">
        <v>-0.0385</v>
      </c>
      <c r="F446" s="16" t="n">
        <v>-0.0261</v>
      </c>
      <c r="G446" s="16" t="n">
        <v>-0.0078</v>
      </c>
      <c r="H446" s="16" t="n">
        <v>-0.0179</v>
      </c>
      <c r="I446" s="16" t="n">
        <v>-0.0313</v>
      </c>
      <c r="J446" s="16" t="n">
        <v>-0.0888</v>
      </c>
      <c r="K446" s="16" t="n">
        <v>-0.0268</v>
      </c>
      <c r="L446" s="16" t="n">
        <v>0.0184</v>
      </c>
    </row>
    <row r="447" customFormat="false" ht="30" hidden="false" customHeight="true" outlineLevel="0" collapsed="false">
      <c r="A447" s="3" t="s">
        <v>578</v>
      </c>
      <c r="B447" s="17" t="n">
        <v>-0.0259</v>
      </c>
      <c r="C447" s="17" t="n">
        <v>-0.0684</v>
      </c>
      <c r="D447" s="17" t="n">
        <v>-0.0883</v>
      </c>
      <c r="E447" s="17" t="n">
        <v>-0.0633</v>
      </c>
      <c r="F447" s="17" t="n">
        <v>-0.1063</v>
      </c>
      <c r="G447" s="17" t="n">
        <v>-0.0335</v>
      </c>
      <c r="H447" s="17" t="n">
        <v>-0.0621</v>
      </c>
      <c r="I447" s="17" t="n">
        <v>-0.033</v>
      </c>
      <c r="J447" s="17" t="n">
        <v>-0.0301</v>
      </c>
      <c r="K447" s="17" t="n">
        <v>0.2275</v>
      </c>
      <c r="L447" s="17" t="n">
        <v>0.1805</v>
      </c>
    </row>
    <row r="448" customFormat="false" ht="30" hidden="false" customHeight="true" outlineLevel="0" collapsed="false">
      <c r="A448" s="2" t="s">
        <v>579</v>
      </c>
      <c r="B448" s="16" t="n">
        <v>0.0806</v>
      </c>
      <c r="C448" s="16" t="n">
        <v>0.1387</v>
      </c>
      <c r="D448" s="16" t="n">
        <v>0.1419</v>
      </c>
      <c r="E448" s="16" t="n">
        <v>0.0902</v>
      </c>
      <c r="F448" s="16" t="n">
        <v>0.0867</v>
      </c>
      <c r="G448" s="16" t="n">
        <v>0.1261</v>
      </c>
      <c r="H448" s="16" t="n">
        <v>0.1141</v>
      </c>
      <c r="I448" s="16" t="n">
        <v>0.076</v>
      </c>
      <c r="J448" s="16" t="n">
        <v>0.1322</v>
      </c>
      <c r="K448" s="16" t="n">
        <v>-0.0044</v>
      </c>
      <c r="L448" s="16" t="n">
        <v>-0.0686</v>
      </c>
    </row>
    <row r="449" customFormat="false" ht="30" hidden="false" customHeight="true" outlineLevel="0" collapsed="false">
      <c r="A449" s="3" t="s">
        <v>580</v>
      </c>
      <c r="B449" s="17" t="n">
        <v>-0.0231</v>
      </c>
      <c r="C449" s="17" t="n">
        <v>0.0061</v>
      </c>
      <c r="D449" s="17" t="n">
        <v>0.044</v>
      </c>
      <c r="E449" s="17" t="n">
        <v>0.0236</v>
      </c>
      <c r="F449" s="17" t="n">
        <v>-0.0074</v>
      </c>
      <c r="G449" s="17" t="n">
        <v>-0.0279</v>
      </c>
      <c r="H449" s="17" t="n">
        <v>-0.1189</v>
      </c>
      <c r="I449" s="17" t="n">
        <v>-0.0095</v>
      </c>
      <c r="J449" s="17" t="n">
        <v>-0.0425</v>
      </c>
      <c r="K449" s="17" t="n">
        <v>-0.0901</v>
      </c>
      <c r="L449" s="17" t="n">
        <v>-0.0859</v>
      </c>
    </row>
    <row r="450" customFormat="false" ht="30" hidden="false" customHeight="true" outlineLevel="0" collapsed="false">
      <c r="A450" s="2" t="s">
        <v>581</v>
      </c>
      <c r="B450" s="16" t="n">
        <v>0.0111</v>
      </c>
      <c r="C450" s="16" t="n">
        <v>0.0506</v>
      </c>
      <c r="D450" s="16" t="n">
        <v>0.0599</v>
      </c>
      <c r="E450" s="16" t="n">
        <v>0.0441</v>
      </c>
      <c r="F450" s="16" t="n">
        <v>-0.0118</v>
      </c>
      <c r="G450" s="16" t="n">
        <v>0.0187</v>
      </c>
      <c r="H450" s="16" t="n">
        <v>0.0274</v>
      </c>
      <c r="I450" s="16" t="n">
        <v>-0.032</v>
      </c>
      <c r="J450" s="16" t="n">
        <v>-0.0337</v>
      </c>
      <c r="K450" s="16" t="n">
        <v>-0.1162</v>
      </c>
      <c r="L450" s="16" t="n">
        <v>-0.0893</v>
      </c>
    </row>
    <row r="451" customFormat="false" ht="30" hidden="false" customHeight="true" outlineLevel="0" collapsed="false">
      <c r="A451" s="3" t="s">
        <v>582</v>
      </c>
      <c r="B451" s="17" t="n">
        <v>-0.053</v>
      </c>
      <c r="C451" s="17" t="n">
        <v>-0.0613</v>
      </c>
      <c r="D451" s="17" t="n">
        <v>-0.0513</v>
      </c>
      <c r="E451" s="17" t="n">
        <v>-0.0272</v>
      </c>
      <c r="F451" s="17" t="n">
        <v>0.0676</v>
      </c>
      <c r="G451" s="17" t="n">
        <v>-0.035</v>
      </c>
      <c r="H451" s="17" t="n">
        <v>-0.0353</v>
      </c>
      <c r="I451" s="17" t="n">
        <v>0.036</v>
      </c>
      <c r="J451" s="17" t="n">
        <v>0.0333</v>
      </c>
      <c r="K451" s="17" t="n">
        <v>0.1297</v>
      </c>
      <c r="L451" s="17" t="n">
        <v>0.1664</v>
      </c>
    </row>
    <row r="452" customFormat="false" ht="30" hidden="false" customHeight="true" outlineLevel="0" collapsed="false">
      <c r="A452" s="2" t="s">
        <v>583</v>
      </c>
      <c r="B452" s="16" t="n">
        <v>-0.043</v>
      </c>
      <c r="C452" s="16" t="n">
        <v>0.0091</v>
      </c>
      <c r="D452" s="16" t="n">
        <v>-0.0604</v>
      </c>
      <c r="E452" s="16" t="n">
        <v>-0.0003</v>
      </c>
      <c r="F452" s="16" t="n">
        <v>-0.0355</v>
      </c>
      <c r="G452" s="16" t="n">
        <v>-0.0086</v>
      </c>
      <c r="H452" s="16" t="n">
        <v>-0.0021</v>
      </c>
      <c r="I452" s="16" t="n">
        <v>0.0133</v>
      </c>
      <c r="J452" s="16" t="n">
        <v>-0.0059</v>
      </c>
      <c r="K452" s="16" t="n">
        <v>-0.0329</v>
      </c>
      <c r="L452" s="16" t="n">
        <v>-0.0018</v>
      </c>
    </row>
    <row r="453" customFormat="false" ht="30" hidden="false" customHeight="true" outlineLevel="0" collapsed="false">
      <c r="A453" s="3" t="s">
        <v>584</v>
      </c>
      <c r="B453" s="17" t="n">
        <v>0.0703</v>
      </c>
      <c r="C453" s="17" t="n">
        <v>0.0823</v>
      </c>
      <c r="D453" s="17" t="n">
        <v>0.0332</v>
      </c>
      <c r="E453" s="17" t="n">
        <v>0.0429</v>
      </c>
      <c r="F453" s="17" t="n">
        <v>0.0319</v>
      </c>
      <c r="G453" s="17" t="n">
        <v>0.0475</v>
      </c>
      <c r="H453" s="17" t="n">
        <v>0.0241</v>
      </c>
      <c r="I453" s="17" t="n">
        <v>0.0503</v>
      </c>
      <c r="J453" s="17" t="n">
        <v>0.0547</v>
      </c>
      <c r="K453" s="17" t="n">
        <v>0.14</v>
      </c>
      <c r="L453" s="17" t="n">
        <v>0.0561</v>
      </c>
    </row>
    <row r="454" customFormat="false" ht="30" hidden="false" customHeight="true" outlineLevel="0" collapsed="false">
      <c r="A454" s="2" t="s">
        <v>585</v>
      </c>
      <c r="B454" s="16" t="n">
        <v>-0.1243</v>
      </c>
      <c r="C454" s="16" t="n">
        <v>-0.0174</v>
      </c>
      <c r="D454" s="16" t="n">
        <v>-0.0763</v>
      </c>
      <c r="E454" s="16" t="n">
        <v>0.0345</v>
      </c>
      <c r="F454" s="16" t="n">
        <v>-0.026</v>
      </c>
      <c r="G454" s="16" t="n">
        <v>0.0265</v>
      </c>
      <c r="H454" s="16" t="n">
        <v>0.0239</v>
      </c>
      <c r="I454" s="16" t="n">
        <v>0.0066</v>
      </c>
      <c r="J454" s="16" t="n">
        <v>-0.0165</v>
      </c>
      <c r="K454" s="16" t="n">
        <v>-0.1176</v>
      </c>
      <c r="L454" s="16" t="n">
        <v>0.0189</v>
      </c>
    </row>
    <row r="455" customFormat="false" ht="30" hidden="false" customHeight="true" outlineLevel="0" collapsed="false">
      <c r="A455" s="3" t="s">
        <v>586</v>
      </c>
      <c r="B455" s="17" t="n">
        <v>-0.0897</v>
      </c>
      <c r="C455" s="17" t="n">
        <v>0.0503</v>
      </c>
      <c r="D455" s="17" t="n">
        <v>0.0272</v>
      </c>
      <c r="E455" s="17" t="n">
        <v>0.0781</v>
      </c>
      <c r="F455" s="17" t="n">
        <v>0.0111</v>
      </c>
      <c r="G455" s="17" t="n">
        <v>0.0079</v>
      </c>
      <c r="H455" s="17" t="n">
        <v>0.0014</v>
      </c>
      <c r="I455" s="17" t="n">
        <v>-0.0101</v>
      </c>
      <c r="J455" s="17" t="n">
        <v>-0.0224</v>
      </c>
      <c r="K455" s="17" t="n">
        <v>-0.0763</v>
      </c>
      <c r="L455" s="17" t="n">
        <v>-0.0451</v>
      </c>
    </row>
    <row r="456" customFormat="false" ht="30" hidden="false" customHeight="true" outlineLevel="0" collapsed="false">
      <c r="A456" s="2" t="s">
        <v>587</v>
      </c>
      <c r="B456" s="16" t="n">
        <v>-0.2377</v>
      </c>
      <c r="C456" s="16" t="n">
        <v>-0.0869</v>
      </c>
      <c r="D456" s="16" t="n">
        <v>-0.0356</v>
      </c>
      <c r="E456" s="16" t="n">
        <v>-0.0473</v>
      </c>
      <c r="F456" s="16" t="n">
        <v>0.0021</v>
      </c>
      <c r="G456" s="16" t="n">
        <v>-0.0844</v>
      </c>
      <c r="H456" s="16" t="n">
        <v>-0.0384</v>
      </c>
      <c r="I456" s="16" t="n">
        <v>-0.0659</v>
      </c>
      <c r="J456" s="16" t="n">
        <v>-0.0969</v>
      </c>
      <c r="K456" s="16" t="n">
        <v>-0.2445</v>
      </c>
      <c r="L456" s="16" t="n">
        <v>-0.0218</v>
      </c>
    </row>
    <row r="457" customFormat="false" ht="30" hidden="false" customHeight="true" outlineLevel="0" collapsed="false">
      <c r="A457" s="3" t="s">
        <v>72</v>
      </c>
      <c r="B457" s="17" t="n">
        <v>-0.1078</v>
      </c>
      <c r="C457" s="17" t="n">
        <v>0.003</v>
      </c>
      <c r="D457" s="17" t="n">
        <v>0.0037</v>
      </c>
      <c r="E457" s="17" t="n">
        <v>0.0643</v>
      </c>
      <c r="F457" s="17" t="n">
        <v>0.016</v>
      </c>
      <c r="G457" s="17" t="n">
        <v>0.0668</v>
      </c>
      <c r="H457" s="17" t="n">
        <v>-0.0428</v>
      </c>
      <c r="I457" s="17" t="n">
        <v>0.0274</v>
      </c>
      <c r="J457" s="17" t="n">
        <v>0.0314</v>
      </c>
      <c r="K457" s="17" t="n">
        <v>0.0585</v>
      </c>
      <c r="L457" s="17" t="n">
        <v>0.0662</v>
      </c>
    </row>
    <row r="458" customFormat="false" ht="30" hidden="false" customHeight="true" outlineLevel="0" collapsed="false">
      <c r="A458" s="2" t="s">
        <v>114</v>
      </c>
      <c r="B458" s="16" t="n">
        <v>0.3603</v>
      </c>
      <c r="C458" s="16" t="n">
        <v>0.2576</v>
      </c>
      <c r="D458" s="16" t="n">
        <v>0.0688</v>
      </c>
      <c r="E458" s="16" t="n">
        <v>0.135</v>
      </c>
      <c r="F458" s="16" t="n">
        <v>0.0327</v>
      </c>
      <c r="G458" s="16" t="n">
        <v>-0.0142</v>
      </c>
      <c r="H458" s="16" t="n">
        <v>-0.0067</v>
      </c>
      <c r="I458" s="16" t="n">
        <v>-0.0331</v>
      </c>
      <c r="J458" s="16" t="n">
        <v>-0.0689</v>
      </c>
      <c r="K458" s="16" t="n">
        <v>-0.0581</v>
      </c>
      <c r="L458" s="16" t="n">
        <v>-0.2536</v>
      </c>
    </row>
    <row r="459" customFormat="false" ht="30" hidden="false" customHeight="true" outlineLevel="0" collapsed="false">
      <c r="A459" s="3" t="s">
        <v>588</v>
      </c>
      <c r="B459" s="17" t="n">
        <v>-0.1947</v>
      </c>
      <c r="C459" s="17" t="n">
        <v>-0.1819</v>
      </c>
      <c r="D459" s="17" t="n">
        <v>-0.1514</v>
      </c>
      <c r="E459" s="17" t="n">
        <v>-0.0737</v>
      </c>
      <c r="F459" s="17" t="n">
        <v>-0.0565</v>
      </c>
      <c r="G459" s="17" t="n">
        <v>-0.0898</v>
      </c>
      <c r="H459" s="17" t="n">
        <v>-0.0815</v>
      </c>
      <c r="I459" s="17" t="n">
        <v>-0.0151</v>
      </c>
      <c r="J459" s="17" t="n">
        <v>-0.0458</v>
      </c>
      <c r="K459" s="17" t="n">
        <v>-0.0449</v>
      </c>
      <c r="L459" s="17" t="n">
        <v>0.1268</v>
      </c>
    </row>
    <row r="460" customFormat="false" ht="30" hidden="false" customHeight="true" outlineLevel="0" collapsed="false">
      <c r="A460" s="2" t="s">
        <v>589</v>
      </c>
      <c r="B460" s="16" t="n">
        <v>-0.1762</v>
      </c>
      <c r="C460" s="16" t="n">
        <v>-0.1071</v>
      </c>
      <c r="D460" s="16" t="n">
        <v>-0.072</v>
      </c>
      <c r="E460" s="16" t="n">
        <v>-0.0736</v>
      </c>
      <c r="F460" s="16" t="n">
        <v>-0.0374</v>
      </c>
      <c r="G460" s="16" t="n">
        <v>-0.0644</v>
      </c>
      <c r="H460" s="16" t="n">
        <v>-0.0487</v>
      </c>
      <c r="I460" s="16" t="n">
        <v>-0.0362</v>
      </c>
      <c r="J460" s="16" t="n">
        <v>-0.0223</v>
      </c>
      <c r="K460" s="16" t="n">
        <v>-0.0289</v>
      </c>
      <c r="L460" s="16" t="n">
        <v>0.0858</v>
      </c>
    </row>
    <row r="461" customFormat="false" ht="30" hidden="false" customHeight="true" outlineLevel="0" collapsed="false">
      <c r="A461" s="3" t="s">
        <v>590</v>
      </c>
      <c r="B461" s="17" t="n">
        <v>0.1483</v>
      </c>
      <c r="C461" s="17" t="n">
        <v>0.1881</v>
      </c>
      <c r="D461" s="17" t="n">
        <v>0.0838</v>
      </c>
      <c r="E461" s="17" t="n">
        <v>0.0953</v>
      </c>
      <c r="F461" s="17" t="n">
        <v>0.0672</v>
      </c>
      <c r="G461" s="17" t="n">
        <v>0.0281</v>
      </c>
      <c r="H461" s="17" t="n">
        <v>0.0388</v>
      </c>
      <c r="I461" s="17" t="n">
        <v>0.0324</v>
      </c>
      <c r="J461" s="17" t="n">
        <v>0.0438</v>
      </c>
      <c r="K461" s="17" t="n">
        <v>0.0566</v>
      </c>
      <c r="L461" s="17" t="n">
        <v>-0.0796</v>
      </c>
    </row>
    <row r="462" customFormat="false" ht="30" hidden="false" customHeight="true" outlineLevel="0" collapsed="false">
      <c r="A462" s="2" t="s">
        <v>591</v>
      </c>
      <c r="B462" s="16" t="n">
        <v>-0.0594</v>
      </c>
      <c r="C462" s="16" t="n">
        <v>0.0061</v>
      </c>
      <c r="D462" s="16" t="n">
        <v>0.0107</v>
      </c>
      <c r="E462" s="16" t="n">
        <v>0.0148</v>
      </c>
      <c r="F462" s="16" t="n">
        <v>0.023</v>
      </c>
      <c r="G462" s="16" t="n">
        <v>0.0144</v>
      </c>
      <c r="H462" s="16" t="n">
        <v>0.044</v>
      </c>
      <c r="I462" s="16" t="n">
        <v>0.0295</v>
      </c>
      <c r="J462" s="16" t="n">
        <v>0.0189</v>
      </c>
      <c r="K462" s="16" t="n">
        <v>0.0306</v>
      </c>
      <c r="L462" s="16" t="n">
        <v>0.0243</v>
      </c>
    </row>
    <row r="463" customFormat="false" ht="30" hidden="false" customHeight="true" outlineLevel="0" collapsed="false">
      <c r="A463" s="3" t="s">
        <v>592</v>
      </c>
      <c r="B463" s="17" t="n">
        <v>0.0005</v>
      </c>
      <c r="C463" s="17" t="n">
        <v>-0.015</v>
      </c>
      <c r="D463" s="17" t="n">
        <v>-0.0249</v>
      </c>
      <c r="E463" s="17" t="n">
        <v>-0.0406</v>
      </c>
      <c r="F463" s="17" t="n">
        <v>-0.0039</v>
      </c>
      <c r="G463" s="17" t="n">
        <v>-0.0086</v>
      </c>
      <c r="H463" s="17" t="n">
        <v>-0.0264</v>
      </c>
      <c r="I463" s="17" t="n">
        <v>-0.018</v>
      </c>
      <c r="J463" s="17" t="n">
        <v>-0.0226</v>
      </c>
      <c r="K463" s="17" t="n">
        <v>0.0111</v>
      </c>
      <c r="L463" s="17" t="n">
        <v>0.0061</v>
      </c>
    </row>
    <row r="464" customFormat="false" ht="30" hidden="false" customHeight="true" outlineLevel="0" collapsed="false">
      <c r="A464" s="2" t="s">
        <v>593</v>
      </c>
      <c r="B464" s="16" t="n">
        <v>-0.0651</v>
      </c>
      <c r="C464" s="16" t="n">
        <v>-0.0509</v>
      </c>
      <c r="D464" s="16" t="n">
        <v>-0.0054</v>
      </c>
      <c r="E464" s="16" t="n">
        <v>-0.0219</v>
      </c>
      <c r="F464" s="16" t="n">
        <v>-0.0114</v>
      </c>
      <c r="G464" s="16" t="n">
        <v>-0.0071</v>
      </c>
      <c r="H464" s="16" t="n">
        <v>0.0207</v>
      </c>
      <c r="I464" s="16" t="n">
        <v>0.0155</v>
      </c>
      <c r="J464" s="16" t="n">
        <v>0.0059</v>
      </c>
      <c r="K464" s="16" t="n">
        <v>-0.0287</v>
      </c>
      <c r="L464" s="16" t="n">
        <v>0.0547</v>
      </c>
    </row>
    <row r="465" customFormat="false" ht="30" hidden="false" customHeight="true" outlineLevel="0" collapsed="false">
      <c r="A465" s="3" t="s">
        <v>594</v>
      </c>
      <c r="B465" s="17" t="n">
        <v>-0.1444</v>
      </c>
      <c r="C465" s="17" t="n">
        <v>-0.0741</v>
      </c>
      <c r="D465" s="17" t="n">
        <v>-0.0658</v>
      </c>
      <c r="E465" s="17" t="n">
        <v>-0.0642</v>
      </c>
      <c r="F465" s="17" t="n">
        <v>-0.0406</v>
      </c>
      <c r="G465" s="17" t="n">
        <v>-0.0245</v>
      </c>
      <c r="H465" s="17" t="n">
        <v>-0.0162</v>
      </c>
      <c r="I465" s="17" t="n">
        <v>-0.0193</v>
      </c>
      <c r="J465" s="17" t="n">
        <v>-0.039</v>
      </c>
      <c r="K465" s="17" t="n">
        <v>-0.0331</v>
      </c>
      <c r="L465" s="17" t="n">
        <v>0.0549</v>
      </c>
    </row>
    <row r="466" customFormat="false" ht="30" hidden="false" customHeight="true" outlineLevel="0" collapsed="false">
      <c r="A466" s="2" t="s">
        <v>115</v>
      </c>
      <c r="B466" s="16" t="n">
        <v>-0.2266</v>
      </c>
      <c r="C466" s="16" t="n">
        <v>-0.1468</v>
      </c>
      <c r="D466" s="16" t="n">
        <v>-0.111</v>
      </c>
      <c r="E466" s="16" t="n">
        <v>-0.056</v>
      </c>
      <c r="F466" s="16" t="n">
        <v>-0.0425</v>
      </c>
      <c r="G466" s="16" t="n">
        <v>-0.03</v>
      </c>
      <c r="H466" s="16" t="n">
        <v>-0.042</v>
      </c>
      <c r="I466" s="16" t="n">
        <v>-0.066</v>
      </c>
      <c r="J466" s="16" t="n">
        <v>-0.0487</v>
      </c>
      <c r="K466" s="16" t="n">
        <v>-0.0755</v>
      </c>
      <c r="L466" s="16" t="n">
        <v>0.114</v>
      </c>
    </row>
    <row r="467" customFormat="false" ht="30" hidden="false" customHeight="true" outlineLevel="0" collapsed="false">
      <c r="A467" s="3" t="s">
        <v>595</v>
      </c>
      <c r="B467" s="17" t="n">
        <v>0.1563</v>
      </c>
      <c r="C467" s="17" t="n">
        <v>0.047</v>
      </c>
      <c r="D467" s="17" t="n">
        <v>0.0159</v>
      </c>
      <c r="E467" s="17" t="n">
        <v>0.0173</v>
      </c>
      <c r="F467" s="17" t="n">
        <v>0.0011</v>
      </c>
      <c r="G467" s="17" t="n">
        <v>0.0123</v>
      </c>
      <c r="H467" s="17" t="n">
        <v>-0.0015</v>
      </c>
      <c r="I467" s="17" t="n">
        <v>-0.0066</v>
      </c>
      <c r="J467" s="17" t="n">
        <v>0.0056</v>
      </c>
      <c r="K467" s="17" t="n">
        <v>0.0219</v>
      </c>
      <c r="L467" s="17" t="n">
        <v>-0.084</v>
      </c>
    </row>
    <row r="468" customFormat="false" ht="30" hidden="false" customHeight="true" outlineLevel="0" collapsed="false">
      <c r="A468" s="2" t="s">
        <v>596</v>
      </c>
      <c r="B468" s="16" t="n">
        <v>0.2019</v>
      </c>
      <c r="C468" s="16" t="n">
        <v>0.1192</v>
      </c>
      <c r="D468" s="16" t="n">
        <v>0.0786</v>
      </c>
      <c r="E468" s="16" t="n">
        <v>0.0719</v>
      </c>
      <c r="F468" s="16" t="n">
        <v>0.0397</v>
      </c>
      <c r="G468" s="16" t="n">
        <v>0.0496</v>
      </c>
      <c r="H468" s="16" t="n">
        <v>0.0558</v>
      </c>
      <c r="I468" s="16" t="n">
        <v>0.0386</v>
      </c>
      <c r="J468" s="16" t="n">
        <v>0.0537</v>
      </c>
      <c r="K468" s="16" t="n">
        <v>0.0469</v>
      </c>
      <c r="L468" s="16" t="n">
        <v>-0.0862</v>
      </c>
    </row>
    <row r="469" customFormat="false" ht="30" hidden="false" customHeight="true" outlineLevel="0" collapsed="false">
      <c r="A469" s="3" t="s">
        <v>73</v>
      </c>
      <c r="B469" s="17" t="n">
        <v>-0.007</v>
      </c>
      <c r="C469" s="17" t="n">
        <v>-0.001</v>
      </c>
      <c r="D469" s="17" t="n">
        <v>0.0029</v>
      </c>
      <c r="E469" s="17" t="n">
        <v>0.0209</v>
      </c>
      <c r="F469" s="17" t="n">
        <v>0.022</v>
      </c>
      <c r="G469" s="17" t="n">
        <v>0.0448</v>
      </c>
      <c r="H469" s="17" t="n">
        <v>0.0228</v>
      </c>
      <c r="I469" s="17" t="n">
        <v>0.0276</v>
      </c>
      <c r="J469" s="17" t="n">
        <v>0.0354</v>
      </c>
      <c r="K469" s="17" t="n">
        <v>0.0488</v>
      </c>
      <c r="L469" s="17" t="n">
        <v>0.0005</v>
      </c>
    </row>
    <row r="470" customFormat="false" ht="30" hidden="false" customHeight="true" outlineLevel="0" collapsed="false">
      <c r="A470" s="2" t="s">
        <v>597</v>
      </c>
      <c r="B470" s="16" t="n">
        <v>-0.0114</v>
      </c>
      <c r="C470" s="16" t="n">
        <v>-0.0251</v>
      </c>
      <c r="D470" s="16" t="n">
        <v>-0.0331</v>
      </c>
      <c r="E470" s="16" t="n">
        <v>-0.0153</v>
      </c>
      <c r="F470" s="16" t="n">
        <v>-0.0107</v>
      </c>
      <c r="G470" s="16" t="n">
        <v>0.0087</v>
      </c>
      <c r="H470" s="16" t="n">
        <v>0.0102</v>
      </c>
      <c r="I470" s="16" t="n">
        <v>-0.0117</v>
      </c>
      <c r="J470" s="16" t="n">
        <v>-0.0201</v>
      </c>
      <c r="K470" s="16" t="n">
        <v>-0.0022</v>
      </c>
      <c r="L470" s="16" t="n">
        <v>0.0366</v>
      </c>
    </row>
    <row r="471" customFormat="false" ht="30" hidden="false" customHeight="true" outlineLevel="0" collapsed="false">
      <c r="A471" s="3" t="s">
        <v>598</v>
      </c>
      <c r="B471" s="17" t="n">
        <v>-0.1741</v>
      </c>
      <c r="C471" s="17" t="n">
        <v>-0.0374</v>
      </c>
      <c r="D471" s="17" t="n">
        <v>-0.0154</v>
      </c>
      <c r="E471" s="17" t="n">
        <v>0.0022</v>
      </c>
      <c r="F471" s="17" t="n">
        <v>0</v>
      </c>
      <c r="G471" s="17" t="n">
        <v>-0.0155</v>
      </c>
      <c r="H471" s="17" t="n">
        <v>0.0214</v>
      </c>
      <c r="I471" s="17" t="n">
        <v>0.0043</v>
      </c>
      <c r="J471" s="17" t="n">
        <v>0.0028</v>
      </c>
      <c r="K471" s="17" t="n">
        <v>-0.0197</v>
      </c>
      <c r="L471" s="17" t="n">
        <v>0.0688</v>
      </c>
    </row>
    <row r="472" customFormat="false" ht="30" hidden="false" customHeight="true" outlineLevel="0" collapsed="false">
      <c r="A472" s="2" t="s">
        <v>599</v>
      </c>
      <c r="B472" s="16" t="n">
        <v>0.0744</v>
      </c>
      <c r="C472" s="16" t="n">
        <v>0.0385</v>
      </c>
      <c r="D472" s="16" t="n">
        <v>0.0524</v>
      </c>
      <c r="E472" s="16" t="n">
        <v>0.029</v>
      </c>
      <c r="F472" s="16" t="n">
        <v>0.0455</v>
      </c>
      <c r="G472" s="16" t="n">
        <v>0.0467</v>
      </c>
      <c r="H472" s="16" t="n">
        <v>0.0401</v>
      </c>
      <c r="I472" s="16" t="n">
        <v>0.0366</v>
      </c>
      <c r="J472" s="16" t="n">
        <v>0.0608</v>
      </c>
      <c r="K472" s="16" t="n">
        <v>0.0584</v>
      </c>
      <c r="L472" s="16" t="n">
        <v>-0.0166</v>
      </c>
    </row>
    <row r="473" customFormat="false" ht="30" hidden="false" customHeight="true" outlineLevel="0" collapsed="false">
      <c r="A473" s="3" t="s">
        <v>600</v>
      </c>
      <c r="B473" s="17" t="n">
        <v>-0.1423</v>
      </c>
      <c r="C473" s="17" t="n">
        <v>-0.0794</v>
      </c>
      <c r="D473" s="17" t="n">
        <v>-0.0816</v>
      </c>
      <c r="E473" s="17" t="n">
        <v>-0.0695</v>
      </c>
      <c r="F473" s="17" t="n">
        <v>-0.0518</v>
      </c>
      <c r="G473" s="17" t="n">
        <v>-0.0098</v>
      </c>
      <c r="H473" s="17" t="n">
        <v>-0.0159</v>
      </c>
      <c r="I473" s="17" t="n">
        <v>0.0117</v>
      </c>
      <c r="J473" s="17" t="n">
        <v>-0.0081</v>
      </c>
      <c r="K473" s="17" t="n">
        <v>-0.0041</v>
      </c>
      <c r="L473" s="17" t="n">
        <v>0.0769</v>
      </c>
    </row>
    <row r="474" customFormat="false" ht="30" hidden="false" customHeight="true" outlineLevel="0" collapsed="false">
      <c r="A474" s="2" t="s">
        <v>601</v>
      </c>
      <c r="B474" s="16" t="n">
        <v>-0.0688</v>
      </c>
      <c r="C474" s="16" t="n">
        <v>-0.0143</v>
      </c>
      <c r="D474" s="16" t="n">
        <v>-0.0111</v>
      </c>
      <c r="E474" s="16" t="n">
        <v>-0.0069</v>
      </c>
      <c r="F474" s="16" t="n">
        <v>0.0026</v>
      </c>
      <c r="G474" s="16" t="n">
        <v>-0.0164</v>
      </c>
      <c r="H474" s="16" t="n">
        <v>0.0101</v>
      </c>
      <c r="I474" s="16" t="n">
        <v>-0.023</v>
      </c>
      <c r="J474" s="16" t="n">
        <v>0.0087</v>
      </c>
      <c r="K474" s="16" t="n">
        <v>-0.0251</v>
      </c>
      <c r="L474" s="16" t="n">
        <v>0.0312</v>
      </c>
    </row>
    <row r="475" customFormat="false" ht="30" hidden="false" customHeight="true" outlineLevel="0" collapsed="false">
      <c r="A475" s="3" t="s">
        <v>602</v>
      </c>
      <c r="B475" s="17" t="n">
        <v>-0.1396</v>
      </c>
      <c r="C475" s="17" t="n">
        <v>-0.0846</v>
      </c>
      <c r="D475" s="17" t="n">
        <v>-0.0435</v>
      </c>
      <c r="E475" s="17" t="n">
        <v>-0.0735</v>
      </c>
      <c r="F475" s="17" t="n">
        <v>-0.0864</v>
      </c>
      <c r="G475" s="17" t="n">
        <v>-0.0693</v>
      </c>
      <c r="H475" s="17" t="n">
        <v>-0.0321</v>
      </c>
      <c r="I475" s="17" t="n">
        <v>-0.0638</v>
      </c>
      <c r="J475" s="17" t="n">
        <v>-0.0288</v>
      </c>
      <c r="K475" s="17" t="n">
        <v>-0.029</v>
      </c>
      <c r="L475" s="17" t="n">
        <v>0.0622</v>
      </c>
    </row>
    <row r="476" customFormat="false" ht="30" hidden="false" customHeight="true" outlineLevel="0" collapsed="false">
      <c r="A476" s="2" t="s">
        <v>603</v>
      </c>
      <c r="B476" s="16" t="n">
        <v>-0.0675</v>
      </c>
      <c r="C476" s="16" t="n">
        <v>-0.097</v>
      </c>
      <c r="D476" s="16" t="n">
        <v>-0.1013</v>
      </c>
      <c r="E476" s="16" t="n">
        <v>-0.0662</v>
      </c>
      <c r="F476" s="16" t="n">
        <v>-0.0696</v>
      </c>
      <c r="G476" s="16" t="n">
        <v>-0.0787</v>
      </c>
      <c r="H476" s="16" t="n">
        <v>-0.0565</v>
      </c>
      <c r="I476" s="16" t="n">
        <v>-0.067</v>
      </c>
      <c r="J476" s="16" t="n">
        <v>-0.0675</v>
      </c>
      <c r="K476" s="16" t="n">
        <v>-0.1187</v>
      </c>
      <c r="L476" s="16" t="n">
        <v>0.0365</v>
      </c>
    </row>
    <row r="477" customFormat="false" ht="30" hidden="false" customHeight="true" outlineLevel="0" collapsed="false">
      <c r="A477" s="3" t="s">
        <v>604</v>
      </c>
      <c r="B477" s="17" t="n">
        <v>0.0363</v>
      </c>
      <c r="C477" s="17" t="n">
        <v>-0.0248</v>
      </c>
      <c r="D477" s="17" t="n">
        <v>0.0091</v>
      </c>
      <c r="E477" s="17" t="n">
        <v>0.0155</v>
      </c>
      <c r="F477" s="17" t="n">
        <v>0.0154</v>
      </c>
      <c r="G477" s="17" t="n">
        <v>0.008</v>
      </c>
      <c r="H477" s="17" t="n">
        <v>0.0252</v>
      </c>
      <c r="I477" s="17" t="n">
        <v>0.0053</v>
      </c>
      <c r="J477" s="17" t="n">
        <v>0.0183</v>
      </c>
      <c r="K477" s="17" t="n">
        <v>0.0139</v>
      </c>
      <c r="L477" s="17" t="n">
        <v>0.0184</v>
      </c>
    </row>
    <row r="478" customFormat="false" ht="30" hidden="false" customHeight="true" outlineLevel="0" collapsed="false">
      <c r="A478" s="2" t="s">
        <v>111</v>
      </c>
      <c r="B478" s="16" t="n">
        <v>-0.1651</v>
      </c>
      <c r="C478" s="16" t="n">
        <v>-0.1648</v>
      </c>
      <c r="D478" s="16" t="n">
        <v>-0.121</v>
      </c>
      <c r="E478" s="16" t="n">
        <v>-0.1274</v>
      </c>
      <c r="F478" s="16" t="n">
        <v>-0.0808</v>
      </c>
      <c r="G478" s="16" t="n">
        <v>-0.0868</v>
      </c>
      <c r="H478" s="16" t="n">
        <v>-0.0721</v>
      </c>
      <c r="I478" s="16" t="n">
        <v>-0.074</v>
      </c>
      <c r="J478" s="16" t="n">
        <v>-0.0458</v>
      </c>
      <c r="K478" s="16" t="n">
        <v>-0.0311</v>
      </c>
      <c r="L478" s="16" t="n">
        <v>0.09</v>
      </c>
    </row>
    <row r="479" customFormat="false" ht="30" hidden="false" customHeight="true" outlineLevel="0" collapsed="false">
      <c r="A479" s="3" t="s">
        <v>605</v>
      </c>
      <c r="B479" s="17" t="n">
        <v>0.21</v>
      </c>
      <c r="C479" s="17" t="n">
        <v>0.0925</v>
      </c>
      <c r="D479" s="17" t="n">
        <v>0.115</v>
      </c>
      <c r="E479" s="17" t="n">
        <v>0.0913</v>
      </c>
      <c r="F479" s="17" t="n">
        <v>0.0395</v>
      </c>
      <c r="G479" s="17" t="n">
        <v>0.0382</v>
      </c>
      <c r="H479" s="17" t="n">
        <v>0.0547</v>
      </c>
      <c r="I479" s="17" t="n">
        <v>0.0389</v>
      </c>
      <c r="J479" s="17" t="n">
        <v>0.0494</v>
      </c>
      <c r="K479" s="17" t="n">
        <v>0.0515</v>
      </c>
      <c r="L479" s="17" t="n">
        <v>-0.0547</v>
      </c>
    </row>
    <row r="480" customFormat="false" ht="30" hidden="false" customHeight="true" outlineLevel="0" collapsed="false">
      <c r="A480" s="2" t="s">
        <v>606</v>
      </c>
      <c r="B480" s="16" t="n">
        <v>0.2295</v>
      </c>
      <c r="C480" s="16" t="n">
        <v>0.1168</v>
      </c>
      <c r="D480" s="16" t="n">
        <v>0.0835</v>
      </c>
      <c r="E480" s="16" t="n">
        <v>0.0504</v>
      </c>
      <c r="F480" s="16" t="n">
        <v>0.028</v>
      </c>
      <c r="G480" s="16" t="n">
        <v>0.0169</v>
      </c>
      <c r="H480" s="16" t="n">
        <v>0.0308</v>
      </c>
      <c r="I480" s="16" t="n">
        <v>0.0016</v>
      </c>
      <c r="J480" s="16" t="n">
        <v>-0.029</v>
      </c>
      <c r="K480" s="16" t="n">
        <v>0.0232</v>
      </c>
      <c r="L480" s="16" t="n">
        <v>-0.1645</v>
      </c>
    </row>
    <row r="481" customFormat="false" ht="30" hidden="false" customHeight="true" outlineLevel="0" collapsed="false">
      <c r="A481" s="3" t="s">
        <v>74</v>
      </c>
      <c r="B481" s="17" t="n">
        <v>-0.1517</v>
      </c>
      <c r="C481" s="17" t="n">
        <v>-0.1213</v>
      </c>
      <c r="D481" s="17" t="n">
        <v>-0.0823</v>
      </c>
      <c r="E481" s="17" t="n">
        <v>-0.078</v>
      </c>
      <c r="F481" s="17" t="n">
        <v>-0.0152</v>
      </c>
      <c r="G481" s="17" t="n">
        <v>-0.0318</v>
      </c>
      <c r="H481" s="17" t="n">
        <v>-0.0344</v>
      </c>
      <c r="I481" s="17" t="n">
        <v>-0.0107</v>
      </c>
      <c r="J481" s="17" t="n">
        <v>-0.0004</v>
      </c>
      <c r="K481" s="17" t="n">
        <v>-0.0175</v>
      </c>
      <c r="L481" s="17" t="n">
        <v>0.0971</v>
      </c>
    </row>
    <row r="482" customFormat="false" ht="30" hidden="false" customHeight="true" outlineLevel="0" collapsed="false">
      <c r="A482" s="2" t="s">
        <v>607</v>
      </c>
      <c r="B482" s="16" t="n">
        <v>-0.0376</v>
      </c>
      <c r="C482" s="16" t="n">
        <v>-0.0147</v>
      </c>
      <c r="D482" s="16" t="n">
        <v>-0.0342</v>
      </c>
      <c r="E482" s="16" t="n">
        <v>-0.0223</v>
      </c>
      <c r="F482" s="16" t="n">
        <v>-0.0358</v>
      </c>
      <c r="G482" s="16" t="n">
        <v>-0.0315</v>
      </c>
      <c r="H482" s="16" t="n">
        <v>-0.0286</v>
      </c>
      <c r="I482" s="16" t="n">
        <v>-0.0226</v>
      </c>
      <c r="J482" s="16" t="n">
        <v>-0.0092</v>
      </c>
      <c r="K482" s="16" t="n">
        <v>-0.0101</v>
      </c>
      <c r="L482" s="16" t="n">
        <v>0.0153</v>
      </c>
    </row>
    <row r="483" customFormat="false" ht="30" hidden="false" customHeight="true" outlineLevel="0" collapsed="false">
      <c r="A483" s="3" t="s">
        <v>608</v>
      </c>
      <c r="B483" s="17" t="n">
        <v>0.0129</v>
      </c>
      <c r="C483" s="17" t="n">
        <v>-0.0255</v>
      </c>
      <c r="D483" s="17" t="n">
        <v>-0.021</v>
      </c>
      <c r="E483" s="17" t="n">
        <v>-0.0308</v>
      </c>
      <c r="F483" s="17" t="n">
        <v>-0.018</v>
      </c>
      <c r="G483" s="17" t="n">
        <v>-0.0064</v>
      </c>
      <c r="H483" s="17" t="n">
        <v>-0.0282</v>
      </c>
      <c r="I483" s="17" t="n">
        <v>-0.0249</v>
      </c>
      <c r="J483" s="17" t="n">
        <v>-0.0133</v>
      </c>
      <c r="K483" s="17" t="n">
        <v>0.0038</v>
      </c>
      <c r="L483" s="17" t="n">
        <v>0.0121</v>
      </c>
    </row>
    <row r="484" customFormat="false" ht="30" hidden="false" customHeight="true" outlineLevel="0" collapsed="false">
      <c r="A484" s="2" t="s">
        <v>609</v>
      </c>
      <c r="B484" s="16" t="n">
        <v>0.0045</v>
      </c>
      <c r="C484" s="16" t="n">
        <v>0.0077</v>
      </c>
      <c r="D484" s="16" t="n">
        <v>-0.013</v>
      </c>
      <c r="E484" s="16" t="n">
        <v>0.0135</v>
      </c>
      <c r="F484" s="16" t="n">
        <v>0.0148</v>
      </c>
      <c r="G484" s="16" t="n">
        <v>0.0273</v>
      </c>
      <c r="H484" s="16" t="n">
        <v>0.0077</v>
      </c>
      <c r="I484" s="16" t="n">
        <v>0.0106</v>
      </c>
      <c r="J484" s="16" t="n">
        <v>0.0092</v>
      </c>
      <c r="K484" s="16" t="n">
        <v>0.036</v>
      </c>
      <c r="L484" s="16" t="n">
        <v>0.0142</v>
      </c>
    </row>
    <row r="485" customFormat="false" ht="30" hidden="false" customHeight="true" outlineLevel="0" collapsed="false">
      <c r="A485" s="3" t="s">
        <v>610</v>
      </c>
      <c r="B485" s="17" t="n">
        <v>0.1921</v>
      </c>
      <c r="C485" s="17" t="n">
        <v>0.1692</v>
      </c>
      <c r="D485" s="17" t="n">
        <v>0.1223</v>
      </c>
      <c r="E485" s="17" t="n">
        <v>0.1326</v>
      </c>
      <c r="F485" s="17" t="n">
        <v>0.0745</v>
      </c>
      <c r="G485" s="17" t="n">
        <v>0.0537</v>
      </c>
      <c r="H485" s="17" t="n">
        <v>0.0722</v>
      </c>
      <c r="I485" s="17" t="n">
        <v>0.0534</v>
      </c>
      <c r="J485" s="17" t="n">
        <v>0.0537</v>
      </c>
      <c r="K485" s="17" t="n">
        <v>0.0464</v>
      </c>
      <c r="L485" s="17" t="n">
        <v>-0.0932</v>
      </c>
    </row>
    <row r="486" customFormat="false" ht="30" hidden="false" customHeight="true" outlineLevel="0" collapsed="false">
      <c r="A486" s="2" t="s">
        <v>611</v>
      </c>
      <c r="B486" s="16" t="n">
        <v>0.2199</v>
      </c>
      <c r="C486" s="16" t="n">
        <v>0.1277</v>
      </c>
      <c r="D486" s="16" t="n">
        <v>0.1363</v>
      </c>
      <c r="E486" s="16" t="n">
        <v>0.0951</v>
      </c>
      <c r="F486" s="16" t="n">
        <v>0.062</v>
      </c>
      <c r="G486" s="16" t="n">
        <v>0.046</v>
      </c>
      <c r="H486" s="16" t="n">
        <v>0.0461</v>
      </c>
      <c r="I486" s="16" t="n">
        <v>0.0171</v>
      </c>
      <c r="J486" s="16" t="n">
        <v>0.0519</v>
      </c>
      <c r="K486" s="16" t="n">
        <v>0.071</v>
      </c>
      <c r="L486" s="16" t="n">
        <v>-0.1072</v>
      </c>
    </row>
    <row r="487" customFormat="false" ht="30" hidden="false" customHeight="true" outlineLevel="0" collapsed="false">
      <c r="A487" s="3" t="s">
        <v>612</v>
      </c>
      <c r="B487" s="17" t="n">
        <v>0.0294</v>
      </c>
      <c r="C487" s="17" t="n">
        <v>0.0478</v>
      </c>
      <c r="D487" s="17" t="n">
        <v>0.014</v>
      </c>
      <c r="E487" s="17" t="n">
        <v>0.0207</v>
      </c>
      <c r="F487" s="17" t="n">
        <v>0.0154</v>
      </c>
      <c r="G487" s="17" t="n">
        <v>0.0064</v>
      </c>
      <c r="H487" s="17" t="n">
        <v>0.0001</v>
      </c>
      <c r="I487" s="17" t="n">
        <v>0.0215</v>
      </c>
      <c r="J487" s="17" t="n">
        <v>0.0112</v>
      </c>
      <c r="K487" s="17" t="n">
        <v>0.018</v>
      </c>
      <c r="L487" s="17" t="n">
        <v>-0.0124</v>
      </c>
    </row>
    <row r="488" customFormat="false" ht="30" hidden="false" customHeight="true" outlineLevel="0" collapsed="false">
      <c r="A488" s="2" t="s">
        <v>613</v>
      </c>
      <c r="B488" s="16" t="n">
        <v>0.0459</v>
      </c>
      <c r="C488" s="16" t="n">
        <v>0.0486</v>
      </c>
      <c r="D488" s="16" t="n">
        <v>0.0445</v>
      </c>
      <c r="E488" s="16" t="n">
        <v>0.0337</v>
      </c>
      <c r="F488" s="16" t="n">
        <v>0.0129</v>
      </c>
      <c r="G488" s="16" t="n">
        <v>0.0084</v>
      </c>
      <c r="H488" s="16" t="n">
        <v>0.0092</v>
      </c>
      <c r="I488" s="16" t="n">
        <v>0.0386</v>
      </c>
      <c r="J488" s="16" t="n">
        <v>0.0187</v>
      </c>
      <c r="K488" s="16" t="n">
        <v>0.0352</v>
      </c>
      <c r="L488" s="16" t="n">
        <v>-0.0028</v>
      </c>
    </row>
    <row r="489" customFormat="false" ht="30" hidden="false" customHeight="true" outlineLevel="0" collapsed="false">
      <c r="A489" s="3" t="s">
        <v>614</v>
      </c>
      <c r="B489" s="17" t="n">
        <v>0.0369</v>
      </c>
      <c r="C489" s="17" t="n">
        <v>0.0432</v>
      </c>
      <c r="D489" s="17" t="n">
        <v>0.0234</v>
      </c>
      <c r="E489" s="17" t="n">
        <v>0.0168</v>
      </c>
      <c r="F489" s="17" t="n">
        <v>0.0082</v>
      </c>
      <c r="G489" s="17" t="n">
        <v>0.0483</v>
      </c>
      <c r="H489" s="17" t="n">
        <v>0.016</v>
      </c>
      <c r="I489" s="17" t="n">
        <v>0.015</v>
      </c>
      <c r="J489" s="17" t="n">
        <v>0.0214</v>
      </c>
      <c r="K489" s="17" t="n">
        <v>0.0395</v>
      </c>
      <c r="L489" s="17" t="n">
        <v>-0.0058</v>
      </c>
    </row>
    <row r="490" customFormat="false" ht="30" hidden="false" customHeight="true" outlineLevel="0" collapsed="false">
      <c r="A490" s="2" t="s">
        <v>615</v>
      </c>
      <c r="B490" s="16" t="n">
        <v>-0.0052</v>
      </c>
      <c r="C490" s="16" t="n">
        <v>-0.0107</v>
      </c>
      <c r="D490" s="16" t="n">
        <v>-0.0079</v>
      </c>
      <c r="E490" s="16" t="n">
        <v>-0.0045</v>
      </c>
      <c r="F490" s="16" t="n">
        <v>0.0028</v>
      </c>
      <c r="G490" s="16" t="n">
        <v>-0.0241</v>
      </c>
      <c r="H490" s="16" t="n">
        <v>-0.0315</v>
      </c>
      <c r="I490" s="16" t="n">
        <v>-0.0137</v>
      </c>
      <c r="J490" s="16" t="n">
        <v>-0.0121</v>
      </c>
      <c r="K490" s="16" t="n">
        <v>-0.014</v>
      </c>
      <c r="L490" s="16" t="n">
        <v>-0.0007</v>
      </c>
    </row>
    <row r="491" customFormat="false" ht="30" hidden="false" customHeight="true" outlineLevel="0" collapsed="false">
      <c r="A491" s="3" t="s">
        <v>616</v>
      </c>
      <c r="B491" s="17" t="n">
        <v>0.0395</v>
      </c>
      <c r="C491" s="17" t="n">
        <v>0.0503</v>
      </c>
      <c r="D491" s="17" t="n">
        <v>0.0537</v>
      </c>
      <c r="E491" s="17" t="n">
        <v>0.0521</v>
      </c>
      <c r="F491" s="17" t="n">
        <v>0.0108</v>
      </c>
      <c r="G491" s="17" t="n">
        <v>0.071</v>
      </c>
      <c r="H491" s="17" t="n">
        <v>0.065</v>
      </c>
      <c r="I491" s="17" t="n">
        <v>0.0896</v>
      </c>
      <c r="J491" s="17" t="n">
        <v>0.0846</v>
      </c>
      <c r="K491" s="17" t="n">
        <v>0.1162</v>
      </c>
      <c r="L491" s="17" t="n">
        <v>0.04</v>
      </c>
    </row>
    <row r="492" customFormat="false" ht="30" hidden="false" customHeight="true" outlineLevel="0" collapsed="false">
      <c r="A492" s="2" t="s">
        <v>617</v>
      </c>
      <c r="B492" s="16" t="n">
        <v>0.0058</v>
      </c>
      <c r="C492" s="16" t="n">
        <v>0.0193</v>
      </c>
      <c r="D492" s="16" t="n">
        <v>0.0026</v>
      </c>
      <c r="E492" s="16" t="n">
        <v>0.0195</v>
      </c>
      <c r="F492" s="16" t="n">
        <v>0.0184</v>
      </c>
      <c r="G492" s="16" t="n">
        <v>0.0023</v>
      </c>
      <c r="H492" s="16" t="n">
        <v>0.0106</v>
      </c>
      <c r="I492" s="16" t="n">
        <v>0.0079</v>
      </c>
      <c r="J492" s="16" t="n">
        <v>0.0409</v>
      </c>
      <c r="K492" s="16" t="n">
        <v>0.0316</v>
      </c>
      <c r="L492" s="16" t="n">
        <v>0.0137</v>
      </c>
    </row>
    <row r="493" customFormat="false" ht="30" hidden="false" customHeight="true" outlineLevel="0" collapsed="false">
      <c r="A493" s="3" t="s">
        <v>75</v>
      </c>
      <c r="B493" s="17" t="n">
        <v>0.0877</v>
      </c>
      <c r="C493" s="17" t="n">
        <v>0.0746</v>
      </c>
      <c r="D493" s="17" t="n">
        <v>0.061</v>
      </c>
      <c r="E493" s="17" t="n">
        <v>0.0489</v>
      </c>
      <c r="F493" s="17" t="n">
        <v>0.0454</v>
      </c>
      <c r="G493" s="17" t="n">
        <v>0.0338</v>
      </c>
      <c r="H493" s="17" t="n">
        <v>0.035</v>
      </c>
      <c r="I493" s="17" t="n">
        <v>0.0177</v>
      </c>
      <c r="J493" s="17" t="n">
        <v>0.0177</v>
      </c>
      <c r="K493" s="17" t="n">
        <v>-0.0125</v>
      </c>
      <c r="L493" s="17" t="n">
        <v>-0.0553</v>
      </c>
    </row>
    <row r="494" customFormat="false" ht="30" hidden="false" customHeight="true" outlineLevel="0" collapsed="false">
      <c r="A494" s="2" t="s">
        <v>618</v>
      </c>
      <c r="B494" s="16" t="n">
        <v>0.0236</v>
      </c>
      <c r="C494" s="16" t="n">
        <v>0.0099</v>
      </c>
      <c r="D494" s="16" t="n">
        <v>0.0104</v>
      </c>
      <c r="E494" s="16" t="n">
        <v>0.0381</v>
      </c>
      <c r="F494" s="16" t="n">
        <v>0.0096</v>
      </c>
      <c r="G494" s="16" t="n">
        <v>0.0232</v>
      </c>
      <c r="H494" s="16" t="n">
        <v>0.0223</v>
      </c>
      <c r="I494" s="16" t="n">
        <v>0.0213</v>
      </c>
      <c r="J494" s="16" t="n">
        <v>0.0334</v>
      </c>
      <c r="K494" s="16" t="n">
        <v>0.037</v>
      </c>
      <c r="L494" s="16" t="n">
        <v>0.0256</v>
      </c>
    </row>
    <row r="495" customFormat="false" ht="30" hidden="false" customHeight="true" outlineLevel="0" collapsed="false">
      <c r="A495" s="3" t="s">
        <v>619</v>
      </c>
      <c r="B495" s="17" t="n">
        <v>0.0201</v>
      </c>
      <c r="C495" s="17" t="n">
        <v>0.0148</v>
      </c>
      <c r="D495" s="17" t="n">
        <v>0.0119</v>
      </c>
      <c r="E495" s="17" t="n">
        <v>0.0255</v>
      </c>
      <c r="F495" s="17" t="n">
        <v>0.0264</v>
      </c>
      <c r="G495" s="17" t="n">
        <v>0.0178</v>
      </c>
      <c r="H495" s="17" t="n">
        <v>0.0092</v>
      </c>
      <c r="I495" s="17" t="n">
        <v>0.0215</v>
      </c>
      <c r="J495" s="17" t="n">
        <v>-0.0049</v>
      </c>
      <c r="K495" s="17" t="n">
        <v>-0.0015</v>
      </c>
      <c r="L495" s="17" t="n">
        <v>-0.0118</v>
      </c>
    </row>
    <row r="496" customFormat="false" ht="30" hidden="false" customHeight="true" outlineLevel="0" collapsed="false">
      <c r="A496" s="2" t="s">
        <v>620</v>
      </c>
      <c r="B496" s="16" t="n">
        <v>-0.0184</v>
      </c>
      <c r="C496" s="16" t="n">
        <v>-0.0293</v>
      </c>
      <c r="D496" s="16" t="n">
        <v>-0.0092</v>
      </c>
      <c r="E496" s="16" t="n">
        <v>0.0004</v>
      </c>
      <c r="F496" s="16" t="n">
        <v>-0.0203</v>
      </c>
      <c r="G496" s="16" t="n">
        <v>-0.0005</v>
      </c>
      <c r="H496" s="16" t="n">
        <v>-0.0105</v>
      </c>
      <c r="I496" s="16" t="n">
        <v>-0.0072</v>
      </c>
      <c r="J496" s="16" t="n">
        <v>0.0077</v>
      </c>
      <c r="K496" s="16" t="n">
        <v>-0.0147</v>
      </c>
      <c r="L496" s="16" t="n">
        <v>0.002</v>
      </c>
    </row>
    <row r="497" customFormat="false" ht="30" hidden="false" customHeight="true" outlineLevel="0" collapsed="false">
      <c r="A497" s="3" t="s">
        <v>621</v>
      </c>
      <c r="B497" s="17" t="n">
        <v>0.0251</v>
      </c>
      <c r="C497" s="17" t="n">
        <v>-0.0013</v>
      </c>
      <c r="D497" s="17" t="n">
        <v>0.0006</v>
      </c>
      <c r="E497" s="17" t="n">
        <v>-0.0141</v>
      </c>
      <c r="F497" s="17" t="n">
        <v>-0.0119</v>
      </c>
      <c r="G497" s="17" t="n">
        <v>-0.0339</v>
      </c>
      <c r="H497" s="17" t="n">
        <v>-0.0339</v>
      </c>
      <c r="I497" s="17" t="n">
        <v>-0.0608</v>
      </c>
      <c r="J497" s="17" t="n">
        <v>-0.0341</v>
      </c>
      <c r="K497" s="17" t="n">
        <v>-0.0774</v>
      </c>
      <c r="L497" s="17" t="n">
        <v>-0.0537</v>
      </c>
    </row>
    <row r="498" customFormat="false" ht="30" hidden="false" customHeight="true" outlineLevel="0" collapsed="false">
      <c r="A498" s="2" t="s">
        <v>622</v>
      </c>
      <c r="B498" s="16" t="n">
        <v>-0.0018</v>
      </c>
      <c r="C498" s="16" t="n">
        <v>0.0088</v>
      </c>
      <c r="D498" s="16" t="n">
        <v>0.0185</v>
      </c>
      <c r="E498" s="16" t="n">
        <v>0.0203</v>
      </c>
      <c r="F498" s="16" t="n">
        <v>-0.004</v>
      </c>
      <c r="G498" s="16" t="n">
        <v>0.0203</v>
      </c>
      <c r="H498" s="16" t="n">
        <v>0.034</v>
      </c>
      <c r="I498" s="16" t="n">
        <v>0.0057</v>
      </c>
      <c r="J498" s="16" t="n">
        <v>0.0178</v>
      </c>
      <c r="K498" s="16" t="n">
        <v>0.0274</v>
      </c>
      <c r="L498" s="16" t="n">
        <v>0.0149</v>
      </c>
    </row>
    <row r="499" customFormat="false" ht="30" hidden="false" customHeight="true" outlineLevel="0" collapsed="false">
      <c r="A499" s="3" t="s">
        <v>623</v>
      </c>
      <c r="B499" s="17" t="n">
        <v>0.011</v>
      </c>
      <c r="C499" s="17" t="n">
        <v>0.0075</v>
      </c>
      <c r="D499" s="17" t="n">
        <v>0.0255</v>
      </c>
      <c r="E499" s="17" t="n">
        <v>0.0115</v>
      </c>
      <c r="F499" s="17" t="n">
        <v>-0.0025</v>
      </c>
      <c r="G499" s="17" t="n">
        <v>0.022</v>
      </c>
      <c r="H499" s="17" t="n">
        <v>0.041</v>
      </c>
      <c r="I499" s="17" t="n">
        <v>0.046</v>
      </c>
      <c r="J499" s="17" t="n">
        <v>0.0501</v>
      </c>
      <c r="K499" s="17" t="n">
        <v>0.0178</v>
      </c>
      <c r="L499" s="17" t="n">
        <v>0.0206</v>
      </c>
    </row>
    <row r="500" customFormat="false" ht="30" hidden="false" customHeight="true" outlineLevel="0" collapsed="false">
      <c r="A500" s="2" t="s">
        <v>624</v>
      </c>
      <c r="B500" s="16" t="n">
        <v>-0.0433</v>
      </c>
      <c r="C500" s="16" t="n">
        <v>-0.0285</v>
      </c>
      <c r="D500" s="16" t="n">
        <v>-0.021</v>
      </c>
      <c r="E500" s="16" t="n">
        <v>-0.0472</v>
      </c>
      <c r="F500" s="16" t="n">
        <v>-0.0194</v>
      </c>
      <c r="G500" s="16" t="n">
        <v>-0.0323</v>
      </c>
      <c r="H500" s="16" t="n">
        <v>-0.0567</v>
      </c>
      <c r="I500" s="16" t="n">
        <v>-0.0601</v>
      </c>
      <c r="J500" s="16" t="n">
        <v>-0.0656</v>
      </c>
      <c r="K500" s="16" t="n">
        <v>-0.0869</v>
      </c>
      <c r="L500" s="16" t="n">
        <v>-0.0224</v>
      </c>
    </row>
    <row r="501" customFormat="false" ht="30" hidden="false" customHeight="true" outlineLevel="0" collapsed="false">
      <c r="A501" s="3" t="s">
        <v>625</v>
      </c>
      <c r="B501" s="17" t="n">
        <v>-0.0009</v>
      </c>
      <c r="C501" s="17" t="n">
        <v>0.0151</v>
      </c>
      <c r="D501" s="17" t="n">
        <v>0.0017</v>
      </c>
      <c r="E501" s="17" t="n">
        <v>0.0063</v>
      </c>
      <c r="F501" s="17" t="n">
        <v>-0.0041</v>
      </c>
      <c r="G501" s="17" t="n">
        <v>0.0103</v>
      </c>
      <c r="H501" s="17" t="n">
        <v>-0.0063</v>
      </c>
      <c r="I501" s="17" t="n">
        <v>-0.004</v>
      </c>
      <c r="J501" s="17" t="n">
        <v>-0.0059</v>
      </c>
      <c r="K501" s="17" t="n">
        <v>-0.0213</v>
      </c>
      <c r="L501" s="17" t="n">
        <v>-0.0156</v>
      </c>
    </row>
    <row r="502" customFormat="false" ht="30" hidden="false" customHeight="true" outlineLevel="0" collapsed="false">
      <c r="A502" s="2" t="s">
        <v>626</v>
      </c>
      <c r="B502" s="16" t="n">
        <v>0.022</v>
      </c>
      <c r="C502" s="16" t="n">
        <v>-0.0099</v>
      </c>
      <c r="D502" s="16" t="n">
        <v>-0.0077</v>
      </c>
      <c r="E502" s="16" t="n">
        <v>0.009</v>
      </c>
      <c r="F502" s="16" t="n">
        <v>0.003</v>
      </c>
      <c r="G502" s="16" t="n">
        <v>0.0085</v>
      </c>
      <c r="H502" s="16" t="n">
        <v>0.0377</v>
      </c>
      <c r="I502" s="16" t="n">
        <v>0.0467</v>
      </c>
      <c r="J502" s="16" t="n">
        <v>0.075</v>
      </c>
      <c r="K502" s="16" t="n">
        <v>0.0728</v>
      </c>
      <c r="L502" s="16" t="n">
        <v>0.055</v>
      </c>
    </row>
    <row r="503" customFormat="false" ht="30" hidden="false" customHeight="true" outlineLevel="0" collapsed="false">
      <c r="A503" s="3" t="s">
        <v>627</v>
      </c>
      <c r="B503" s="17" t="n">
        <v>0.0556</v>
      </c>
      <c r="C503" s="17" t="n">
        <v>0.0257</v>
      </c>
      <c r="D503" s="17" t="n">
        <v>0.0119</v>
      </c>
      <c r="E503" s="17" t="n">
        <v>0.0113</v>
      </c>
      <c r="F503" s="17" t="n">
        <v>0.0212</v>
      </c>
      <c r="G503" s="17" t="n">
        <v>-0.0103</v>
      </c>
      <c r="H503" s="17" t="n">
        <v>0.0083</v>
      </c>
      <c r="I503" s="17" t="n">
        <v>0.0042</v>
      </c>
      <c r="J503" s="17" t="n">
        <v>0.0268</v>
      </c>
      <c r="K503" s="17" t="n">
        <v>0.0182</v>
      </c>
      <c r="L503" s="17" t="n">
        <v>-0.0149</v>
      </c>
    </row>
    <row r="504" customFormat="false" ht="30" hidden="false" customHeight="true" outlineLevel="0" collapsed="false">
      <c r="A504" s="2" t="s">
        <v>628</v>
      </c>
      <c r="B504" s="16" t="n">
        <v>0.044</v>
      </c>
      <c r="C504" s="16" t="n">
        <v>0.0132</v>
      </c>
      <c r="D504" s="16" t="n">
        <v>0.0374</v>
      </c>
      <c r="E504" s="16" t="n">
        <v>0.0567</v>
      </c>
      <c r="F504" s="16" t="n">
        <v>0.039</v>
      </c>
      <c r="G504" s="16" t="n">
        <v>0.0441</v>
      </c>
      <c r="H504" s="16" t="n">
        <v>0.0584</v>
      </c>
      <c r="I504" s="16" t="n">
        <v>0.0586</v>
      </c>
      <c r="J504" s="16" t="n">
        <v>0.0719</v>
      </c>
      <c r="K504" s="16" t="n">
        <v>0.0986</v>
      </c>
      <c r="L504" s="16" t="n">
        <v>0.0311</v>
      </c>
    </row>
    <row r="505" customFormat="false" ht="30" hidden="false" customHeight="true" outlineLevel="0" collapsed="false">
      <c r="A505" s="3" t="s">
        <v>76</v>
      </c>
      <c r="B505" s="17" t="n">
        <v>0.0733</v>
      </c>
      <c r="C505" s="17" t="n">
        <v>0.0297</v>
      </c>
      <c r="D505" s="17" t="n">
        <v>0.0469</v>
      </c>
      <c r="E505" s="17" t="n">
        <v>0.0489</v>
      </c>
      <c r="F505" s="17" t="n">
        <v>0.0336</v>
      </c>
      <c r="G505" s="17" t="n">
        <v>0.0357</v>
      </c>
      <c r="H505" s="17" t="n">
        <v>0.0309</v>
      </c>
      <c r="I505" s="17" t="n">
        <v>0.0199</v>
      </c>
      <c r="J505" s="17" t="n">
        <v>0.0093</v>
      </c>
      <c r="K505" s="17" t="n">
        <v>0.0208</v>
      </c>
      <c r="L505" s="17" t="n">
        <v>-0.0285</v>
      </c>
    </row>
    <row r="506" customFormat="false" ht="30" hidden="false" customHeight="true" outlineLevel="0" collapsed="false">
      <c r="A506" s="2" t="s">
        <v>629</v>
      </c>
      <c r="B506" s="16" t="n">
        <v>-0.0677</v>
      </c>
      <c r="C506" s="16" t="n">
        <v>-0.0206</v>
      </c>
      <c r="D506" s="16" t="n">
        <v>-0.0315</v>
      </c>
      <c r="E506" s="16" t="n">
        <v>-0.019</v>
      </c>
      <c r="F506" s="16" t="n">
        <v>-0.0175</v>
      </c>
      <c r="G506" s="16" t="n">
        <v>-0.01</v>
      </c>
      <c r="H506" s="16" t="n">
        <v>-0.036</v>
      </c>
      <c r="I506" s="16" t="n">
        <v>0.0009</v>
      </c>
      <c r="J506" s="16" t="n">
        <v>-0.0216</v>
      </c>
      <c r="K506" s="16" t="n">
        <v>-0.0409</v>
      </c>
      <c r="L506" s="16" t="n">
        <v>0.0312</v>
      </c>
    </row>
    <row r="507" customFormat="false" ht="30" hidden="false" customHeight="true" outlineLevel="0" collapsed="false">
      <c r="A507" s="3" t="s">
        <v>630</v>
      </c>
      <c r="B507" s="17" t="n">
        <v>0.0407</v>
      </c>
      <c r="C507" s="17" t="n">
        <v>0.0036</v>
      </c>
      <c r="D507" s="17" t="n">
        <v>-0.0076</v>
      </c>
      <c r="E507" s="17" t="n">
        <v>0.0009</v>
      </c>
      <c r="F507" s="17" t="n">
        <v>0.0046</v>
      </c>
      <c r="G507" s="17" t="n">
        <v>0.0077</v>
      </c>
      <c r="H507" s="17" t="n">
        <v>0.0808</v>
      </c>
      <c r="I507" s="17" t="n">
        <v>0.0483</v>
      </c>
      <c r="J507" s="17" t="n">
        <v>0.0216</v>
      </c>
      <c r="K507" s="17" t="n">
        <v>0.0545</v>
      </c>
      <c r="L507" s="17" t="n">
        <v>0.0343</v>
      </c>
    </row>
    <row r="508" customFormat="false" ht="30" hidden="false" customHeight="true" outlineLevel="0" collapsed="false">
      <c r="A508" s="2" t="s">
        <v>631</v>
      </c>
      <c r="B508" s="16" t="n">
        <v>-0.0291</v>
      </c>
      <c r="C508" s="16" t="n">
        <v>-0.0298</v>
      </c>
      <c r="D508" s="16" t="n">
        <v>-0.0173</v>
      </c>
      <c r="E508" s="16" t="n">
        <v>-0.0213</v>
      </c>
      <c r="F508" s="16" t="n">
        <v>-0.0077</v>
      </c>
      <c r="G508" s="16" t="n">
        <v>-0.0037</v>
      </c>
      <c r="H508" s="16" t="n">
        <v>-0.0145</v>
      </c>
      <c r="I508" s="16" t="n">
        <v>-0.0244</v>
      </c>
      <c r="J508" s="16" t="n">
        <v>-0.0108</v>
      </c>
      <c r="K508" s="16" t="n">
        <v>-0.0153</v>
      </c>
      <c r="L508" s="16" t="n">
        <v>0.0043</v>
      </c>
    </row>
    <row r="509" customFormat="false" ht="30" hidden="false" customHeight="true" outlineLevel="0" collapsed="false">
      <c r="A509" s="3" t="s">
        <v>632</v>
      </c>
      <c r="B509" s="17" t="n">
        <v>-0.0329</v>
      </c>
      <c r="C509" s="17" t="n">
        <v>-0.007</v>
      </c>
      <c r="D509" s="17" t="n">
        <v>-0.0275</v>
      </c>
      <c r="E509" s="17" t="n">
        <v>-0.0268</v>
      </c>
      <c r="F509" s="17" t="n">
        <v>-0.0095</v>
      </c>
      <c r="G509" s="17" t="n">
        <v>-0.0121</v>
      </c>
      <c r="H509" s="17" t="n">
        <v>-0.0198</v>
      </c>
      <c r="I509" s="17" t="n">
        <v>-0.0165</v>
      </c>
      <c r="J509" s="17" t="n">
        <v>-0.0503</v>
      </c>
      <c r="K509" s="17" t="n">
        <v>-0.0646</v>
      </c>
      <c r="L509" s="17" t="n">
        <v>-0.007</v>
      </c>
    </row>
    <row r="510" customFormat="false" ht="30" hidden="false" customHeight="true" outlineLevel="0" collapsed="false">
      <c r="A510" s="2" t="s">
        <v>633</v>
      </c>
      <c r="B510" s="16" t="n">
        <v>0.0589</v>
      </c>
      <c r="C510" s="16" t="n">
        <v>0.0539</v>
      </c>
      <c r="D510" s="16" t="n">
        <v>0.0179</v>
      </c>
      <c r="E510" s="16" t="n">
        <v>0.0291</v>
      </c>
      <c r="F510" s="16" t="n">
        <v>0.0425</v>
      </c>
      <c r="G510" s="16" t="n">
        <v>0.0403</v>
      </c>
      <c r="H510" s="16" t="n">
        <v>0.0194</v>
      </c>
      <c r="I510" s="16" t="n">
        <v>0.0487</v>
      </c>
      <c r="J510" s="16" t="n">
        <v>0.0292</v>
      </c>
      <c r="K510" s="16" t="n">
        <v>0.0642</v>
      </c>
      <c r="L510" s="16" t="n">
        <v>0.0037</v>
      </c>
    </row>
    <row r="511" customFormat="false" ht="30" hidden="false" customHeight="true" outlineLevel="0" collapsed="false">
      <c r="A511" s="3" t="s">
        <v>634</v>
      </c>
      <c r="B511" s="17" t="n">
        <v>0.0024</v>
      </c>
      <c r="C511" s="17" t="n">
        <v>-0.0001</v>
      </c>
      <c r="D511" s="17" t="n">
        <v>0.002</v>
      </c>
      <c r="E511" s="17" t="n">
        <v>0.0025</v>
      </c>
      <c r="F511" s="17" t="n">
        <v>-0.0066</v>
      </c>
      <c r="G511" s="17" t="n">
        <v>-0.0047</v>
      </c>
      <c r="H511" s="17" t="n">
        <v>0.005</v>
      </c>
      <c r="I511" s="17" t="n">
        <v>0.0161</v>
      </c>
      <c r="J511" s="17" t="n">
        <v>0.0302</v>
      </c>
      <c r="K511" s="17" t="n">
        <v>0.0553</v>
      </c>
      <c r="L511" s="17" t="n">
        <v>0.0208</v>
      </c>
    </row>
    <row r="512" customFormat="false" ht="30" hidden="false" customHeight="true" outlineLevel="0" collapsed="false">
      <c r="A512" s="2" t="s">
        <v>635</v>
      </c>
      <c r="B512" s="16" t="n">
        <v>0.0708</v>
      </c>
      <c r="C512" s="16" t="n">
        <v>0.0417</v>
      </c>
      <c r="D512" s="16" t="n">
        <v>0.035</v>
      </c>
      <c r="E512" s="16" t="n">
        <v>0.045</v>
      </c>
      <c r="F512" s="16" t="n">
        <v>0.0258</v>
      </c>
      <c r="G512" s="16" t="n">
        <v>0.0412</v>
      </c>
      <c r="H512" s="16" t="n">
        <v>0.0329</v>
      </c>
      <c r="I512" s="16" t="n">
        <v>0.0368</v>
      </c>
      <c r="J512" s="16" t="n">
        <v>0.0588</v>
      </c>
      <c r="K512" s="16" t="n">
        <v>0.0568</v>
      </c>
      <c r="L512" s="16" t="n">
        <v>0.0005</v>
      </c>
    </row>
    <row r="513" customFormat="false" ht="30" hidden="false" customHeight="true" outlineLevel="0" collapsed="false">
      <c r="A513" s="3" t="s">
        <v>636</v>
      </c>
      <c r="B513" s="17" t="n">
        <v>-0.0303</v>
      </c>
      <c r="C513" s="17" t="n">
        <v>-0.032</v>
      </c>
      <c r="D513" s="17" t="n">
        <v>0.0047</v>
      </c>
      <c r="E513" s="17" t="n">
        <v>-0.0155</v>
      </c>
      <c r="F513" s="17" t="n">
        <v>-0.0235</v>
      </c>
      <c r="G513" s="17" t="n">
        <v>-0.004</v>
      </c>
      <c r="H513" s="17" t="n">
        <v>-0.0038</v>
      </c>
      <c r="I513" s="17" t="n">
        <v>0.0049</v>
      </c>
      <c r="J513" s="17" t="n">
        <v>0.0121</v>
      </c>
      <c r="K513" s="17" t="n">
        <v>0.0123</v>
      </c>
      <c r="L513" s="17" t="n">
        <v>0.0205</v>
      </c>
    </row>
    <row r="514" customFormat="false" ht="30" hidden="false" customHeight="true" outlineLevel="0" collapsed="false">
      <c r="A514" s="2" t="s">
        <v>637</v>
      </c>
      <c r="B514" s="16" t="n">
        <v>-0.0211</v>
      </c>
      <c r="C514" s="16" t="n">
        <v>-0.0049</v>
      </c>
      <c r="D514" s="16" t="n">
        <v>-0.0012</v>
      </c>
      <c r="E514" s="16" t="n">
        <v>-0.009</v>
      </c>
      <c r="F514" s="16" t="n">
        <v>0.0096</v>
      </c>
      <c r="G514" s="16" t="n">
        <v>0.0249</v>
      </c>
      <c r="H514" s="16" t="n">
        <v>0.0079</v>
      </c>
      <c r="I514" s="16" t="n">
        <v>0.024</v>
      </c>
      <c r="J514" s="16" t="n">
        <v>0.0327</v>
      </c>
      <c r="K514" s="16" t="n">
        <v>0.0387</v>
      </c>
      <c r="L514" s="16" t="n">
        <v>0.0346</v>
      </c>
    </row>
    <row r="515" customFormat="false" ht="30" hidden="false" customHeight="true" outlineLevel="0" collapsed="false">
      <c r="A515" s="3" t="s">
        <v>638</v>
      </c>
      <c r="B515" s="17" t="n">
        <v>-0.024</v>
      </c>
      <c r="C515" s="17" t="n">
        <v>0.0082</v>
      </c>
      <c r="D515" s="17" t="n">
        <v>-0.0018</v>
      </c>
      <c r="E515" s="17" t="n">
        <v>-0.0068</v>
      </c>
      <c r="F515" s="17" t="n">
        <v>-0.003</v>
      </c>
      <c r="G515" s="17" t="n">
        <v>-0.0343</v>
      </c>
      <c r="H515" s="17" t="n">
        <v>-0.0516</v>
      </c>
      <c r="I515" s="17" t="n">
        <v>-0.0166</v>
      </c>
      <c r="J515" s="17" t="n">
        <v>-0.0437</v>
      </c>
      <c r="K515" s="17" t="n">
        <v>-0.0274</v>
      </c>
      <c r="L515" s="17" t="n">
        <v>-0.0127</v>
      </c>
    </row>
    <row r="516" customFormat="false" ht="30" hidden="false" customHeight="true" outlineLevel="0" collapsed="false">
      <c r="A516" s="2" t="s">
        <v>639</v>
      </c>
      <c r="B516" s="16" t="n">
        <v>0.0354</v>
      </c>
      <c r="C516" s="16" t="n">
        <v>0.0377</v>
      </c>
      <c r="D516" s="16" t="n">
        <v>0.0356</v>
      </c>
      <c r="E516" s="16" t="n">
        <v>0.0471</v>
      </c>
      <c r="F516" s="16" t="n">
        <v>0.047</v>
      </c>
      <c r="G516" s="16" t="n">
        <v>0.0283</v>
      </c>
      <c r="H516" s="16" t="n">
        <v>0.0367</v>
      </c>
      <c r="I516" s="16" t="n">
        <v>0.0545</v>
      </c>
      <c r="J516" s="16" t="n">
        <v>0.0353</v>
      </c>
      <c r="K516" s="16" t="n">
        <v>0.0309</v>
      </c>
      <c r="L516" s="16" t="n">
        <v>0.0029</v>
      </c>
    </row>
    <row r="517" customFormat="false" ht="30" hidden="false" customHeight="true" outlineLevel="0" collapsed="false">
      <c r="A517" s="3" t="s">
        <v>77</v>
      </c>
      <c r="B517" s="17" t="n">
        <v>-0.0031</v>
      </c>
      <c r="C517" s="17" t="n">
        <v>0.0126</v>
      </c>
      <c r="D517" s="17" t="n">
        <v>-0.0135</v>
      </c>
      <c r="E517" s="17" t="n">
        <v>-0.0065</v>
      </c>
      <c r="F517" s="17" t="n">
        <v>-0.001</v>
      </c>
      <c r="G517" s="17" t="n">
        <v>-0.0042</v>
      </c>
      <c r="H517" s="17" t="n">
        <v>0.0083</v>
      </c>
      <c r="I517" s="17" t="n">
        <v>-0.0016</v>
      </c>
      <c r="J517" s="17" t="n">
        <v>0.0112</v>
      </c>
      <c r="K517" s="17" t="n">
        <v>0.0184</v>
      </c>
      <c r="L517" s="17" t="n">
        <v>0.008</v>
      </c>
    </row>
    <row r="518" customFormat="false" ht="30" hidden="false" customHeight="true" outlineLevel="0" collapsed="false">
      <c r="A518" s="2" t="s">
        <v>640</v>
      </c>
      <c r="B518" s="16" t="n">
        <v>0.0669</v>
      </c>
      <c r="C518" s="16" t="n">
        <v>0.0474</v>
      </c>
      <c r="D518" s="16" t="n">
        <v>0.0218</v>
      </c>
      <c r="E518" s="16" t="n">
        <v>-0.011</v>
      </c>
      <c r="F518" s="16" t="n">
        <v>0.0154</v>
      </c>
      <c r="G518" s="16" t="n">
        <v>0.0269</v>
      </c>
      <c r="H518" s="16" t="n">
        <v>0.0341</v>
      </c>
      <c r="I518" s="16" t="n">
        <v>0.0277</v>
      </c>
      <c r="J518" s="16" t="n">
        <v>0.0594</v>
      </c>
      <c r="K518" s="16" t="n">
        <v>0.0985</v>
      </c>
      <c r="L518" s="16" t="n">
        <v>0.0253</v>
      </c>
    </row>
    <row r="519" customFormat="false" ht="30" hidden="false" customHeight="true" outlineLevel="0" collapsed="false">
      <c r="A519" s="3" t="s">
        <v>641</v>
      </c>
      <c r="B519" s="17" t="n">
        <v>-0.0105</v>
      </c>
      <c r="C519" s="17" t="n">
        <v>0.0073</v>
      </c>
      <c r="D519" s="17" t="n">
        <v>0.0133</v>
      </c>
      <c r="E519" s="17" t="n">
        <v>0.0064</v>
      </c>
      <c r="F519" s="17" t="n">
        <v>0.0174</v>
      </c>
      <c r="G519" s="17" t="n">
        <v>-0.0004</v>
      </c>
      <c r="H519" s="17" t="n">
        <v>0.0147</v>
      </c>
      <c r="I519" s="17" t="n">
        <v>0.001</v>
      </c>
      <c r="J519" s="17" t="n">
        <v>-0.0039</v>
      </c>
      <c r="K519" s="17" t="n">
        <v>-0.0533</v>
      </c>
      <c r="L519" s="17" t="n">
        <v>-0.0182</v>
      </c>
    </row>
    <row r="520" customFormat="false" ht="30" hidden="false" customHeight="true" outlineLevel="0" collapsed="false">
      <c r="A520" s="2" t="s">
        <v>642</v>
      </c>
      <c r="B520" s="16" t="n">
        <v>0.0187</v>
      </c>
      <c r="C520" s="16" t="n">
        <v>0.0188</v>
      </c>
      <c r="D520" s="16" t="n">
        <v>0.0267</v>
      </c>
      <c r="E520" s="16" t="n">
        <v>0.0058</v>
      </c>
      <c r="F520" s="16" t="n">
        <v>0.0072</v>
      </c>
      <c r="G520" s="16" t="n">
        <v>0.0054</v>
      </c>
      <c r="H520" s="16" t="n">
        <v>0.0179</v>
      </c>
      <c r="I520" s="16" t="n">
        <v>0.0213</v>
      </c>
      <c r="J520" s="16" t="n">
        <v>0.0239</v>
      </c>
      <c r="K520" s="16" t="n">
        <v>0.0458</v>
      </c>
      <c r="L520" s="16" t="n">
        <v>0.0127</v>
      </c>
    </row>
    <row r="521" customFormat="false" ht="30" hidden="false" customHeight="true" outlineLevel="0" collapsed="false">
      <c r="A521" s="3" t="s">
        <v>643</v>
      </c>
      <c r="B521" s="17" t="n">
        <v>0.0092</v>
      </c>
      <c r="C521" s="17" t="n">
        <v>0</v>
      </c>
      <c r="D521" s="17" t="n">
        <v>0.0139</v>
      </c>
      <c r="E521" s="17" t="n">
        <v>0.0147</v>
      </c>
      <c r="F521" s="17" t="n">
        <v>0.0234</v>
      </c>
      <c r="G521" s="17" t="n">
        <v>0.0047</v>
      </c>
      <c r="H521" s="17" t="n">
        <v>0.008</v>
      </c>
      <c r="I521" s="17" t="n">
        <v>0.0108</v>
      </c>
      <c r="J521" s="17" t="n">
        <v>0.0025</v>
      </c>
      <c r="K521" s="17" t="n">
        <v>0.0195</v>
      </c>
      <c r="L521" s="17" t="n">
        <v>0.0061</v>
      </c>
    </row>
    <row r="522" customFormat="false" ht="30" hidden="false" customHeight="true" outlineLevel="0" collapsed="false">
      <c r="A522" s="2" t="s">
        <v>644</v>
      </c>
      <c r="B522" s="16" t="n">
        <v>-0.0168</v>
      </c>
      <c r="C522" s="16" t="n">
        <v>-0.0151</v>
      </c>
      <c r="D522" s="16" t="n">
        <v>-0.0082</v>
      </c>
      <c r="E522" s="16" t="n">
        <v>-0.0244</v>
      </c>
      <c r="F522" s="16" t="n">
        <v>-0.0281</v>
      </c>
      <c r="G522" s="16" t="n">
        <v>-0.0349</v>
      </c>
      <c r="H522" s="16" t="n">
        <v>-0.0411</v>
      </c>
      <c r="I522" s="16" t="n">
        <v>-0.0409</v>
      </c>
      <c r="J522" s="16" t="n">
        <v>-0.0573</v>
      </c>
      <c r="K522" s="16" t="n">
        <v>-0.0798</v>
      </c>
      <c r="L522" s="16" t="n">
        <v>-0.0367</v>
      </c>
    </row>
    <row r="523" customFormat="false" ht="30" hidden="false" customHeight="true" outlineLevel="0" collapsed="false">
      <c r="A523" s="3" t="s">
        <v>645</v>
      </c>
      <c r="B523" s="17" t="n">
        <v>-0.003</v>
      </c>
      <c r="C523" s="17" t="n">
        <v>-0.0101</v>
      </c>
      <c r="D523" s="17" t="n">
        <v>-0.0086</v>
      </c>
      <c r="E523" s="17" t="n">
        <v>0.0052</v>
      </c>
      <c r="F523" s="17" t="n">
        <v>0.0005</v>
      </c>
      <c r="G523" s="17" t="n">
        <v>0.0098</v>
      </c>
      <c r="H523" s="17" t="n">
        <v>0.0031</v>
      </c>
      <c r="I523" s="17" t="n">
        <v>0.0057</v>
      </c>
      <c r="J523" s="17" t="n">
        <v>0.0113</v>
      </c>
      <c r="K523" s="17" t="n">
        <v>-0.0049</v>
      </c>
      <c r="L523" s="17" t="n">
        <v>0.0155</v>
      </c>
    </row>
    <row r="524" customFormat="false" ht="30" hidden="false" customHeight="true" outlineLevel="0" collapsed="false">
      <c r="A524" s="2" t="s">
        <v>646</v>
      </c>
      <c r="B524" s="16" t="n">
        <v>-0.049</v>
      </c>
      <c r="C524" s="16" t="n">
        <v>0.0195</v>
      </c>
      <c r="D524" s="16" t="n">
        <v>0.0015</v>
      </c>
      <c r="E524" s="16" t="n">
        <v>-0.0179</v>
      </c>
      <c r="F524" s="16" t="n">
        <v>0.0176</v>
      </c>
      <c r="G524" s="16" t="n">
        <v>0.024</v>
      </c>
      <c r="H524" s="16" t="n">
        <v>-0.001</v>
      </c>
      <c r="I524" s="16" t="n">
        <v>-0.0027</v>
      </c>
      <c r="J524" s="16" t="n">
        <v>-0.0321</v>
      </c>
      <c r="K524" s="16" t="n">
        <v>-0.063</v>
      </c>
      <c r="L524" s="16" t="n">
        <v>-0.0205</v>
      </c>
    </row>
    <row r="525" customFormat="false" ht="30" hidden="false" customHeight="true" outlineLevel="0" collapsed="false">
      <c r="A525" s="3" t="s">
        <v>647</v>
      </c>
      <c r="B525" s="17" t="n">
        <v>0.067</v>
      </c>
      <c r="C525" s="17" t="n">
        <v>0.0258</v>
      </c>
      <c r="D525" s="17" t="n">
        <v>0.0435</v>
      </c>
      <c r="E525" s="17" t="n">
        <v>0.0375</v>
      </c>
      <c r="F525" s="17" t="n">
        <v>0.0459</v>
      </c>
      <c r="G525" s="17" t="n">
        <v>0.0123</v>
      </c>
      <c r="H525" s="17" t="n">
        <v>0.0183</v>
      </c>
      <c r="I525" s="17" t="n">
        <v>0.0141</v>
      </c>
      <c r="J525" s="17" t="n">
        <v>0.0122</v>
      </c>
      <c r="K525" s="17" t="n">
        <v>-0.0196</v>
      </c>
      <c r="L525" s="17" t="n">
        <v>-0.0337</v>
      </c>
    </row>
    <row r="526" customFormat="false" ht="30" hidden="false" customHeight="true" outlineLevel="0" collapsed="false">
      <c r="A526" s="2" t="s">
        <v>648</v>
      </c>
      <c r="B526" s="16" t="n">
        <v>0.0225</v>
      </c>
      <c r="C526" s="16" t="n">
        <v>0.0215</v>
      </c>
      <c r="D526" s="16" t="n">
        <v>0.0341</v>
      </c>
      <c r="E526" s="16" t="n">
        <v>0.0237</v>
      </c>
      <c r="F526" s="16" t="n">
        <v>0.0324</v>
      </c>
      <c r="G526" s="16" t="n">
        <v>0.0113</v>
      </c>
      <c r="H526" s="16" t="n">
        <v>0.0176</v>
      </c>
      <c r="I526" s="16" t="n">
        <v>0.0153</v>
      </c>
      <c r="J526" s="16" t="n">
        <v>0.0229</v>
      </c>
      <c r="K526" s="16" t="n">
        <v>0.0211</v>
      </c>
      <c r="L526" s="16" t="n">
        <v>-0.0098</v>
      </c>
    </row>
    <row r="527" customFormat="false" ht="30" hidden="false" customHeight="true" outlineLevel="0" collapsed="false">
      <c r="A527" s="3" t="s">
        <v>649</v>
      </c>
      <c r="B527" s="17" t="n">
        <v>0.0572</v>
      </c>
      <c r="C527" s="17" t="n">
        <v>0.0468</v>
      </c>
      <c r="D527" s="17" t="n">
        <v>0.0358</v>
      </c>
      <c r="E527" s="17" t="n">
        <v>0.0431</v>
      </c>
      <c r="F527" s="17" t="n">
        <v>0.0342</v>
      </c>
      <c r="G527" s="17" t="n">
        <v>0.0329</v>
      </c>
      <c r="H527" s="17" t="n">
        <v>0.0139</v>
      </c>
      <c r="I527" s="17" t="n">
        <v>0.0466</v>
      </c>
      <c r="J527" s="17" t="n">
        <v>0.0266</v>
      </c>
      <c r="K527" s="17" t="n">
        <v>0.0641</v>
      </c>
      <c r="L527" s="17" t="n">
        <v>-0.0024</v>
      </c>
    </row>
    <row r="528" customFormat="false" ht="30" hidden="false" customHeight="true" outlineLevel="0" collapsed="false">
      <c r="A528" s="2" t="s">
        <v>650</v>
      </c>
      <c r="B528" s="16" t="n">
        <v>0.0537</v>
      </c>
      <c r="C528" s="16" t="n">
        <v>0.0254</v>
      </c>
      <c r="D528" s="16" t="n">
        <v>0.0271</v>
      </c>
      <c r="E528" s="16" t="n">
        <v>0.0172</v>
      </c>
      <c r="F528" s="16" t="n">
        <v>0.0185</v>
      </c>
      <c r="G528" s="16" t="n">
        <v>0.0014</v>
      </c>
      <c r="H528" s="16" t="n">
        <v>0.0236</v>
      </c>
      <c r="I528" s="16" t="n">
        <v>0.0185</v>
      </c>
      <c r="J528" s="16" t="n">
        <v>0.0285</v>
      </c>
      <c r="K528" s="16" t="n">
        <v>0.0223</v>
      </c>
      <c r="L528" s="16" t="n">
        <v>-0.0101</v>
      </c>
    </row>
    <row r="529" customFormat="false" ht="30" hidden="false" customHeight="true" outlineLevel="0" collapsed="false">
      <c r="A529" s="3" t="s">
        <v>78</v>
      </c>
      <c r="B529" s="17" t="n">
        <v>-0.0081</v>
      </c>
      <c r="C529" s="17" t="n">
        <v>-0.0026</v>
      </c>
      <c r="D529" s="17" t="n">
        <v>0.0085</v>
      </c>
      <c r="E529" s="17" t="n">
        <v>0.0177</v>
      </c>
      <c r="F529" s="17" t="n">
        <v>0.0259</v>
      </c>
      <c r="G529" s="17" t="n">
        <v>0.0238</v>
      </c>
      <c r="H529" s="17" t="n">
        <v>0.0079</v>
      </c>
      <c r="I529" s="17" t="n">
        <v>0.0098</v>
      </c>
      <c r="J529" s="17" t="n">
        <v>0.0113</v>
      </c>
      <c r="K529" s="17" t="n">
        <v>0.0084</v>
      </c>
      <c r="L529" s="17" t="n">
        <v>0.0079</v>
      </c>
    </row>
    <row r="530" customFormat="false" ht="30" hidden="false" customHeight="true" outlineLevel="0" collapsed="false">
      <c r="A530" s="2" t="s">
        <v>651</v>
      </c>
      <c r="B530" s="16" t="n">
        <v>0.0272</v>
      </c>
      <c r="C530" s="16" t="n">
        <v>0.0258</v>
      </c>
      <c r="D530" s="16" t="n">
        <v>0.0097</v>
      </c>
      <c r="E530" s="16" t="n">
        <v>0.004</v>
      </c>
      <c r="F530" s="16" t="n">
        <v>0.021</v>
      </c>
      <c r="G530" s="16" t="n">
        <v>0.019</v>
      </c>
      <c r="H530" s="16" t="n">
        <v>0.0158</v>
      </c>
      <c r="I530" s="16" t="n">
        <v>0.0271</v>
      </c>
      <c r="J530" s="16" t="n">
        <v>0.0157</v>
      </c>
      <c r="K530" s="16" t="n">
        <v>0.0312</v>
      </c>
      <c r="L530" s="16" t="n">
        <v>0.0025</v>
      </c>
    </row>
    <row r="531" customFormat="false" ht="30" hidden="false" customHeight="true" outlineLevel="0" collapsed="false">
      <c r="A531" s="3" t="s">
        <v>112</v>
      </c>
      <c r="B531" s="17" t="n">
        <v>-0.0019</v>
      </c>
      <c r="C531" s="17" t="n">
        <v>0.012</v>
      </c>
      <c r="D531" s="17" t="n">
        <v>-0.0173</v>
      </c>
      <c r="E531" s="17" t="n">
        <v>-0.0025</v>
      </c>
      <c r="F531" s="17" t="n">
        <v>-0.0227</v>
      </c>
      <c r="G531" s="17" t="n">
        <v>-0.0102</v>
      </c>
      <c r="H531" s="17" t="n">
        <v>-0.0171</v>
      </c>
      <c r="I531" s="17" t="n">
        <v>-0.0279</v>
      </c>
      <c r="J531" s="17" t="n">
        <v>-0.0163</v>
      </c>
      <c r="K531" s="17" t="n">
        <v>-0.0279</v>
      </c>
      <c r="L531" s="17" t="n">
        <v>-0.0131</v>
      </c>
    </row>
    <row r="532" customFormat="false" ht="30" hidden="false" customHeight="true" outlineLevel="0" collapsed="false">
      <c r="A532" s="2" t="s">
        <v>652</v>
      </c>
      <c r="B532" s="16" t="n">
        <v>-0.0123</v>
      </c>
      <c r="C532" s="16" t="n">
        <v>-0.0078</v>
      </c>
      <c r="D532" s="16" t="n">
        <v>0.0058</v>
      </c>
      <c r="E532" s="16" t="n">
        <v>0.0037</v>
      </c>
      <c r="F532" s="16" t="n">
        <v>0.0031</v>
      </c>
      <c r="G532" s="16" t="n">
        <v>-0.0009</v>
      </c>
      <c r="H532" s="16" t="n">
        <v>0.0132</v>
      </c>
      <c r="I532" s="16" t="n">
        <v>0.0239</v>
      </c>
      <c r="J532" s="16" t="n">
        <v>0.0379</v>
      </c>
      <c r="K532" s="16" t="n">
        <v>0.0214</v>
      </c>
      <c r="L532" s="16" t="n">
        <v>0.0259</v>
      </c>
    </row>
    <row r="533" customFormat="false" ht="30" hidden="false" customHeight="true" outlineLevel="0" collapsed="false">
      <c r="A533" s="3" t="s">
        <v>653</v>
      </c>
      <c r="B533" s="17" t="n">
        <v>0.0388</v>
      </c>
      <c r="C533" s="17" t="n">
        <v>0.0441</v>
      </c>
      <c r="D533" s="17" t="n">
        <v>0.0448</v>
      </c>
      <c r="E533" s="17" t="n">
        <v>0.035</v>
      </c>
      <c r="F533" s="17" t="n">
        <v>0.0494</v>
      </c>
      <c r="G533" s="17" t="n">
        <v>0.0439</v>
      </c>
      <c r="H533" s="17" t="n">
        <v>0.0308</v>
      </c>
      <c r="I533" s="17" t="n">
        <v>0.0435</v>
      </c>
      <c r="J533" s="17" t="n">
        <v>0.0421</v>
      </c>
      <c r="K533" s="17" t="n">
        <v>0.0214</v>
      </c>
      <c r="L533" s="17" t="n">
        <v>-0.0021</v>
      </c>
    </row>
    <row r="534" customFormat="false" ht="30" hidden="false" customHeight="true" outlineLevel="0" collapsed="false">
      <c r="A534" s="2" t="s">
        <v>654</v>
      </c>
      <c r="B534" s="16" t="n">
        <v>0.0324</v>
      </c>
      <c r="C534" s="16" t="n">
        <v>0.0396</v>
      </c>
      <c r="D534" s="16" t="n">
        <v>0.0355</v>
      </c>
      <c r="E534" s="16" t="n">
        <v>0.0378</v>
      </c>
      <c r="F534" s="16" t="n">
        <v>0.0268</v>
      </c>
      <c r="G534" s="16" t="n">
        <v>0.0455</v>
      </c>
      <c r="H534" s="16" t="n">
        <v>0.0304</v>
      </c>
      <c r="I534" s="16" t="n">
        <v>0.041</v>
      </c>
      <c r="J534" s="16" t="n">
        <v>0.0271</v>
      </c>
      <c r="K534" s="16" t="n">
        <v>0.0538</v>
      </c>
      <c r="L534" s="16" t="n">
        <v>-0.0034</v>
      </c>
    </row>
    <row r="535" customFormat="false" ht="30" hidden="false" customHeight="true" outlineLevel="0" collapsed="false">
      <c r="A535" s="3" t="s">
        <v>655</v>
      </c>
      <c r="B535" s="17" t="n">
        <v>-0.0298</v>
      </c>
      <c r="C535" s="17" t="n">
        <v>-0.0237</v>
      </c>
      <c r="D535" s="17" t="n">
        <v>-0.0056</v>
      </c>
      <c r="E535" s="17" t="n">
        <v>-0.016</v>
      </c>
      <c r="F535" s="17" t="n">
        <v>-0.0192</v>
      </c>
      <c r="G535" s="17" t="n">
        <v>-0.0117</v>
      </c>
      <c r="H535" s="17" t="n">
        <v>-0.0176</v>
      </c>
      <c r="I535" s="17" t="n">
        <v>-0.013</v>
      </c>
      <c r="J535" s="17" t="n">
        <v>-0.0213</v>
      </c>
      <c r="K535" s="17" t="n">
        <v>-0.0118</v>
      </c>
      <c r="L535" s="17" t="n">
        <v>0.0047</v>
      </c>
    </row>
    <row r="536" customFormat="false" ht="30" hidden="false" customHeight="true" outlineLevel="0" collapsed="false">
      <c r="A536" s="2" t="s">
        <v>656</v>
      </c>
      <c r="B536" s="16" t="n">
        <v>-0.0448</v>
      </c>
      <c r="C536" s="16" t="n">
        <v>-0.0501</v>
      </c>
      <c r="D536" s="16" t="n">
        <v>-0.0656</v>
      </c>
      <c r="E536" s="16" t="n">
        <v>-0.0357</v>
      </c>
      <c r="F536" s="16" t="n">
        <v>-0.0232</v>
      </c>
      <c r="G536" s="16" t="n">
        <v>-0.0394</v>
      </c>
      <c r="H536" s="16" t="n">
        <v>-0.0456</v>
      </c>
      <c r="I536" s="16" t="n">
        <v>-0.0126</v>
      </c>
      <c r="J536" s="16" t="n">
        <v>-0.0283</v>
      </c>
      <c r="K536" s="16" t="n">
        <v>-0.0149</v>
      </c>
      <c r="L536" s="16" t="n">
        <v>0.0294</v>
      </c>
    </row>
    <row r="537" customFormat="false" ht="30" hidden="false" customHeight="true" outlineLevel="0" collapsed="false">
      <c r="A537" s="3" t="s">
        <v>657</v>
      </c>
      <c r="B537" s="17" t="n">
        <v>-0.011</v>
      </c>
      <c r="C537" s="17" t="n">
        <v>0.0278</v>
      </c>
      <c r="D537" s="17" t="n">
        <v>0.0198</v>
      </c>
      <c r="E537" s="17" t="n">
        <v>0.01</v>
      </c>
      <c r="F537" s="17" t="n">
        <v>0.0114</v>
      </c>
      <c r="G537" s="17" t="n">
        <v>0.0048</v>
      </c>
      <c r="H537" s="17" t="n">
        <v>0.0162</v>
      </c>
      <c r="I537" s="17" t="n">
        <v>0.0217</v>
      </c>
      <c r="J537" s="17" t="n">
        <v>0.0207</v>
      </c>
      <c r="K537" s="17" t="n">
        <v>0.0188</v>
      </c>
      <c r="L537" s="17" t="n">
        <v>-0.0002</v>
      </c>
    </row>
    <row r="538" customFormat="false" ht="30" hidden="false" customHeight="true" outlineLevel="0" collapsed="false">
      <c r="A538" s="2" t="s">
        <v>658</v>
      </c>
      <c r="B538" s="16" t="n">
        <v>0.0165</v>
      </c>
      <c r="C538" s="16" t="n">
        <v>0.0112</v>
      </c>
      <c r="D538" s="16" t="n">
        <v>0.0119</v>
      </c>
      <c r="E538" s="16" t="n">
        <v>0.0172</v>
      </c>
      <c r="F538" s="16" t="n">
        <v>0.0256</v>
      </c>
      <c r="G538" s="16" t="n">
        <v>0.0346</v>
      </c>
      <c r="H538" s="16" t="n">
        <v>0.0389</v>
      </c>
      <c r="I538" s="16" t="n">
        <v>0.0598</v>
      </c>
      <c r="J538" s="16" t="n">
        <v>0.0435</v>
      </c>
      <c r="K538" s="16" t="n">
        <v>0.0776</v>
      </c>
      <c r="L538" s="16" t="n">
        <v>0.0444</v>
      </c>
    </row>
    <row r="539" customFormat="false" ht="30" hidden="false" customHeight="true" outlineLevel="0" collapsed="false">
      <c r="A539" s="3" t="s">
        <v>659</v>
      </c>
      <c r="B539" s="17" t="n">
        <v>-0.0106</v>
      </c>
      <c r="C539" s="17" t="n">
        <v>-0.0091</v>
      </c>
      <c r="D539" s="17" t="n">
        <v>-0.0155</v>
      </c>
      <c r="E539" s="17" t="n">
        <v>0.0005</v>
      </c>
      <c r="F539" s="17" t="n">
        <v>0.0415</v>
      </c>
      <c r="G539" s="17" t="n">
        <v>0.0086</v>
      </c>
      <c r="H539" s="17" t="n">
        <v>0.0413</v>
      </c>
      <c r="I539" s="17" t="n">
        <v>0.032</v>
      </c>
      <c r="J539" s="17" t="n">
        <v>0.0151</v>
      </c>
      <c r="K539" s="17" t="n">
        <v>0.0766</v>
      </c>
      <c r="L539" s="17" t="n">
        <v>0.0498</v>
      </c>
    </row>
    <row r="540" customFormat="false" ht="30" hidden="false" customHeight="true" outlineLevel="0" collapsed="false">
      <c r="A540" s="2" t="s">
        <v>660</v>
      </c>
      <c r="B540" s="16" t="n">
        <v>-0.1339</v>
      </c>
      <c r="C540" s="16" t="n">
        <v>-0.0867</v>
      </c>
      <c r="D540" s="16" t="n">
        <v>-0.0392</v>
      </c>
      <c r="E540" s="16" t="n">
        <v>-0.0431</v>
      </c>
      <c r="F540" s="16" t="n">
        <v>-0.0591</v>
      </c>
      <c r="G540" s="16" t="n">
        <v>-0.0211</v>
      </c>
      <c r="H540" s="16" t="n">
        <v>-0.0249</v>
      </c>
      <c r="I540" s="16" t="n">
        <v>-0.0356</v>
      </c>
      <c r="J540" s="16" t="n">
        <v>-0.0529</v>
      </c>
      <c r="K540" s="16" t="n">
        <v>-0.0597</v>
      </c>
      <c r="L540" s="16" t="n">
        <v>0.0109</v>
      </c>
    </row>
    <row r="541" customFormat="false" ht="30" hidden="false" customHeight="true" outlineLevel="0" collapsed="false">
      <c r="A541" s="3" t="s">
        <v>79</v>
      </c>
      <c r="B541" s="17" t="n">
        <v>-0.0694</v>
      </c>
      <c r="C541" s="17" t="n">
        <v>-0.0681</v>
      </c>
      <c r="D541" s="17" t="n">
        <v>-0.0597</v>
      </c>
      <c r="E541" s="17" t="n">
        <v>-0.0388</v>
      </c>
      <c r="F541" s="17" t="n">
        <v>-0.02</v>
      </c>
      <c r="G541" s="17" t="n">
        <v>-0.0119</v>
      </c>
      <c r="H541" s="17" t="n">
        <v>0.0027</v>
      </c>
      <c r="I541" s="17" t="n">
        <v>0.0218</v>
      </c>
      <c r="J541" s="17" t="n">
        <v>0.0069</v>
      </c>
      <c r="K541" s="17" t="n">
        <v>0.0431</v>
      </c>
      <c r="L541" s="17" t="n">
        <v>0.0657</v>
      </c>
    </row>
    <row r="542" customFormat="false" ht="30" hidden="false" customHeight="true" outlineLevel="0" collapsed="false">
      <c r="A542" s="2" t="s">
        <v>661</v>
      </c>
      <c r="B542" s="16" t="n">
        <v>0.0383</v>
      </c>
      <c r="C542" s="16" t="n">
        <v>-0.0188</v>
      </c>
      <c r="D542" s="16" t="n">
        <v>-0.0266</v>
      </c>
      <c r="E542" s="16" t="n">
        <v>0.0003</v>
      </c>
      <c r="F542" s="16" t="n">
        <v>-0.0187</v>
      </c>
      <c r="G542" s="16" t="n">
        <v>-0.0456</v>
      </c>
      <c r="H542" s="16" t="n">
        <v>-0.0637</v>
      </c>
      <c r="I542" s="16" t="n">
        <v>-0.0713</v>
      </c>
      <c r="J542" s="16" t="n">
        <v>-0.0872</v>
      </c>
      <c r="K542" s="16" t="n">
        <v>-0.1318</v>
      </c>
      <c r="L542" s="16" t="n">
        <v>-0.0778</v>
      </c>
    </row>
    <row r="543" customFormat="false" ht="30" hidden="false" customHeight="true" outlineLevel="0" collapsed="false">
      <c r="A543" s="3" t="s">
        <v>662</v>
      </c>
      <c r="B543" s="17" t="n">
        <v>-0.1248</v>
      </c>
      <c r="C543" s="17" t="n">
        <v>-0.0791</v>
      </c>
      <c r="D543" s="17" t="n">
        <v>-0.0832</v>
      </c>
      <c r="E543" s="17" t="n">
        <v>-0.0761</v>
      </c>
      <c r="F543" s="17" t="n">
        <v>-0.0166</v>
      </c>
      <c r="G543" s="17" t="n">
        <v>-0.0249</v>
      </c>
      <c r="H543" s="17" t="n">
        <v>-0.0269</v>
      </c>
      <c r="I543" s="17" t="n">
        <v>-0.0325</v>
      </c>
      <c r="J543" s="17" t="n">
        <v>-0.0038</v>
      </c>
      <c r="K543" s="17" t="n">
        <v>0.0205</v>
      </c>
      <c r="L543" s="17" t="n">
        <v>0.0613</v>
      </c>
    </row>
    <row r="544" customFormat="false" ht="30" hidden="false" customHeight="true" outlineLevel="0" collapsed="false">
      <c r="A544" s="2" t="s">
        <v>663</v>
      </c>
      <c r="B544" s="16" t="n">
        <v>-0.1007</v>
      </c>
      <c r="C544" s="16" t="n">
        <v>-0.0581</v>
      </c>
      <c r="D544" s="16" t="n">
        <v>-0.0414</v>
      </c>
      <c r="E544" s="16" t="n">
        <v>-0.0032</v>
      </c>
      <c r="F544" s="16" t="n">
        <v>-0.0167</v>
      </c>
      <c r="G544" s="16" t="n">
        <v>-0.0183</v>
      </c>
      <c r="H544" s="16" t="n">
        <v>0.0145</v>
      </c>
      <c r="I544" s="16" t="n">
        <v>0.0125</v>
      </c>
      <c r="J544" s="16" t="n">
        <v>-0.0035</v>
      </c>
      <c r="K544" s="16" t="n">
        <v>-0.0067</v>
      </c>
      <c r="L544" s="16" t="n">
        <v>0.0425</v>
      </c>
    </row>
    <row r="545" customFormat="false" ht="30" hidden="false" customHeight="true" outlineLevel="0" collapsed="false">
      <c r="A545" s="3" t="s">
        <v>664</v>
      </c>
      <c r="B545" s="17" t="n">
        <v>0.0809</v>
      </c>
      <c r="C545" s="17" t="n">
        <v>0.0796</v>
      </c>
      <c r="D545" s="17" t="n">
        <v>0.055</v>
      </c>
      <c r="E545" s="17" t="n">
        <v>0.0471</v>
      </c>
      <c r="F545" s="17" t="n">
        <v>0.0497</v>
      </c>
      <c r="G545" s="17" t="n">
        <v>0.0109</v>
      </c>
      <c r="H545" s="17" t="n">
        <v>0.0083</v>
      </c>
      <c r="I545" s="17" t="n">
        <v>0.0466</v>
      </c>
      <c r="J545" s="17" t="n">
        <v>0.0569</v>
      </c>
      <c r="K545" s="17" t="n">
        <v>0.0968</v>
      </c>
      <c r="L545" s="17" t="n">
        <v>-0.0031</v>
      </c>
    </row>
    <row r="546" customFormat="false" ht="30" hidden="false" customHeight="true" outlineLevel="0" collapsed="false">
      <c r="A546" s="2" t="s">
        <v>665</v>
      </c>
      <c r="B546" s="16" t="n">
        <v>-0.0259</v>
      </c>
      <c r="C546" s="16" t="n">
        <v>-0.0061</v>
      </c>
      <c r="D546" s="16" t="n">
        <v>-0.0088</v>
      </c>
      <c r="E546" s="16" t="n">
        <v>0.0099</v>
      </c>
      <c r="F546" s="16" t="n">
        <v>-0.0055</v>
      </c>
      <c r="G546" s="16" t="n">
        <v>0.0324</v>
      </c>
      <c r="H546" s="16" t="n">
        <v>0.0245</v>
      </c>
      <c r="I546" s="16" t="n">
        <v>0.0219</v>
      </c>
      <c r="J546" s="16" t="n">
        <v>0.0163</v>
      </c>
      <c r="K546" s="16" t="n">
        <v>0.0692</v>
      </c>
      <c r="L546" s="16" t="n">
        <v>0.0338</v>
      </c>
    </row>
    <row r="547" customFormat="false" ht="30" hidden="false" customHeight="true" outlineLevel="0" collapsed="false">
      <c r="A547" s="3" t="s">
        <v>666</v>
      </c>
      <c r="B547" s="17" t="n">
        <v>-0.1941</v>
      </c>
      <c r="C547" s="17" t="n">
        <v>-0.192</v>
      </c>
      <c r="D547" s="17" t="n">
        <v>-0.1734</v>
      </c>
      <c r="E547" s="17" t="n">
        <v>-0.1238</v>
      </c>
      <c r="F547" s="17" t="n">
        <v>-0.093</v>
      </c>
      <c r="G547" s="17" t="n">
        <v>-0.1018</v>
      </c>
      <c r="H547" s="17" t="n">
        <v>-0.0927</v>
      </c>
      <c r="I547" s="17" t="n">
        <v>-0.0696</v>
      </c>
      <c r="J547" s="17" t="n">
        <v>-0.0481</v>
      </c>
      <c r="K547" s="17" t="n">
        <v>-0.0047</v>
      </c>
      <c r="L547" s="17" t="n">
        <v>0.1273</v>
      </c>
    </row>
    <row r="548" customFormat="false" ht="30" hidden="false" customHeight="true" outlineLevel="0" collapsed="false">
      <c r="A548" s="2" t="s">
        <v>667</v>
      </c>
      <c r="B548" s="16" t="n">
        <v>0.0041</v>
      </c>
      <c r="C548" s="16" t="n">
        <v>0.0086</v>
      </c>
      <c r="D548" s="16" t="n">
        <v>0.0763</v>
      </c>
      <c r="E548" s="16" t="n">
        <v>0.04</v>
      </c>
      <c r="F548" s="16" t="n">
        <v>0.0251</v>
      </c>
      <c r="G548" s="16" t="n">
        <v>0.0344</v>
      </c>
      <c r="H548" s="16" t="n">
        <v>-0.0123</v>
      </c>
      <c r="I548" s="16" t="n">
        <v>0.0076</v>
      </c>
      <c r="J548" s="16" t="n">
        <v>-0.0324</v>
      </c>
      <c r="K548" s="16" t="n">
        <v>-0.0936</v>
      </c>
      <c r="L548" s="16" t="n">
        <v>-0.0502</v>
      </c>
    </row>
    <row r="549" customFormat="false" ht="30" hidden="false" customHeight="true" outlineLevel="0" collapsed="false">
      <c r="A549" s="3" t="s">
        <v>668</v>
      </c>
      <c r="B549" s="17" t="n">
        <v>-0.0224</v>
      </c>
      <c r="C549" s="17" t="n">
        <v>0.0317</v>
      </c>
      <c r="D549" s="17" t="n">
        <v>0.0649</v>
      </c>
      <c r="E549" s="17" t="n">
        <v>0.0247</v>
      </c>
      <c r="F549" s="17" t="n">
        <v>0.0327</v>
      </c>
      <c r="G549" s="17" t="n">
        <v>0.024</v>
      </c>
      <c r="H549" s="17" t="n">
        <v>0.0311</v>
      </c>
      <c r="I549" s="17" t="n">
        <v>0.0081</v>
      </c>
      <c r="J549" s="17" t="n">
        <v>0.0083</v>
      </c>
      <c r="K549" s="17" t="n">
        <v>-0.0288</v>
      </c>
      <c r="L549" s="17" t="n">
        <v>-0.045</v>
      </c>
    </row>
    <row r="550" customFormat="false" ht="30" hidden="false" customHeight="true" outlineLevel="0" collapsed="false">
      <c r="A550" s="2" t="s">
        <v>669</v>
      </c>
      <c r="B550" s="16" t="n">
        <v>-0.2606</v>
      </c>
      <c r="C550" s="16" t="n">
        <v>-0.129</v>
      </c>
      <c r="D550" s="16" t="n">
        <v>-0.0667</v>
      </c>
      <c r="E550" s="16" t="n">
        <v>-0.1022</v>
      </c>
      <c r="F550" s="16" t="n">
        <v>-0.0713</v>
      </c>
      <c r="G550" s="16" t="n">
        <v>-0.0601</v>
      </c>
      <c r="H550" s="16" t="n">
        <v>-0.0263</v>
      </c>
      <c r="I550" s="16" t="n">
        <v>-0.0715</v>
      </c>
      <c r="J550" s="16" t="n">
        <v>-0.1203</v>
      </c>
      <c r="K550" s="16" t="n">
        <v>-0.1523</v>
      </c>
      <c r="L550" s="16" t="n">
        <v>0.0078</v>
      </c>
    </row>
    <row r="551" customFormat="false" ht="30" hidden="false" customHeight="true" outlineLevel="0" collapsed="false">
      <c r="A551" s="3" t="s">
        <v>670</v>
      </c>
      <c r="B551" s="17" t="n">
        <v>-0.2591</v>
      </c>
      <c r="C551" s="17" t="n">
        <v>-0.2515</v>
      </c>
      <c r="D551" s="17" t="n">
        <v>-0.2314</v>
      </c>
      <c r="E551" s="17" t="n">
        <v>-0.1861</v>
      </c>
      <c r="F551" s="17" t="n">
        <v>-0.1416</v>
      </c>
      <c r="G551" s="17" t="n">
        <v>-0.1677</v>
      </c>
      <c r="H551" s="17" t="n">
        <v>-0.1504</v>
      </c>
      <c r="I551" s="17" t="n">
        <v>-0.1435</v>
      </c>
      <c r="J551" s="17" t="n">
        <v>-0.1609</v>
      </c>
      <c r="K551" s="17" t="n">
        <v>-0.152</v>
      </c>
      <c r="L551" s="17" t="n">
        <v>0.0784</v>
      </c>
    </row>
    <row r="552" customFormat="false" ht="30" hidden="false" customHeight="true" outlineLevel="0" collapsed="false">
      <c r="A552" s="2" t="s">
        <v>113</v>
      </c>
      <c r="B552" s="16" t="n">
        <v>-0.2025</v>
      </c>
      <c r="C552" s="16" t="n">
        <v>-0.1759</v>
      </c>
      <c r="D552" s="16" t="n">
        <v>-0.1253</v>
      </c>
      <c r="E552" s="16" t="n">
        <v>-0.0544</v>
      </c>
      <c r="F552" s="16" t="n">
        <v>-0.0902</v>
      </c>
      <c r="G552" s="16" t="n">
        <v>-0.0738</v>
      </c>
      <c r="H552" s="16" t="n">
        <v>-0.0081</v>
      </c>
      <c r="I552" s="16" t="n">
        <v>-0.0545</v>
      </c>
      <c r="J552" s="16" t="n">
        <v>-0.086</v>
      </c>
      <c r="K552" s="16" t="n">
        <v>-0.0762</v>
      </c>
      <c r="L552" s="16" t="n">
        <v>0.0726</v>
      </c>
    </row>
    <row r="553" customFormat="false" ht="30" hidden="false" customHeight="true" outlineLevel="0" collapsed="false">
      <c r="A553" s="3" t="s">
        <v>80</v>
      </c>
      <c r="B553" s="17" t="n">
        <v>0.0423</v>
      </c>
      <c r="C553" s="17" t="n">
        <v>0.0907</v>
      </c>
      <c r="D553" s="17" t="n">
        <v>0.0445</v>
      </c>
      <c r="E553" s="17" t="n">
        <v>0.0361</v>
      </c>
      <c r="F553" s="17" t="n">
        <v>0.0258</v>
      </c>
      <c r="G553" s="17" t="n">
        <v>0.0139</v>
      </c>
      <c r="H553" s="17" t="n">
        <v>0.0232</v>
      </c>
      <c r="I553" s="17" t="n">
        <v>-0.0074</v>
      </c>
      <c r="J553" s="17" t="n">
        <v>0.0065</v>
      </c>
      <c r="K553" s="17" t="n">
        <v>0.008</v>
      </c>
      <c r="L553" s="17" t="n">
        <v>-0.0508</v>
      </c>
    </row>
    <row r="554" customFormat="false" ht="30" hidden="false" customHeight="true" outlineLevel="0" collapsed="false">
      <c r="A554" s="2" t="s">
        <v>671</v>
      </c>
      <c r="B554" s="16" t="n">
        <v>-0.0935</v>
      </c>
      <c r="C554" s="16" t="n">
        <v>-0.0981</v>
      </c>
      <c r="D554" s="16" t="n">
        <v>-0.0627</v>
      </c>
      <c r="E554" s="16" t="n">
        <v>-0.113</v>
      </c>
      <c r="F554" s="16" t="n">
        <v>-0.0935</v>
      </c>
      <c r="G554" s="16" t="n">
        <v>-0.0807</v>
      </c>
      <c r="H554" s="16" t="n">
        <v>-0.0508</v>
      </c>
      <c r="I554" s="16" t="n">
        <v>-0.081</v>
      </c>
      <c r="J554" s="16" t="n">
        <v>-0.0586</v>
      </c>
      <c r="K554" s="16" t="n">
        <v>-0.1205</v>
      </c>
      <c r="L554" s="16" t="n">
        <v>-0.0216</v>
      </c>
    </row>
    <row r="555" customFormat="false" ht="30" hidden="false" customHeight="true" outlineLevel="0" collapsed="false">
      <c r="A555" s="3" t="s">
        <v>108</v>
      </c>
      <c r="B555" s="17" t="n">
        <v>-0.259</v>
      </c>
      <c r="C555" s="17" t="n">
        <v>-0.1622</v>
      </c>
      <c r="D555" s="17" t="n">
        <v>-0.0947</v>
      </c>
      <c r="E555" s="17" t="n">
        <v>-0.1666</v>
      </c>
      <c r="F555" s="17" t="n">
        <v>-0.0881</v>
      </c>
      <c r="G555" s="17" t="n">
        <v>-0.0856</v>
      </c>
      <c r="H555" s="17" t="n">
        <v>-0.0986</v>
      </c>
      <c r="I555" s="17" t="n">
        <v>-0.0939</v>
      </c>
      <c r="J555" s="17" t="n">
        <v>-0.114</v>
      </c>
      <c r="K555" s="17" t="n">
        <v>-0.0558</v>
      </c>
      <c r="L555" s="17" t="n">
        <v>0.0434</v>
      </c>
    </row>
    <row r="556" customFormat="false" ht="30" hidden="false" customHeight="true" outlineLevel="0" collapsed="false">
      <c r="A556" s="2" t="s">
        <v>672</v>
      </c>
      <c r="B556" s="16" t="n">
        <v>0.4466</v>
      </c>
      <c r="C556" s="16" t="n">
        <v>0.1451</v>
      </c>
      <c r="D556" s="16" t="n">
        <v>0.1507</v>
      </c>
      <c r="E556" s="16" t="n">
        <v>0.1167</v>
      </c>
      <c r="F556" s="16" t="n">
        <v>0.1298</v>
      </c>
      <c r="G556" s="16" t="n">
        <v>0.1092</v>
      </c>
      <c r="H556" s="16" t="n">
        <v>0.0952</v>
      </c>
      <c r="I556" s="16" t="n">
        <v>0.0888</v>
      </c>
      <c r="J556" s="16" t="n">
        <v>0.0425</v>
      </c>
      <c r="K556" s="16" t="n">
        <v>0.0547</v>
      </c>
      <c r="L556" s="16" t="n">
        <v>-0.118</v>
      </c>
    </row>
    <row r="557" customFormat="false" ht="30" hidden="false" customHeight="true" outlineLevel="0" collapsed="false">
      <c r="A557" s="3" t="s">
        <v>673</v>
      </c>
      <c r="B557" s="17" t="n">
        <v>0.4506</v>
      </c>
      <c r="C557" s="17" t="n">
        <v>0.3606</v>
      </c>
      <c r="D557" s="17" t="n">
        <v>0.3287</v>
      </c>
      <c r="E557" s="17" t="n">
        <v>0.215</v>
      </c>
      <c r="F557" s="17" t="n">
        <v>0.2137</v>
      </c>
      <c r="G557" s="17" t="n">
        <v>0.1551</v>
      </c>
      <c r="H557" s="17" t="n">
        <v>0.0975</v>
      </c>
      <c r="I557" s="17" t="n">
        <v>0.0462</v>
      </c>
      <c r="J557" s="17" t="n">
        <v>0.0296</v>
      </c>
      <c r="K557" s="17" t="n">
        <v>-0.0012</v>
      </c>
      <c r="L557" s="17" t="n">
        <v>-0.3436</v>
      </c>
    </row>
    <row r="558" customFormat="false" ht="30" hidden="false" customHeight="true" outlineLevel="0" collapsed="false">
      <c r="A558" s="2" t="s">
        <v>674</v>
      </c>
      <c r="B558" s="16" t="n">
        <v>0.2321</v>
      </c>
      <c r="C558" s="16" t="n">
        <v>0.1643</v>
      </c>
      <c r="D558" s="16" t="n">
        <v>0.1124</v>
      </c>
      <c r="E558" s="16" t="n">
        <v>0.0996</v>
      </c>
      <c r="F558" s="16" t="n">
        <v>0.0899</v>
      </c>
      <c r="G558" s="16" t="n">
        <v>0.0699</v>
      </c>
      <c r="H558" s="16" t="n">
        <v>0.0195</v>
      </c>
      <c r="I558" s="16" t="n">
        <v>0.0445</v>
      </c>
      <c r="J558" s="16" t="n">
        <v>0.0139</v>
      </c>
      <c r="K558" s="16" t="n">
        <v>0.0177</v>
      </c>
      <c r="L558" s="16" t="n">
        <v>-0.1254</v>
      </c>
    </row>
    <row r="559" customFormat="false" ht="30" hidden="false" customHeight="true" outlineLevel="0" collapsed="false">
      <c r="A559" s="3" t="s">
        <v>675</v>
      </c>
      <c r="B559" s="17" t="n">
        <v>-0.0611</v>
      </c>
      <c r="C559" s="17" t="n">
        <v>-0.0175</v>
      </c>
      <c r="D559" s="17" t="n">
        <v>-0.0672</v>
      </c>
      <c r="E559" s="17" t="n">
        <v>-0.0117</v>
      </c>
      <c r="F559" s="17" t="n">
        <v>-0.0023</v>
      </c>
      <c r="G559" s="17" t="n">
        <v>0.0113</v>
      </c>
      <c r="H559" s="17" t="n">
        <v>0.017</v>
      </c>
      <c r="I559" s="17" t="n">
        <v>0.0098</v>
      </c>
      <c r="J559" s="17" t="n">
        <v>0.0179</v>
      </c>
      <c r="K559" s="17" t="n">
        <v>0.0306</v>
      </c>
      <c r="L559" s="17" t="n">
        <v>0.054</v>
      </c>
    </row>
    <row r="560" customFormat="false" ht="30" hidden="false" customHeight="true" outlineLevel="0" collapsed="false">
      <c r="A560" s="2" t="s">
        <v>676</v>
      </c>
      <c r="B560" s="16" t="n">
        <v>0.1245</v>
      </c>
      <c r="C560" s="16" t="n">
        <v>0.1313</v>
      </c>
      <c r="D560" s="16" t="n">
        <v>0.1066</v>
      </c>
      <c r="E560" s="16" t="n">
        <v>0.1094</v>
      </c>
      <c r="F560" s="16" t="n">
        <v>0.0995</v>
      </c>
      <c r="G560" s="16" t="n">
        <v>0.0821</v>
      </c>
      <c r="H560" s="16" t="n">
        <v>0.06</v>
      </c>
      <c r="I560" s="16" t="n">
        <v>0.0619</v>
      </c>
      <c r="J560" s="16" t="n">
        <v>0.0692</v>
      </c>
      <c r="K560" s="16" t="n">
        <v>0.0563</v>
      </c>
      <c r="L560" s="16" t="n">
        <v>-0.0561</v>
      </c>
    </row>
    <row r="561" customFormat="false" ht="30" hidden="false" customHeight="true" outlineLevel="0" collapsed="false">
      <c r="A561" s="3" t="s">
        <v>677</v>
      </c>
      <c r="B561" s="17" t="n">
        <v>0.2513</v>
      </c>
      <c r="C561" s="17" t="n">
        <v>0.0949</v>
      </c>
      <c r="D561" s="17" t="n">
        <v>0.047</v>
      </c>
      <c r="E561" s="17" t="n">
        <v>0.0517</v>
      </c>
      <c r="F561" s="17" t="n">
        <v>0.0389</v>
      </c>
      <c r="G561" s="17" t="n">
        <v>0.0285</v>
      </c>
      <c r="H561" s="17" t="n">
        <v>0.0274</v>
      </c>
      <c r="I561" s="17" t="n">
        <v>0.02</v>
      </c>
      <c r="J561" s="17" t="n">
        <v>0.0216</v>
      </c>
      <c r="K561" s="17" t="n">
        <v>0.002</v>
      </c>
      <c r="L561" s="17" t="n">
        <v>-0.0911</v>
      </c>
    </row>
    <row r="562" customFormat="false" ht="30" hidden="false" customHeight="true" outlineLevel="0" collapsed="false">
      <c r="A562" s="2" t="s">
        <v>678</v>
      </c>
      <c r="B562" s="16" t="n">
        <v>0.0888</v>
      </c>
      <c r="C562" s="16" t="n">
        <v>0.0916</v>
      </c>
      <c r="D562" s="16" t="n">
        <v>0.0588</v>
      </c>
      <c r="E562" s="16" t="n">
        <v>0.049</v>
      </c>
      <c r="F562" s="16" t="n">
        <v>0.0382</v>
      </c>
      <c r="G562" s="16" t="n">
        <v>0.0574</v>
      </c>
      <c r="H562" s="16" t="n">
        <v>0.0259</v>
      </c>
      <c r="I562" s="16" t="n">
        <v>0.0286</v>
      </c>
      <c r="J562" s="16" t="n">
        <v>0.0339</v>
      </c>
      <c r="K562" s="16" t="n">
        <v>0.0468</v>
      </c>
      <c r="L562" s="16" t="n">
        <v>-0.0483</v>
      </c>
    </row>
    <row r="563" customFormat="false" ht="30" hidden="false" customHeight="true" outlineLevel="0" collapsed="false">
      <c r="A563" s="3" t="s">
        <v>679</v>
      </c>
      <c r="B563" s="17" t="n">
        <v>-0.1333</v>
      </c>
      <c r="C563" s="17" t="n">
        <v>-0.0669</v>
      </c>
      <c r="D563" s="17" t="n">
        <v>-0.0398</v>
      </c>
      <c r="E563" s="17" t="n">
        <v>-0.014</v>
      </c>
      <c r="F563" s="17" t="n">
        <v>-0.026</v>
      </c>
      <c r="G563" s="17" t="n">
        <v>-0.009</v>
      </c>
      <c r="H563" s="17" t="n">
        <v>-0.0119</v>
      </c>
      <c r="I563" s="17" t="n">
        <v>-0.0193</v>
      </c>
      <c r="J563" s="17" t="n">
        <v>-0.0077</v>
      </c>
      <c r="K563" s="17" t="n">
        <v>-0.0383</v>
      </c>
      <c r="L563" s="17" t="n">
        <v>0.0258</v>
      </c>
    </row>
    <row r="564" customFormat="false" ht="30" hidden="false" customHeight="true" outlineLevel="0" collapsed="false">
      <c r="A564" s="2" t="s">
        <v>680</v>
      </c>
      <c r="B564" s="16" t="n">
        <v>0.0492</v>
      </c>
      <c r="C564" s="16" t="n">
        <v>0.07</v>
      </c>
      <c r="D564" s="16" t="n">
        <v>0.0523</v>
      </c>
      <c r="E564" s="16" t="n">
        <v>0.0643</v>
      </c>
      <c r="F564" s="16" t="n">
        <v>0.0487</v>
      </c>
      <c r="G564" s="16" t="n">
        <v>0.0567</v>
      </c>
      <c r="H564" s="16" t="n">
        <v>0.0495</v>
      </c>
      <c r="I564" s="16" t="n">
        <v>0.0482</v>
      </c>
      <c r="J564" s="16" t="n">
        <v>0.0561</v>
      </c>
      <c r="K564" s="16" t="n">
        <v>0.0649</v>
      </c>
      <c r="L564" s="16" t="n">
        <v>0.0039</v>
      </c>
    </row>
    <row r="565" customFormat="false" ht="30" hidden="false" customHeight="true" outlineLevel="0" collapsed="false">
      <c r="A565" s="3" t="s">
        <v>81</v>
      </c>
      <c r="B565" s="17" t="n">
        <v>0.0129</v>
      </c>
      <c r="C565" s="17" t="n">
        <v>-0.0145</v>
      </c>
      <c r="D565" s="17" t="n">
        <v>0.0213</v>
      </c>
      <c r="E565" s="17" t="n">
        <v>0.0322</v>
      </c>
      <c r="F565" s="17" t="n">
        <v>0.0337</v>
      </c>
      <c r="G565" s="17" t="n">
        <v>0.0457</v>
      </c>
      <c r="H565" s="17" t="n">
        <v>0.0415</v>
      </c>
      <c r="I565" s="17" t="n">
        <v>0.0465</v>
      </c>
      <c r="J565" s="17" t="n">
        <v>0.0552</v>
      </c>
      <c r="K565" s="17" t="n">
        <v>0.0536</v>
      </c>
      <c r="L565" s="17" t="n">
        <v>0.0297</v>
      </c>
    </row>
    <row r="566" customFormat="false" ht="30" hidden="false" customHeight="true" outlineLevel="0" collapsed="false">
      <c r="A566" s="2" t="s">
        <v>681</v>
      </c>
      <c r="B566" s="16" t="n">
        <v>0.0211</v>
      </c>
      <c r="C566" s="16" t="n">
        <v>-0.014</v>
      </c>
      <c r="D566" s="16" t="n">
        <v>-0.0005</v>
      </c>
      <c r="E566" s="16" t="n">
        <v>-0.0248</v>
      </c>
      <c r="F566" s="16" t="n">
        <v>-0.0163</v>
      </c>
      <c r="G566" s="16" t="n">
        <v>-0.0436</v>
      </c>
      <c r="H566" s="16" t="n">
        <v>-0.0491</v>
      </c>
      <c r="I566" s="16" t="n">
        <v>-0.06</v>
      </c>
      <c r="J566" s="16" t="n">
        <v>-0.0796</v>
      </c>
      <c r="K566" s="16" t="n">
        <v>-0.0664</v>
      </c>
      <c r="L566" s="16" t="n">
        <v>-0.0531</v>
      </c>
    </row>
    <row r="567" customFormat="false" ht="30" hidden="false" customHeight="true" outlineLevel="0" collapsed="false">
      <c r="A567" s="3" t="s">
        <v>682</v>
      </c>
      <c r="B567" s="17" t="n">
        <v>0.0143</v>
      </c>
      <c r="C567" s="17" t="n">
        <v>0.0159</v>
      </c>
      <c r="D567" s="17" t="n">
        <v>0.0188</v>
      </c>
      <c r="E567" s="17" t="n">
        <v>0.0158</v>
      </c>
      <c r="F567" s="17" t="n">
        <v>0.0307</v>
      </c>
      <c r="G567" s="17" t="n">
        <v>0.0491</v>
      </c>
      <c r="H567" s="17" t="n">
        <v>0.0554</v>
      </c>
      <c r="I567" s="17" t="n">
        <v>0.0408</v>
      </c>
      <c r="J567" s="17" t="n">
        <v>0.0604</v>
      </c>
      <c r="K567" s="17" t="n">
        <v>0.0845</v>
      </c>
      <c r="L567" s="17" t="n">
        <v>0.037</v>
      </c>
    </row>
    <row r="568" customFormat="false" ht="30" hidden="false" customHeight="true" outlineLevel="0" collapsed="false">
      <c r="A568" s="2" t="s">
        <v>683</v>
      </c>
      <c r="B568" s="16" t="n">
        <v>0.0495</v>
      </c>
      <c r="C568" s="16" t="n">
        <v>0.0493</v>
      </c>
      <c r="D568" s="16" t="n">
        <v>0.0449</v>
      </c>
      <c r="E568" s="16" t="n">
        <v>0.0498</v>
      </c>
      <c r="F568" s="16" t="n">
        <v>0.0546</v>
      </c>
      <c r="G568" s="16" t="n">
        <v>0.0515</v>
      </c>
      <c r="H568" s="16" t="n">
        <v>0.0872</v>
      </c>
      <c r="I568" s="16" t="n">
        <v>0.1133</v>
      </c>
      <c r="J568" s="16" t="n">
        <v>0.1017</v>
      </c>
      <c r="K568" s="16" t="n">
        <v>0.0864</v>
      </c>
      <c r="L568" s="16" t="n">
        <v>0.0358</v>
      </c>
    </row>
    <row r="569" customFormat="false" ht="30" hidden="false" customHeight="true" outlineLevel="0" collapsed="false">
      <c r="A569" s="3" t="s">
        <v>684</v>
      </c>
      <c r="B569" s="17" t="n">
        <v>0.0069</v>
      </c>
      <c r="C569" s="17" t="n">
        <v>0.0071</v>
      </c>
      <c r="D569" s="17" t="n">
        <v>0.0271</v>
      </c>
      <c r="E569" s="17" t="n">
        <v>-0.0001</v>
      </c>
      <c r="F569" s="17" t="n">
        <v>0.012</v>
      </c>
      <c r="G569" s="17" t="n">
        <v>0.0168</v>
      </c>
      <c r="H569" s="17" t="n">
        <v>0.0275</v>
      </c>
      <c r="I569" s="17" t="n">
        <v>0.0623</v>
      </c>
      <c r="J569" s="17" t="n">
        <v>0.0357</v>
      </c>
      <c r="K569" s="17" t="n">
        <v>0.0684</v>
      </c>
      <c r="L569" s="17" t="n">
        <v>0.0319</v>
      </c>
    </row>
    <row r="570" customFormat="false" ht="30" hidden="false" customHeight="true" outlineLevel="0" collapsed="false">
      <c r="A570" s="2" t="s">
        <v>685</v>
      </c>
      <c r="B570" s="16" t="n">
        <v>-0.0862</v>
      </c>
      <c r="C570" s="16" t="n">
        <v>-0.0755</v>
      </c>
      <c r="D570" s="16" t="n">
        <v>-0.0786</v>
      </c>
      <c r="E570" s="16" t="n">
        <v>-0.0633</v>
      </c>
      <c r="F570" s="16" t="n">
        <v>-0.079</v>
      </c>
      <c r="G570" s="16" t="n">
        <v>-0.0885</v>
      </c>
      <c r="H570" s="16" t="n">
        <v>-0.0809</v>
      </c>
      <c r="I570" s="16" t="n">
        <v>-0.083</v>
      </c>
      <c r="J570" s="16" t="n">
        <v>-0.0743</v>
      </c>
      <c r="K570" s="16" t="n">
        <v>-0.0991</v>
      </c>
      <c r="L570" s="16" t="n">
        <v>-0.0018</v>
      </c>
    </row>
    <row r="571" customFormat="false" ht="30" hidden="false" customHeight="true" outlineLevel="0" collapsed="false">
      <c r="A571" s="3" t="s">
        <v>686</v>
      </c>
      <c r="B571" s="17" t="n">
        <v>-0.0647</v>
      </c>
      <c r="C571" s="17" t="n">
        <v>-0.036</v>
      </c>
      <c r="D571" s="17" t="n">
        <v>-0.0401</v>
      </c>
      <c r="E571" s="17" t="n">
        <v>-0.03</v>
      </c>
      <c r="F571" s="17" t="n">
        <v>-0.0528</v>
      </c>
      <c r="G571" s="17" t="n">
        <v>-0.079</v>
      </c>
      <c r="H571" s="17" t="n">
        <v>-0.0733</v>
      </c>
      <c r="I571" s="17" t="n">
        <v>-0.0659</v>
      </c>
      <c r="J571" s="17" t="n">
        <v>-0.0669</v>
      </c>
      <c r="K571" s="17" t="n">
        <v>-0.1099</v>
      </c>
      <c r="L571" s="17" t="n">
        <v>-0.027</v>
      </c>
    </row>
    <row r="572" customFormat="false" ht="30" hidden="false" customHeight="true" outlineLevel="0" collapsed="false">
      <c r="A572" s="2" t="s">
        <v>687</v>
      </c>
      <c r="B572" s="16" t="n">
        <v>0.0694</v>
      </c>
      <c r="C572" s="16" t="n">
        <v>0.073</v>
      </c>
      <c r="D572" s="16" t="n">
        <v>0.0723</v>
      </c>
      <c r="E572" s="16" t="n">
        <v>0.057</v>
      </c>
      <c r="F572" s="16" t="n">
        <v>0.0557</v>
      </c>
      <c r="G572" s="16" t="n">
        <v>0.064</v>
      </c>
      <c r="H572" s="16" t="n">
        <v>0.0898</v>
      </c>
      <c r="I572" s="16" t="n">
        <v>0.0784</v>
      </c>
      <c r="J572" s="16" t="n">
        <v>0.0766</v>
      </c>
      <c r="K572" s="16" t="n">
        <v>0.1021</v>
      </c>
      <c r="L572" s="16" t="n">
        <v>0.0177</v>
      </c>
    </row>
    <row r="573" customFormat="false" ht="30" hidden="false" customHeight="true" outlineLevel="0" collapsed="false">
      <c r="A573" s="3" t="s">
        <v>688</v>
      </c>
      <c r="B573" s="17" t="n">
        <v>-0.0428</v>
      </c>
      <c r="C573" s="17" t="n">
        <v>-0.0438</v>
      </c>
      <c r="D573" s="17" t="n">
        <v>-0.0449</v>
      </c>
      <c r="E573" s="17" t="n">
        <v>-0.0616</v>
      </c>
      <c r="F573" s="17" t="n">
        <v>-0.0414</v>
      </c>
      <c r="G573" s="17" t="n">
        <v>-0.0486</v>
      </c>
      <c r="H573" s="17" t="n">
        <v>-0.0334</v>
      </c>
      <c r="I573" s="17" t="n">
        <v>-0.0422</v>
      </c>
      <c r="J573" s="17" t="n">
        <v>-0.0597</v>
      </c>
      <c r="K573" s="17" t="n">
        <v>-0.0555</v>
      </c>
      <c r="L573" s="17" t="n">
        <v>-0.0006</v>
      </c>
    </row>
    <row r="574" customFormat="false" ht="30" hidden="false" customHeight="true" outlineLevel="0" collapsed="false">
      <c r="A574" s="2" t="s">
        <v>689</v>
      </c>
      <c r="B574" s="16" t="n">
        <v>0.1098</v>
      </c>
      <c r="C574" s="16" t="n">
        <v>0.0859</v>
      </c>
      <c r="D574" s="16" t="n">
        <v>0.0967</v>
      </c>
      <c r="E574" s="16" t="n">
        <v>0.086</v>
      </c>
      <c r="F574" s="16" t="n">
        <v>0.0973</v>
      </c>
      <c r="G574" s="16" t="n">
        <v>0.074</v>
      </c>
      <c r="H574" s="16" t="n">
        <v>0.0979</v>
      </c>
      <c r="I574" s="16" t="n">
        <v>0.0979</v>
      </c>
      <c r="J574" s="16" t="n">
        <v>0.1247</v>
      </c>
      <c r="K574" s="16" t="n">
        <v>0.1366</v>
      </c>
      <c r="L574" s="16" t="n">
        <v>0.0135</v>
      </c>
    </row>
    <row r="575" customFormat="false" ht="30" hidden="false" customHeight="true" outlineLevel="0" collapsed="false">
      <c r="A575" s="3" t="s">
        <v>690</v>
      </c>
      <c r="B575" s="17" t="n">
        <v>0.0396</v>
      </c>
      <c r="C575" s="17" t="n">
        <v>0.0267</v>
      </c>
      <c r="D575" s="17" t="n">
        <v>0.0171</v>
      </c>
      <c r="E575" s="17" t="n">
        <v>0.0578</v>
      </c>
      <c r="F575" s="17" t="n">
        <v>0.0366</v>
      </c>
      <c r="G575" s="17" t="n">
        <v>0.0423</v>
      </c>
      <c r="H575" s="17" t="n">
        <v>0.0294</v>
      </c>
      <c r="I575" s="17" t="n">
        <v>0.0288</v>
      </c>
      <c r="J575" s="17" t="n">
        <v>0.0505</v>
      </c>
      <c r="K575" s="17" t="n">
        <v>0.0546</v>
      </c>
      <c r="L575" s="17" t="n">
        <v>0.015</v>
      </c>
    </row>
    <row r="576" customFormat="false" ht="30" hidden="false" customHeight="true" outlineLevel="0" collapsed="false">
      <c r="A576" s="2" t="s">
        <v>691</v>
      </c>
      <c r="B576" s="16" t="n">
        <v>-0.0112</v>
      </c>
      <c r="C576" s="16" t="n">
        <v>-0.0031</v>
      </c>
      <c r="D576" s="16" t="n">
        <v>0.0034</v>
      </c>
      <c r="E576" s="16" t="n">
        <v>-0.0118</v>
      </c>
      <c r="F576" s="16" t="n">
        <v>0.0032</v>
      </c>
      <c r="G576" s="16" t="n">
        <v>0.0042</v>
      </c>
      <c r="H576" s="16" t="n">
        <v>0.0001</v>
      </c>
      <c r="I576" s="16" t="n">
        <v>0.0236</v>
      </c>
      <c r="J576" s="16" t="n">
        <v>0.0154</v>
      </c>
      <c r="K576" s="16" t="n">
        <v>0.0617</v>
      </c>
      <c r="L576" s="16" t="n">
        <v>0.0271</v>
      </c>
    </row>
    <row r="577" customFormat="false" ht="30" hidden="false" customHeight="true" outlineLevel="0" collapsed="false">
      <c r="A577" s="3" t="s">
        <v>82</v>
      </c>
      <c r="B577" s="17" t="n">
        <v>0.1389</v>
      </c>
      <c r="C577" s="17" t="n">
        <v>0.082</v>
      </c>
      <c r="D577" s="17" t="n">
        <v>0.0693</v>
      </c>
      <c r="E577" s="17" t="n">
        <v>0.0657</v>
      </c>
      <c r="F577" s="17" t="n">
        <v>0.0732</v>
      </c>
      <c r="G577" s="17" t="n">
        <v>0.0483</v>
      </c>
      <c r="H577" s="17" t="n">
        <v>0.0557</v>
      </c>
      <c r="I577" s="17" t="n">
        <v>0.0656</v>
      </c>
      <c r="J577" s="17" t="n">
        <v>0.0597</v>
      </c>
      <c r="K577" s="17" t="n">
        <v>0.0435</v>
      </c>
      <c r="L577" s="17" t="n">
        <v>-0.03</v>
      </c>
    </row>
    <row r="578" customFormat="false" ht="30" hidden="false" customHeight="true" outlineLevel="0" collapsed="false">
      <c r="A578" s="2" t="s">
        <v>692</v>
      </c>
      <c r="B578" s="16" t="n">
        <v>0.041</v>
      </c>
      <c r="C578" s="16" t="n">
        <v>0.0291</v>
      </c>
      <c r="D578" s="16" t="n">
        <v>0.0065</v>
      </c>
      <c r="E578" s="16" t="n">
        <v>0.0327</v>
      </c>
      <c r="F578" s="16" t="n">
        <v>0.0268</v>
      </c>
      <c r="G578" s="16" t="n">
        <v>0.0007</v>
      </c>
      <c r="H578" s="16" t="n">
        <v>0.0184</v>
      </c>
      <c r="I578" s="16" t="n">
        <v>-0.007</v>
      </c>
      <c r="J578" s="16" t="n">
        <v>0.0251</v>
      </c>
      <c r="K578" s="16" t="n">
        <v>0.0063</v>
      </c>
      <c r="L578" s="16" t="n">
        <v>-0.003</v>
      </c>
    </row>
    <row r="579" customFormat="false" ht="30" hidden="false" customHeight="true" outlineLevel="0" collapsed="false">
      <c r="A579" s="3" t="s">
        <v>693</v>
      </c>
      <c r="B579" s="17" t="n">
        <v>0.0115</v>
      </c>
      <c r="C579" s="17" t="n">
        <v>0.0079</v>
      </c>
      <c r="D579" s="17" t="n">
        <v>0.0312</v>
      </c>
      <c r="E579" s="17" t="n">
        <v>0.042</v>
      </c>
      <c r="F579" s="17" t="n">
        <v>0.0325</v>
      </c>
      <c r="G579" s="17" t="n">
        <v>0.0587</v>
      </c>
      <c r="H579" s="17" t="n">
        <v>0.0576</v>
      </c>
      <c r="I579" s="17" t="n">
        <v>0.0389</v>
      </c>
      <c r="J579" s="17" t="n">
        <v>0.0338</v>
      </c>
      <c r="K579" s="17" t="n">
        <v>0.0399</v>
      </c>
      <c r="L579" s="17" t="n">
        <v>0.0189</v>
      </c>
    </row>
    <row r="580" customFormat="false" ht="30" hidden="false" customHeight="true" outlineLevel="0" collapsed="false">
      <c r="A580" s="2" t="s">
        <v>694</v>
      </c>
      <c r="B580" s="16" t="n">
        <v>-0.0172</v>
      </c>
      <c r="C580" s="16" t="n">
        <v>-0.0099</v>
      </c>
      <c r="D580" s="16" t="n">
        <v>-0.0029</v>
      </c>
      <c r="E580" s="16" t="n">
        <v>-0.0036</v>
      </c>
      <c r="F580" s="16" t="n">
        <v>0.0158</v>
      </c>
      <c r="G580" s="16" t="n">
        <v>0.0068</v>
      </c>
      <c r="H580" s="16" t="n">
        <v>0.0035</v>
      </c>
      <c r="I580" s="16" t="n">
        <v>0.0153</v>
      </c>
      <c r="J580" s="16" t="n">
        <v>0.0118</v>
      </c>
      <c r="K580" s="16" t="n">
        <v>0.0293</v>
      </c>
      <c r="L580" s="16" t="n">
        <v>0.0342</v>
      </c>
    </row>
    <row r="581" customFormat="false" ht="30" hidden="false" customHeight="true" outlineLevel="0" collapsed="false">
      <c r="A581" s="3" t="s">
        <v>695</v>
      </c>
      <c r="B581" s="17" t="n">
        <v>-0.0013</v>
      </c>
      <c r="C581" s="17" t="n">
        <v>0.0439</v>
      </c>
      <c r="D581" s="17" t="n">
        <v>0.0238</v>
      </c>
      <c r="E581" s="17" t="n">
        <v>0.0177</v>
      </c>
      <c r="F581" s="17" t="n">
        <v>0.0356</v>
      </c>
      <c r="G581" s="17" t="n">
        <v>0.0356</v>
      </c>
      <c r="H581" s="17" t="n">
        <v>0.0393</v>
      </c>
      <c r="I581" s="17" t="n">
        <v>0.0277</v>
      </c>
      <c r="J581" s="17" t="n">
        <v>0.0154</v>
      </c>
      <c r="K581" s="17" t="n">
        <v>0.0326</v>
      </c>
      <c r="L581" s="17" t="n">
        <v>0.0006</v>
      </c>
    </row>
    <row r="582" customFormat="false" ht="30" hidden="false" customHeight="true" outlineLevel="0" collapsed="false">
      <c r="A582" s="2" t="s">
        <v>696</v>
      </c>
      <c r="B582" s="16" t="n">
        <v>-0.0359</v>
      </c>
      <c r="C582" s="16" t="n">
        <v>-0.0102</v>
      </c>
      <c r="D582" s="16" t="n">
        <v>0.0019</v>
      </c>
      <c r="E582" s="16" t="n">
        <v>-0.0178</v>
      </c>
      <c r="F582" s="16" t="n">
        <v>-0.0079</v>
      </c>
      <c r="G582" s="16" t="n">
        <v>-0.0084</v>
      </c>
      <c r="H582" s="16" t="n">
        <v>-0.0114</v>
      </c>
      <c r="I582" s="16" t="n">
        <v>-0.0159</v>
      </c>
      <c r="J582" s="16" t="n">
        <v>-0.0144</v>
      </c>
      <c r="K582" s="16" t="n">
        <v>-0.029</v>
      </c>
      <c r="L582" s="16" t="n">
        <v>-0.0058</v>
      </c>
    </row>
    <row r="583" customFormat="false" ht="30" hidden="false" customHeight="true" outlineLevel="0" collapsed="false">
      <c r="A583" s="3" t="s">
        <v>697</v>
      </c>
      <c r="B583" s="17" t="n">
        <v>-0.0528</v>
      </c>
      <c r="C583" s="17" t="n">
        <v>-0.0156</v>
      </c>
      <c r="D583" s="17" t="n">
        <v>-0.0251</v>
      </c>
      <c r="E583" s="17" t="n">
        <v>-0.0179</v>
      </c>
      <c r="F583" s="17" t="n">
        <v>-0.0113</v>
      </c>
      <c r="G583" s="17" t="n">
        <v>-0.0209</v>
      </c>
      <c r="H583" s="17" t="n">
        <v>-0.0118</v>
      </c>
      <c r="I583" s="17" t="n">
        <v>-0.0204</v>
      </c>
      <c r="J583" s="17" t="n">
        <v>-0.0083</v>
      </c>
      <c r="K583" s="17" t="n">
        <v>-0.0001</v>
      </c>
      <c r="L583" s="17" t="n">
        <v>0.0182</v>
      </c>
    </row>
    <row r="584" customFormat="false" ht="30" hidden="false" customHeight="true" outlineLevel="0" collapsed="false">
      <c r="A584" s="2" t="s">
        <v>698</v>
      </c>
      <c r="B584" s="16" t="n">
        <v>-0.0417</v>
      </c>
      <c r="C584" s="16" t="n">
        <v>-0.0135</v>
      </c>
      <c r="D584" s="16" t="n">
        <v>-0.0106</v>
      </c>
      <c r="E584" s="16" t="n">
        <v>-0.0396</v>
      </c>
      <c r="F584" s="16" t="n">
        <v>-0.0405</v>
      </c>
      <c r="G584" s="16" t="n">
        <v>-0.0008</v>
      </c>
      <c r="H584" s="16" t="n">
        <v>-0.0331</v>
      </c>
      <c r="I584" s="16" t="n">
        <v>-0.0351</v>
      </c>
      <c r="J584" s="16" t="n">
        <v>-0.0171</v>
      </c>
      <c r="K584" s="16" t="n">
        <v>-0.0157</v>
      </c>
      <c r="L584" s="16" t="n">
        <v>0.0017</v>
      </c>
    </row>
    <row r="585" customFormat="false" ht="30" hidden="false" customHeight="true" outlineLevel="0" collapsed="false">
      <c r="A585" s="3" t="s">
        <v>699</v>
      </c>
      <c r="B585" s="17" t="n">
        <v>-0.139</v>
      </c>
      <c r="C585" s="17" t="n">
        <v>-0.0778</v>
      </c>
      <c r="D585" s="17" t="n">
        <v>-0.0382</v>
      </c>
      <c r="E585" s="17" t="n">
        <v>-0.0457</v>
      </c>
      <c r="F585" s="17" t="n">
        <v>-0.0482</v>
      </c>
      <c r="G585" s="17" t="n">
        <v>-0.0369</v>
      </c>
      <c r="H585" s="17" t="n">
        <v>-0.0588</v>
      </c>
      <c r="I585" s="17" t="n">
        <v>-0.0596</v>
      </c>
      <c r="J585" s="17" t="n">
        <v>-0.078</v>
      </c>
      <c r="K585" s="17" t="n">
        <v>-0.0863</v>
      </c>
      <c r="L585" s="17" t="n">
        <v>-0.0026</v>
      </c>
    </row>
    <row r="586" customFormat="false" ht="30" hidden="false" customHeight="true" outlineLevel="0" collapsed="false">
      <c r="A586" s="2" t="s">
        <v>700</v>
      </c>
      <c r="B586" s="16" t="n">
        <v>-0.1183</v>
      </c>
      <c r="C586" s="16" t="n">
        <v>-0.0773</v>
      </c>
      <c r="D586" s="16" t="n">
        <v>-0.0653</v>
      </c>
      <c r="E586" s="16" t="n">
        <v>-0.0511</v>
      </c>
      <c r="F586" s="16" t="n">
        <v>-0.0687</v>
      </c>
      <c r="G586" s="16" t="n">
        <v>-0.0691</v>
      </c>
      <c r="H586" s="16" t="n">
        <v>-0.0636</v>
      </c>
      <c r="I586" s="16" t="n">
        <v>-0.0927</v>
      </c>
      <c r="J586" s="16" t="n">
        <v>-0.0756</v>
      </c>
      <c r="K586" s="16" t="n">
        <v>-0.1566</v>
      </c>
      <c r="L586" s="16" t="n">
        <v>-0.0236</v>
      </c>
    </row>
    <row r="587" customFormat="false" ht="30" hidden="false" customHeight="true" outlineLevel="0" collapsed="false">
      <c r="A587" s="3" t="s">
        <v>701</v>
      </c>
      <c r="B587" s="17" t="n">
        <v>0.1584</v>
      </c>
      <c r="C587" s="17" t="n">
        <v>0.1673</v>
      </c>
      <c r="D587" s="17" t="n">
        <v>0.1323</v>
      </c>
      <c r="E587" s="17" t="n">
        <v>0.1231</v>
      </c>
      <c r="F587" s="17" t="n">
        <v>0.1124</v>
      </c>
      <c r="G587" s="17" t="n">
        <v>0.0861</v>
      </c>
      <c r="H587" s="17" t="n">
        <v>0.1123</v>
      </c>
      <c r="I587" s="17" t="n">
        <v>0.0919</v>
      </c>
      <c r="J587" s="17" t="n">
        <v>0.1018</v>
      </c>
      <c r="K587" s="17" t="n">
        <v>0.1444</v>
      </c>
      <c r="L587" s="17" t="n">
        <v>-0.0145</v>
      </c>
    </row>
    <row r="588" customFormat="false" ht="30" hidden="false" customHeight="true" outlineLevel="0" collapsed="false">
      <c r="A588" s="2" t="s">
        <v>702</v>
      </c>
      <c r="B588" s="16" t="n">
        <v>-0.077</v>
      </c>
      <c r="C588" s="16" t="n">
        <v>-0.0415</v>
      </c>
      <c r="D588" s="16" t="n">
        <v>-0.0061</v>
      </c>
      <c r="E588" s="16" t="n">
        <v>-0.0187</v>
      </c>
      <c r="F588" s="16" t="n">
        <v>0.0099</v>
      </c>
      <c r="G588" s="16" t="n">
        <v>0.0062</v>
      </c>
      <c r="H588" s="16" t="n">
        <v>-0.0047</v>
      </c>
      <c r="I588" s="16" t="n">
        <v>0.0191</v>
      </c>
      <c r="J588" s="16" t="n">
        <v>0.0132</v>
      </c>
      <c r="K588" s="16" t="n">
        <v>-0.0136</v>
      </c>
      <c r="L588" s="16" t="n">
        <v>0.0385</v>
      </c>
    </row>
    <row r="589" customFormat="false" ht="30" hidden="false" customHeight="true" outlineLevel="0" collapsed="false">
      <c r="A589" s="3" t="s">
        <v>83</v>
      </c>
      <c r="B589" s="17" t="n">
        <v>-0.0312</v>
      </c>
      <c r="C589" s="17" t="n">
        <v>-0.0174</v>
      </c>
      <c r="D589" s="17" t="n">
        <v>-0.0202</v>
      </c>
      <c r="E589" s="17" t="n">
        <v>0.0169</v>
      </c>
      <c r="F589" s="17" t="n">
        <v>-0.0047</v>
      </c>
      <c r="G589" s="17" t="n">
        <v>0.0281</v>
      </c>
      <c r="H589" s="17" t="n">
        <v>0.0148</v>
      </c>
      <c r="I589" s="17" t="n">
        <v>-0.0007</v>
      </c>
      <c r="J589" s="17" t="n">
        <v>0.0173</v>
      </c>
      <c r="K589" s="17" t="n">
        <v>-0.0118</v>
      </c>
      <c r="L589" s="17" t="n">
        <v>0.0183</v>
      </c>
    </row>
    <row r="590" customFormat="false" ht="30" hidden="false" customHeight="true" outlineLevel="0" collapsed="false">
      <c r="A590" s="2" t="s">
        <v>703</v>
      </c>
      <c r="B590" s="16" t="n">
        <v>0.1845</v>
      </c>
      <c r="C590" s="16" t="n">
        <v>0.1021</v>
      </c>
      <c r="D590" s="16" t="n">
        <v>0.108</v>
      </c>
      <c r="E590" s="16" t="n">
        <v>0.0807</v>
      </c>
      <c r="F590" s="16" t="n">
        <v>0.0803</v>
      </c>
      <c r="G590" s="16" t="n">
        <v>0.0389</v>
      </c>
      <c r="H590" s="16" t="n">
        <v>0.0315</v>
      </c>
      <c r="I590" s="16" t="n">
        <v>0.0219</v>
      </c>
      <c r="J590" s="16" t="n">
        <v>0.0349</v>
      </c>
      <c r="K590" s="16" t="n">
        <v>0.0263</v>
      </c>
      <c r="L590" s="16" t="n">
        <v>-0.0801</v>
      </c>
    </row>
    <row r="591" customFormat="false" ht="30" hidden="false" customHeight="true" outlineLevel="0" collapsed="false">
      <c r="A591" s="3" t="s">
        <v>704</v>
      </c>
      <c r="B591" s="17" t="n">
        <v>0.0638</v>
      </c>
      <c r="C591" s="17" t="n">
        <v>0.0519</v>
      </c>
      <c r="D591" s="17" t="n">
        <v>0.0453</v>
      </c>
      <c r="E591" s="17" t="n">
        <v>0.0382</v>
      </c>
      <c r="F591" s="17" t="n">
        <v>0.0369</v>
      </c>
      <c r="G591" s="17" t="n">
        <v>0.05</v>
      </c>
      <c r="H591" s="17" t="n">
        <v>0.0369</v>
      </c>
      <c r="I591" s="17" t="n">
        <v>0.0272</v>
      </c>
      <c r="J591" s="17" t="n">
        <v>0.0564</v>
      </c>
      <c r="K591" s="17" t="n">
        <v>0.058</v>
      </c>
      <c r="L591" s="17" t="n">
        <v>-0.0026</v>
      </c>
    </row>
    <row r="592" customFormat="false" ht="30" hidden="false" customHeight="true" outlineLevel="0" collapsed="false">
      <c r="A592" s="2" t="s">
        <v>705</v>
      </c>
      <c r="B592" s="16" t="n">
        <v>0.0415</v>
      </c>
      <c r="C592" s="16" t="n">
        <v>0.0228</v>
      </c>
      <c r="D592" s="16" t="n">
        <v>0.0221</v>
      </c>
      <c r="E592" s="16" t="n">
        <v>0.0191</v>
      </c>
      <c r="F592" s="16" t="n">
        <v>0.0354</v>
      </c>
      <c r="G592" s="16" t="n">
        <v>0.0155</v>
      </c>
      <c r="H592" s="16" t="n">
        <v>0.0247</v>
      </c>
      <c r="I592" s="16" t="n">
        <v>0.0323</v>
      </c>
      <c r="J592" s="16" t="n">
        <v>0.0405</v>
      </c>
      <c r="K592" s="16" t="n">
        <v>0.0508</v>
      </c>
      <c r="L592" s="16" t="n">
        <v>0.0132</v>
      </c>
    </row>
    <row r="593" customFormat="false" ht="30" hidden="false" customHeight="true" outlineLevel="0" collapsed="false">
      <c r="A593" s="3" t="s">
        <v>706</v>
      </c>
      <c r="B593" s="17" t="n">
        <v>-0.0632</v>
      </c>
      <c r="C593" s="17" t="n">
        <v>-0.0616</v>
      </c>
      <c r="D593" s="17" t="n">
        <v>-0.0167</v>
      </c>
      <c r="E593" s="17" t="n">
        <v>-0.0216</v>
      </c>
      <c r="F593" s="17" t="n">
        <v>-0.0156</v>
      </c>
      <c r="G593" s="17" t="n">
        <v>-0.0086</v>
      </c>
      <c r="H593" s="17" t="n">
        <v>-0.0012</v>
      </c>
      <c r="I593" s="17" t="n">
        <v>-0.0005</v>
      </c>
      <c r="J593" s="17" t="n">
        <v>0.0028</v>
      </c>
      <c r="K593" s="17" t="n">
        <v>0.0037</v>
      </c>
      <c r="L593" s="17" t="n">
        <v>0.0378</v>
      </c>
    </row>
    <row r="594" customFormat="false" ht="30" hidden="false" customHeight="true" outlineLevel="0" collapsed="false">
      <c r="A594" s="2" t="s">
        <v>707</v>
      </c>
      <c r="B594" s="16" t="n">
        <v>-0.1302</v>
      </c>
      <c r="C594" s="16" t="n">
        <v>-0.1269</v>
      </c>
      <c r="D594" s="16" t="n">
        <v>-0.1107</v>
      </c>
      <c r="E594" s="16" t="n">
        <v>-0.0819</v>
      </c>
      <c r="F594" s="16" t="n">
        <v>-0.0651</v>
      </c>
      <c r="G594" s="16" t="n">
        <v>-0.0658</v>
      </c>
      <c r="H594" s="16" t="n">
        <v>-0.0569</v>
      </c>
      <c r="I594" s="16" t="n">
        <v>-0.0201</v>
      </c>
      <c r="J594" s="16" t="n">
        <v>-0.0501</v>
      </c>
      <c r="K594" s="16" t="n">
        <v>-0.0479</v>
      </c>
      <c r="L594" s="16" t="n">
        <v>0.0645</v>
      </c>
    </row>
    <row r="595" customFormat="false" ht="30" hidden="false" customHeight="true" outlineLevel="0" collapsed="false">
      <c r="A595" s="3" t="s">
        <v>708</v>
      </c>
      <c r="B595" s="17" t="n">
        <v>0.0355</v>
      </c>
      <c r="C595" s="17" t="n">
        <v>0.0293</v>
      </c>
      <c r="D595" s="17" t="n">
        <v>0.0475</v>
      </c>
      <c r="E595" s="17" t="n">
        <v>0.0398</v>
      </c>
      <c r="F595" s="17" t="n">
        <v>0.0346</v>
      </c>
      <c r="G595" s="17" t="n">
        <v>0.0447</v>
      </c>
      <c r="H595" s="17" t="n">
        <v>0.0611</v>
      </c>
      <c r="I595" s="17" t="n">
        <v>0.0359</v>
      </c>
      <c r="J595" s="17" t="n">
        <v>0.0413</v>
      </c>
      <c r="K595" s="17" t="n">
        <v>0.0193</v>
      </c>
      <c r="L595" s="17" t="n">
        <v>-0.0111</v>
      </c>
    </row>
    <row r="596" customFormat="false" ht="30" hidden="false" customHeight="true" outlineLevel="0" collapsed="false">
      <c r="A596" s="2" t="s">
        <v>709</v>
      </c>
      <c r="B596" s="16" t="n">
        <v>-0.0199</v>
      </c>
      <c r="C596" s="16" t="n">
        <v>-0.0261</v>
      </c>
      <c r="D596" s="16" t="n">
        <v>-0.0015</v>
      </c>
      <c r="E596" s="16" t="n">
        <v>0.0028</v>
      </c>
      <c r="F596" s="16" t="n">
        <v>-0.0037</v>
      </c>
      <c r="G596" s="16" t="n">
        <v>0.0103</v>
      </c>
      <c r="H596" s="16" t="n">
        <v>0.0166</v>
      </c>
      <c r="I596" s="16" t="n">
        <v>-0.0058</v>
      </c>
      <c r="J596" s="16" t="n">
        <v>0.0174</v>
      </c>
      <c r="K596" s="16" t="n">
        <v>0.0251</v>
      </c>
      <c r="L596" s="16" t="n">
        <v>0.03</v>
      </c>
    </row>
    <row r="597" customFormat="false" ht="30" hidden="false" customHeight="true" outlineLevel="0" collapsed="false">
      <c r="A597" s="3" t="s">
        <v>710</v>
      </c>
      <c r="B597" s="17" t="n">
        <v>0.0221</v>
      </c>
      <c r="C597" s="17" t="n">
        <v>0.0572</v>
      </c>
      <c r="D597" s="17" t="n">
        <v>0.0438</v>
      </c>
      <c r="E597" s="17" t="n">
        <v>0.0394</v>
      </c>
      <c r="F597" s="17" t="n">
        <v>0.0503</v>
      </c>
      <c r="G597" s="17" t="n">
        <v>0.0317</v>
      </c>
      <c r="H597" s="17" t="n">
        <v>0.0208</v>
      </c>
      <c r="I597" s="17" t="n">
        <v>0.0149</v>
      </c>
      <c r="J597" s="17" t="n">
        <v>-0.005</v>
      </c>
      <c r="K597" s="17" t="n">
        <v>0.039</v>
      </c>
      <c r="L597" s="17" t="n">
        <v>-0.0234</v>
      </c>
    </row>
    <row r="598" customFormat="false" ht="30" hidden="false" customHeight="true" outlineLevel="0" collapsed="false">
      <c r="A598" s="2" t="s">
        <v>711</v>
      </c>
      <c r="B598" s="16" t="n">
        <v>0.0354</v>
      </c>
      <c r="C598" s="16" t="n">
        <v>0.0434</v>
      </c>
      <c r="D598" s="16" t="n">
        <v>0.0439</v>
      </c>
      <c r="E598" s="16" t="n">
        <v>0.0363</v>
      </c>
      <c r="F598" s="16" t="n">
        <v>0.0125</v>
      </c>
      <c r="G598" s="16" t="n">
        <v>0.0114</v>
      </c>
      <c r="H598" s="16" t="n">
        <v>0.0329</v>
      </c>
      <c r="I598" s="16" t="n">
        <v>0.0236</v>
      </c>
      <c r="J598" s="16" t="n">
        <v>0.0291</v>
      </c>
      <c r="K598" s="16" t="n">
        <v>0.0221</v>
      </c>
      <c r="L598" s="16" t="n">
        <v>-0.0114</v>
      </c>
    </row>
    <row r="599" customFormat="false" ht="30" hidden="false" customHeight="true" outlineLevel="0" collapsed="false">
      <c r="A599" s="3" t="s">
        <v>712</v>
      </c>
      <c r="B599" s="17" t="n">
        <v>-0.0405</v>
      </c>
      <c r="C599" s="17" t="n">
        <v>-0.0035</v>
      </c>
      <c r="D599" s="17" t="n">
        <v>-0.0023</v>
      </c>
      <c r="E599" s="17" t="n">
        <v>-0.0119</v>
      </c>
      <c r="F599" s="17" t="n">
        <v>-0.0073</v>
      </c>
      <c r="G599" s="17" t="n">
        <v>-0.0176</v>
      </c>
      <c r="H599" s="17" t="n">
        <v>-0.0296</v>
      </c>
      <c r="I599" s="17" t="n">
        <v>-0.01</v>
      </c>
      <c r="J599" s="17" t="n">
        <v>-0.0071</v>
      </c>
      <c r="K599" s="17" t="n">
        <v>-0.0593</v>
      </c>
      <c r="L599" s="17" t="n">
        <v>0.0007</v>
      </c>
    </row>
    <row r="600" customFormat="false" ht="30" hidden="false" customHeight="true" outlineLevel="0" collapsed="false">
      <c r="A600" s="2" t="s">
        <v>713</v>
      </c>
      <c r="B600" s="16" t="n">
        <v>-0.0165</v>
      </c>
      <c r="C600" s="16" t="n">
        <v>0.004</v>
      </c>
      <c r="D600" s="16" t="n">
        <v>0.0016</v>
      </c>
      <c r="E600" s="16" t="n">
        <v>0.0121</v>
      </c>
      <c r="F600" s="16" t="n">
        <v>0.0058</v>
      </c>
      <c r="G600" s="16" t="n">
        <v>-0.0012</v>
      </c>
      <c r="H600" s="16" t="n">
        <v>0.0125</v>
      </c>
      <c r="I600" s="16" t="n">
        <v>0.0089</v>
      </c>
      <c r="J600" s="16" t="n">
        <v>0.0086</v>
      </c>
      <c r="K600" s="16" t="n">
        <v>0.0167</v>
      </c>
      <c r="L600" s="16" t="n">
        <v>0.0053</v>
      </c>
    </row>
    <row r="601" customFormat="false" ht="30" hidden="false" customHeight="true" outlineLevel="0" collapsed="false">
      <c r="A601" s="3" t="s">
        <v>84</v>
      </c>
      <c r="B601" s="17" t="n">
        <v>0.0623</v>
      </c>
      <c r="C601" s="17" t="n">
        <v>0.0377</v>
      </c>
      <c r="D601" s="17" t="n">
        <v>0.0343</v>
      </c>
      <c r="E601" s="17" t="n">
        <v>0.0189</v>
      </c>
      <c r="F601" s="17" t="n">
        <v>0.0254</v>
      </c>
      <c r="G601" s="17" t="n">
        <v>-0.0048</v>
      </c>
      <c r="H601" s="17" t="n">
        <v>0.0063</v>
      </c>
      <c r="I601" s="17" t="n">
        <v>0.0059</v>
      </c>
      <c r="J601" s="17" t="n">
        <v>-0.0023</v>
      </c>
      <c r="K601" s="17" t="n">
        <v>0.019</v>
      </c>
      <c r="L601" s="17" t="n">
        <v>-0.0293</v>
      </c>
    </row>
    <row r="602" customFormat="false" ht="30" hidden="false" customHeight="true" outlineLevel="0" collapsed="false">
      <c r="A602" s="2" t="s">
        <v>714</v>
      </c>
      <c r="B602" s="16" t="n">
        <v>0.0925</v>
      </c>
      <c r="C602" s="16" t="n">
        <v>0.0748</v>
      </c>
      <c r="D602" s="16" t="n">
        <v>0.0643</v>
      </c>
      <c r="E602" s="16" t="n">
        <v>0.0576</v>
      </c>
      <c r="F602" s="16" t="n">
        <v>0.0594</v>
      </c>
      <c r="G602" s="16" t="n">
        <v>0.0697</v>
      </c>
      <c r="H602" s="16" t="n">
        <v>0.0518</v>
      </c>
      <c r="I602" s="16" t="n">
        <v>0.0612</v>
      </c>
      <c r="J602" s="16" t="n">
        <v>0.0073</v>
      </c>
      <c r="K602" s="16" t="n">
        <v>0.0591</v>
      </c>
      <c r="L602" s="16" t="n">
        <v>-0.0177</v>
      </c>
    </row>
    <row r="603" customFormat="false" ht="30" hidden="false" customHeight="true" outlineLevel="0" collapsed="false">
      <c r="A603" s="3" t="s">
        <v>715</v>
      </c>
      <c r="B603" s="17" t="n">
        <v>-0.0076</v>
      </c>
      <c r="C603" s="17" t="n">
        <v>-0.0059</v>
      </c>
      <c r="D603" s="17" t="n">
        <v>0.0041</v>
      </c>
      <c r="E603" s="17" t="n">
        <v>0.0097</v>
      </c>
      <c r="F603" s="17" t="n">
        <v>0.0141</v>
      </c>
      <c r="G603" s="17" t="n">
        <v>0.0195</v>
      </c>
      <c r="H603" s="17" t="n">
        <v>0.0164</v>
      </c>
      <c r="I603" s="17" t="n">
        <v>0.0138</v>
      </c>
      <c r="J603" s="17" t="n">
        <v>0.0178</v>
      </c>
      <c r="K603" s="17" t="n">
        <v>0.019</v>
      </c>
      <c r="L603" s="17" t="n">
        <v>0.0124</v>
      </c>
    </row>
    <row r="604" customFormat="false" ht="30" hidden="false" customHeight="true" outlineLevel="0" collapsed="false">
      <c r="A604" s="2" t="s">
        <v>716</v>
      </c>
      <c r="B604" s="16" t="n">
        <v>0.0589</v>
      </c>
      <c r="C604" s="16" t="n">
        <v>0.0238</v>
      </c>
      <c r="D604" s="16" t="n">
        <v>0.0454</v>
      </c>
      <c r="E604" s="16" t="n">
        <v>0.0343</v>
      </c>
      <c r="F604" s="16" t="n">
        <v>0.0404</v>
      </c>
      <c r="G604" s="16" t="n">
        <v>0.0458</v>
      </c>
      <c r="H604" s="16" t="n">
        <v>0.0293</v>
      </c>
      <c r="I604" s="16" t="n">
        <v>0.0515</v>
      </c>
      <c r="J604" s="16" t="n">
        <v>0.0538</v>
      </c>
      <c r="K604" s="16" t="n">
        <v>0.0543</v>
      </c>
      <c r="L604" s="16" t="n">
        <v>0.0191</v>
      </c>
    </row>
    <row r="605" customFormat="false" ht="30" hidden="false" customHeight="true" outlineLevel="0" collapsed="false">
      <c r="A605" s="3" t="s">
        <v>717</v>
      </c>
      <c r="B605" s="17" t="n">
        <v>0.0081</v>
      </c>
      <c r="C605" s="17" t="n">
        <v>0.0317</v>
      </c>
      <c r="D605" s="17" t="n">
        <v>-0.0004</v>
      </c>
      <c r="E605" s="17" t="n">
        <v>0.0119</v>
      </c>
      <c r="F605" s="17" t="n">
        <v>0.0192</v>
      </c>
      <c r="G605" s="17" t="n">
        <v>0.0228</v>
      </c>
      <c r="H605" s="17" t="n">
        <v>0.0133</v>
      </c>
      <c r="I605" s="17" t="n">
        <v>0.025</v>
      </c>
      <c r="J605" s="17" t="n">
        <v>0.0092</v>
      </c>
      <c r="K605" s="17" t="n">
        <v>0.0025</v>
      </c>
      <c r="L605" s="17" t="n">
        <v>0.0019</v>
      </c>
    </row>
    <row r="606" customFormat="false" ht="30" hidden="false" customHeight="true" outlineLevel="0" collapsed="false">
      <c r="A606" s="2" t="s">
        <v>718</v>
      </c>
      <c r="B606" s="16" t="n">
        <v>0.0416</v>
      </c>
      <c r="C606" s="16" t="n">
        <v>0.0356</v>
      </c>
      <c r="D606" s="16" t="n">
        <v>0.0435</v>
      </c>
      <c r="E606" s="16" t="n">
        <v>0.0175</v>
      </c>
      <c r="F606" s="16" t="n">
        <v>0.0315</v>
      </c>
      <c r="G606" s="16" t="n">
        <v>0.0258</v>
      </c>
      <c r="H606" s="16" t="n">
        <v>0.022</v>
      </c>
      <c r="I606" s="16" t="n">
        <v>0.019</v>
      </c>
      <c r="J606" s="16" t="n">
        <v>0.0278</v>
      </c>
      <c r="K606" s="16" t="n">
        <v>0.0469</v>
      </c>
      <c r="L606" s="16" t="n">
        <v>-0.0201</v>
      </c>
    </row>
    <row r="607" customFormat="false" ht="30" hidden="false" customHeight="true" outlineLevel="0" collapsed="false">
      <c r="A607" s="3" t="s">
        <v>719</v>
      </c>
      <c r="B607" s="17" t="n">
        <v>-0.0642</v>
      </c>
      <c r="C607" s="17" t="n">
        <v>-0.0204</v>
      </c>
      <c r="D607" s="17" t="n">
        <v>0.001</v>
      </c>
      <c r="E607" s="17" t="n">
        <v>-0.0025</v>
      </c>
      <c r="F607" s="17" t="n">
        <v>-0.0117</v>
      </c>
      <c r="G607" s="17" t="n">
        <v>-0.0118</v>
      </c>
      <c r="H607" s="17" t="n">
        <v>0.0045</v>
      </c>
      <c r="I607" s="17" t="n">
        <v>0.001</v>
      </c>
      <c r="J607" s="17" t="n">
        <v>-0.0301</v>
      </c>
      <c r="K607" s="17" t="n">
        <v>-0.0425</v>
      </c>
      <c r="L607" s="17" t="n">
        <v>0.0058</v>
      </c>
    </row>
    <row r="608" customFormat="false" ht="30" hidden="false" customHeight="true" outlineLevel="0" collapsed="false">
      <c r="A608" s="2" t="s">
        <v>720</v>
      </c>
      <c r="B608" s="16" t="n">
        <v>0.1198</v>
      </c>
      <c r="C608" s="16" t="n">
        <v>0.0305</v>
      </c>
      <c r="D608" s="16" t="n">
        <v>0.0378</v>
      </c>
      <c r="E608" s="16" t="n">
        <v>0.0415</v>
      </c>
      <c r="F608" s="16" t="n">
        <v>0.0616</v>
      </c>
      <c r="G608" s="16" t="n">
        <v>0.0558</v>
      </c>
      <c r="H608" s="16" t="n">
        <v>0.055</v>
      </c>
      <c r="I608" s="16" t="n">
        <v>0.0484</v>
      </c>
      <c r="J608" s="16" t="n">
        <v>0.0804</v>
      </c>
      <c r="K608" s="16" t="n">
        <v>0.0997</v>
      </c>
      <c r="L608" s="16" t="n">
        <v>0.0175</v>
      </c>
    </row>
    <row r="609" customFormat="false" ht="30" hidden="false" customHeight="true" outlineLevel="0" collapsed="false">
      <c r="A609" s="3" t="s">
        <v>721</v>
      </c>
      <c r="B609" s="17" t="n">
        <v>0.0289</v>
      </c>
      <c r="C609" s="17" t="n">
        <v>-0.0322</v>
      </c>
      <c r="D609" s="17" t="n">
        <v>-0.0366</v>
      </c>
      <c r="E609" s="17" t="n">
        <v>-0.0279</v>
      </c>
      <c r="F609" s="17" t="n">
        <v>-0.0139</v>
      </c>
      <c r="G609" s="17" t="n">
        <v>-0.0368</v>
      </c>
      <c r="H609" s="17" t="n">
        <v>-0.0356</v>
      </c>
      <c r="I609" s="17" t="n">
        <v>-0.0297</v>
      </c>
      <c r="J609" s="17" t="n">
        <v>-0.0296</v>
      </c>
      <c r="K609" s="17" t="n">
        <v>-0.0281</v>
      </c>
      <c r="L609" s="17" t="n">
        <v>0.0005</v>
      </c>
    </row>
    <row r="610" customFormat="false" ht="30" hidden="false" customHeight="true" outlineLevel="0" collapsed="false">
      <c r="A610" s="2" t="s">
        <v>722</v>
      </c>
      <c r="B610" s="16" t="n">
        <v>0.0107</v>
      </c>
      <c r="C610" s="16" t="n">
        <v>0.0197</v>
      </c>
      <c r="D610" s="16" t="n">
        <v>0.0303</v>
      </c>
      <c r="E610" s="16" t="n">
        <v>0.0332</v>
      </c>
      <c r="F610" s="16" t="n">
        <v>0.0381</v>
      </c>
      <c r="G610" s="16" t="n">
        <v>0.0455</v>
      </c>
      <c r="H610" s="16" t="n">
        <v>0.0466</v>
      </c>
      <c r="I610" s="16" t="n">
        <v>0.0497</v>
      </c>
      <c r="J610" s="16" t="n">
        <v>0.0477</v>
      </c>
      <c r="K610" s="16" t="n">
        <v>0.0755</v>
      </c>
      <c r="L610" s="16" t="n">
        <v>0.0304</v>
      </c>
    </row>
    <row r="611" customFormat="false" ht="30" hidden="false" customHeight="true" outlineLevel="0" collapsed="false">
      <c r="A611" s="3" t="s">
        <v>723</v>
      </c>
      <c r="B611" s="17" t="n">
        <v>0.0366</v>
      </c>
      <c r="C611" s="17" t="n">
        <v>0.0344</v>
      </c>
      <c r="D611" s="17" t="n">
        <v>0.0314</v>
      </c>
      <c r="E611" s="17" t="n">
        <v>0.0704</v>
      </c>
      <c r="F611" s="17" t="n">
        <v>0.0502</v>
      </c>
      <c r="G611" s="17" t="n">
        <v>0.0412</v>
      </c>
      <c r="H611" s="17" t="n">
        <v>0.0411</v>
      </c>
      <c r="I611" s="17" t="n">
        <v>0.0411</v>
      </c>
      <c r="J611" s="17" t="n">
        <v>0.0363</v>
      </c>
      <c r="K611" s="17" t="n">
        <v>0.023</v>
      </c>
      <c r="L611" s="17" t="n">
        <v>0.0007</v>
      </c>
    </row>
    <row r="612" customFormat="false" ht="30" hidden="false" customHeight="true" outlineLevel="0" collapsed="false">
      <c r="A612" s="2" t="s">
        <v>724</v>
      </c>
      <c r="B612" s="16" t="n">
        <v>0.0299</v>
      </c>
      <c r="C612" s="16" t="n">
        <v>0.0241</v>
      </c>
      <c r="D612" s="16" t="n">
        <v>0.0253</v>
      </c>
      <c r="E612" s="16" t="n">
        <v>0.0328</v>
      </c>
      <c r="F612" s="16" t="n">
        <v>0.0387</v>
      </c>
      <c r="G612" s="16" t="n">
        <v>0.0348</v>
      </c>
      <c r="H612" s="16" t="n">
        <v>0.0217</v>
      </c>
      <c r="I612" s="16" t="n">
        <v>0.0334</v>
      </c>
      <c r="J612" s="16" t="n">
        <v>0.0397</v>
      </c>
      <c r="K612" s="16" t="n">
        <v>0.0315</v>
      </c>
      <c r="L612" s="16" t="n">
        <v>0.0036</v>
      </c>
    </row>
    <row r="613" customFormat="false" ht="30" hidden="false" customHeight="true" outlineLevel="0" collapsed="false">
      <c r="A613" s="3" t="s">
        <v>85</v>
      </c>
      <c r="B613" s="17" t="n">
        <v>0.0288</v>
      </c>
      <c r="C613" s="17" t="n">
        <v>0.0365</v>
      </c>
      <c r="D613" s="17" t="n">
        <v>0.0175</v>
      </c>
      <c r="E613" s="17" t="n">
        <v>0.0158</v>
      </c>
      <c r="F613" s="17" t="n">
        <v>0.0265</v>
      </c>
      <c r="G613" s="17" t="n">
        <v>0.0158</v>
      </c>
      <c r="H613" s="17" t="n">
        <v>0.0347</v>
      </c>
      <c r="I613" s="17" t="n">
        <v>0.0217</v>
      </c>
      <c r="J613" s="17" t="n">
        <v>0.0373</v>
      </c>
      <c r="K613" s="17" t="n">
        <v>0.0312</v>
      </c>
      <c r="L613" s="17" t="n">
        <v>0.0002</v>
      </c>
    </row>
    <row r="614" customFormat="false" ht="30" hidden="false" customHeight="true" outlineLevel="0" collapsed="false">
      <c r="A614" s="2" t="s">
        <v>725</v>
      </c>
      <c r="B614" s="16" t="n">
        <v>-0.0395</v>
      </c>
      <c r="C614" s="16" t="n">
        <v>-0.0458</v>
      </c>
      <c r="D614" s="16" t="n">
        <v>-0.0525</v>
      </c>
      <c r="E614" s="16" t="n">
        <v>-0.027</v>
      </c>
      <c r="F614" s="16" t="n">
        <v>-0.0394</v>
      </c>
      <c r="G614" s="16" t="n">
        <v>-0.0281</v>
      </c>
      <c r="H614" s="16" t="n">
        <v>-0.0385</v>
      </c>
      <c r="I614" s="16" t="n">
        <v>-0.0339</v>
      </c>
      <c r="J614" s="16" t="n">
        <v>-0.0163</v>
      </c>
      <c r="K614" s="16" t="n">
        <v>0.0061</v>
      </c>
      <c r="L614" s="16" t="n">
        <v>0.0164</v>
      </c>
    </row>
    <row r="615" customFormat="false" ht="30" hidden="false" customHeight="true" outlineLevel="0" collapsed="false">
      <c r="A615" s="3" t="s">
        <v>726</v>
      </c>
      <c r="B615" s="17" t="n">
        <v>0.0518</v>
      </c>
      <c r="C615" s="17" t="n">
        <v>0.0322</v>
      </c>
      <c r="D615" s="17" t="n">
        <v>0.036</v>
      </c>
      <c r="E615" s="17" t="n">
        <v>0.0426</v>
      </c>
      <c r="F615" s="17" t="n">
        <v>0.0436</v>
      </c>
      <c r="G615" s="17" t="n">
        <v>0.039</v>
      </c>
      <c r="H615" s="17" t="n">
        <v>0.0429</v>
      </c>
      <c r="I615" s="17" t="n">
        <v>0.0555</v>
      </c>
      <c r="J615" s="17" t="n">
        <v>0.0784</v>
      </c>
      <c r="K615" s="17" t="n">
        <v>0.0616</v>
      </c>
      <c r="L615" s="17" t="n">
        <v>0.0216</v>
      </c>
    </row>
    <row r="616" customFormat="false" ht="30" hidden="false" customHeight="true" outlineLevel="0" collapsed="false">
      <c r="A616" s="2" t="s">
        <v>727</v>
      </c>
      <c r="B616" s="16" t="n">
        <v>0.0158</v>
      </c>
      <c r="C616" s="16" t="n">
        <v>0.0231</v>
      </c>
      <c r="D616" s="16" t="n">
        <v>0.02</v>
      </c>
      <c r="E616" s="16" t="n">
        <v>0.0139</v>
      </c>
      <c r="F616" s="16" t="n">
        <v>0.0285</v>
      </c>
      <c r="G616" s="16" t="n">
        <v>0.0116</v>
      </c>
      <c r="H616" s="16" t="n">
        <v>0.0093</v>
      </c>
      <c r="I616" s="16" t="n">
        <v>0.0029</v>
      </c>
      <c r="J616" s="16" t="n">
        <v>-0.0238</v>
      </c>
      <c r="K616" s="16" t="n">
        <v>-0.0598</v>
      </c>
      <c r="L616" s="16" t="n">
        <v>-0.0327</v>
      </c>
    </row>
    <row r="617" customFormat="false" ht="30" hidden="false" customHeight="true" outlineLevel="0" collapsed="false">
      <c r="A617" s="3" t="s">
        <v>728</v>
      </c>
      <c r="B617" s="17" t="n">
        <v>0.0133</v>
      </c>
      <c r="C617" s="17" t="n">
        <v>0.0287</v>
      </c>
      <c r="D617" s="17" t="n">
        <v>0.0212</v>
      </c>
      <c r="E617" s="17" t="n">
        <v>0.0207</v>
      </c>
      <c r="F617" s="17" t="n">
        <v>0.0221</v>
      </c>
      <c r="G617" s="17" t="n">
        <v>-0.0179</v>
      </c>
      <c r="H617" s="17" t="n">
        <v>-0.011</v>
      </c>
      <c r="I617" s="17" t="n">
        <v>-0.0262</v>
      </c>
      <c r="J617" s="17" t="n">
        <v>-0.0181</v>
      </c>
      <c r="K617" s="17" t="n">
        <v>-0.0346</v>
      </c>
      <c r="L617" s="17" t="n">
        <v>-0.0389</v>
      </c>
    </row>
    <row r="618" customFormat="false" ht="30" hidden="false" customHeight="true" outlineLevel="0" collapsed="false">
      <c r="A618" s="2" t="s">
        <v>729</v>
      </c>
      <c r="B618" s="16" t="n">
        <v>0.0037</v>
      </c>
      <c r="C618" s="16" t="n">
        <v>-0.0003</v>
      </c>
      <c r="D618" s="16" t="n">
        <v>0.0149</v>
      </c>
      <c r="E618" s="16" t="n">
        <v>0.0132</v>
      </c>
      <c r="F618" s="16" t="n">
        <v>0.0152</v>
      </c>
      <c r="G618" s="16" t="n">
        <v>0.0305</v>
      </c>
      <c r="H618" s="16" t="n">
        <v>0.0313</v>
      </c>
      <c r="I618" s="16" t="n">
        <v>0.0241</v>
      </c>
      <c r="J618" s="16" t="n">
        <v>0.0289</v>
      </c>
      <c r="K618" s="16" t="n">
        <v>0.0383</v>
      </c>
      <c r="L618" s="16" t="n">
        <v>0.0088</v>
      </c>
    </row>
    <row r="619" customFormat="false" ht="30" hidden="false" customHeight="true" outlineLevel="0" collapsed="false">
      <c r="A619" s="3" t="s">
        <v>730</v>
      </c>
      <c r="B619" s="17" t="n">
        <v>0.06</v>
      </c>
      <c r="C619" s="17" t="n">
        <v>0.016</v>
      </c>
      <c r="D619" s="17" t="n">
        <v>0.0331</v>
      </c>
      <c r="E619" s="17" t="n">
        <v>0.0112</v>
      </c>
      <c r="F619" s="17" t="n">
        <v>0.0251</v>
      </c>
      <c r="G619" s="17" t="n">
        <v>0.0226</v>
      </c>
      <c r="H619" s="17" t="n">
        <v>0.0233</v>
      </c>
      <c r="I619" s="17" t="n">
        <v>0.0227</v>
      </c>
      <c r="J619" s="17" t="n">
        <v>0.0305</v>
      </c>
      <c r="K619" s="17" t="n">
        <v>0.0547</v>
      </c>
      <c r="L619" s="17" t="n">
        <v>0.0065</v>
      </c>
    </row>
    <row r="620" customFormat="false" ht="30" hidden="false" customHeight="true" outlineLevel="0" collapsed="false">
      <c r="A620" s="2" t="s">
        <v>731</v>
      </c>
      <c r="B620" s="16" t="n">
        <v>-0.0291</v>
      </c>
      <c r="C620" s="16" t="n">
        <v>-0.0041</v>
      </c>
      <c r="D620" s="16" t="n">
        <v>-0.014</v>
      </c>
      <c r="E620" s="16" t="n">
        <v>-0.0252</v>
      </c>
      <c r="F620" s="16" t="n">
        <v>-0.0151</v>
      </c>
      <c r="G620" s="16" t="n">
        <v>-0.0325</v>
      </c>
      <c r="H620" s="16" t="n">
        <v>-0.0263</v>
      </c>
      <c r="I620" s="16" t="n">
        <v>-0.023</v>
      </c>
      <c r="J620" s="16" t="n">
        <v>-0.0255</v>
      </c>
      <c r="K620" s="16" t="n">
        <v>-0.0052</v>
      </c>
      <c r="L620" s="16" t="n">
        <v>-0.002</v>
      </c>
    </row>
    <row r="621" customFormat="false" ht="30" hidden="false" customHeight="true" outlineLevel="0" collapsed="false">
      <c r="A621" s="3" t="s">
        <v>732</v>
      </c>
      <c r="B621" s="17" t="n">
        <v>0.0515</v>
      </c>
      <c r="C621" s="17" t="n">
        <v>0.042</v>
      </c>
      <c r="D621" s="17" t="n">
        <v>0.0406</v>
      </c>
      <c r="E621" s="17" t="n">
        <v>0.0434</v>
      </c>
      <c r="F621" s="17" t="n">
        <v>0.0437</v>
      </c>
      <c r="G621" s="17" t="n">
        <v>0.037</v>
      </c>
      <c r="H621" s="17" t="n">
        <v>0.0405</v>
      </c>
      <c r="I621" s="17" t="n">
        <v>0.0385</v>
      </c>
      <c r="J621" s="17" t="n">
        <v>0.0427</v>
      </c>
      <c r="K621" s="17" t="n">
        <v>0.054</v>
      </c>
      <c r="L621" s="17" t="n">
        <v>0.0084</v>
      </c>
    </row>
    <row r="622" customFormat="false" ht="30" hidden="false" customHeight="true" outlineLevel="0" collapsed="false">
      <c r="A622" s="2" t="s">
        <v>733</v>
      </c>
      <c r="B622" s="16" t="n">
        <v>-0.0731</v>
      </c>
      <c r="C622" s="16" t="n">
        <v>-0.0284</v>
      </c>
      <c r="D622" s="16" t="n">
        <v>-0.019</v>
      </c>
      <c r="E622" s="16" t="n">
        <v>-0.0132</v>
      </c>
      <c r="F622" s="16" t="n">
        <v>-0.0205</v>
      </c>
      <c r="G622" s="16" t="n">
        <v>-0.0165</v>
      </c>
      <c r="H622" s="16" t="n">
        <v>-0.0181</v>
      </c>
      <c r="I622" s="16" t="n">
        <v>-0.0145</v>
      </c>
      <c r="J622" s="16" t="n">
        <v>-0.0198</v>
      </c>
      <c r="K622" s="16" t="n">
        <v>-0.0239</v>
      </c>
      <c r="L622" s="16" t="n">
        <v>0.0064</v>
      </c>
    </row>
    <row r="623" customFormat="false" ht="30" hidden="false" customHeight="true" outlineLevel="0" collapsed="false">
      <c r="A623" s="3" t="s">
        <v>734</v>
      </c>
      <c r="B623" s="17" t="n">
        <v>0.0223</v>
      </c>
      <c r="C623" s="17" t="n">
        <v>0.0347</v>
      </c>
      <c r="D623" s="17" t="n">
        <v>0.0211</v>
      </c>
      <c r="E623" s="17" t="n">
        <v>0.0064</v>
      </c>
      <c r="F623" s="17" t="n">
        <v>0.0303</v>
      </c>
      <c r="G623" s="17" t="n">
        <v>0.0336</v>
      </c>
      <c r="H623" s="17" t="n">
        <v>0.0342</v>
      </c>
      <c r="I623" s="17" t="n">
        <v>0.0343</v>
      </c>
      <c r="J623" s="17" t="n">
        <v>0.0119</v>
      </c>
      <c r="K623" s="17" t="n">
        <v>0.0223</v>
      </c>
      <c r="L623" s="17" t="n">
        <v>-0.0027</v>
      </c>
    </row>
    <row r="624" customFormat="false" ht="30" hidden="false" customHeight="true" outlineLevel="0" collapsed="false">
      <c r="A624" s="2" t="s">
        <v>735</v>
      </c>
      <c r="B624" s="16" t="n">
        <v>0.002</v>
      </c>
      <c r="C624" s="16" t="n">
        <v>-0.003</v>
      </c>
      <c r="D624" s="16" t="n">
        <v>0.0292</v>
      </c>
      <c r="E624" s="16" t="n">
        <v>0.0203</v>
      </c>
      <c r="F624" s="16" t="n">
        <v>0.0304</v>
      </c>
      <c r="G624" s="16" t="n">
        <v>0.0029</v>
      </c>
      <c r="H624" s="16" t="n">
        <v>0.0312</v>
      </c>
      <c r="I624" s="16" t="n">
        <v>0.0223</v>
      </c>
      <c r="J624" s="16" t="n">
        <v>0.0331</v>
      </c>
      <c r="K624" s="16" t="n">
        <v>0.0398</v>
      </c>
      <c r="L624" s="16" t="n">
        <v>0.0069</v>
      </c>
    </row>
    <row r="625" customFormat="false" ht="30" hidden="false" customHeight="true" outlineLevel="0" collapsed="false">
      <c r="A625" s="3" t="s">
        <v>86</v>
      </c>
      <c r="B625" s="17" t="n">
        <v>-0.0138</v>
      </c>
      <c r="C625" s="17" t="n">
        <v>-0.0116</v>
      </c>
      <c r="D625" s="17" t="n">
        <v>-0.0072</v>
      </c>
      <c r="E625" s="17" t="n">
        <v>0</v>
      </c>
      <c r="F625" s="17" t="n">
        <v>-0.0003</v>
      </c>
      <c r="G625" s="17" t="n">
        <v>0.0086</v>
      </c>
      <c r="H625" s="17" t="n">
        <v>0.0124</v>
      </c>
      <c r="I625" s="17" t="n">
        <v>0.0011</v>
      </c>
      <c r="J625" s="17" t="n">
        <v>0.006</v>
      </c>
      <c r="K625" s="17" t="n">
        <v>-0.0226</v>
      </c>
      <c r="L625" s="17" t="n">
        <v>0.0105</v>
      </c>
    </row>
    <row r="626" customFormat="false" ht="30" hidden="false" customHeight="true" outlineLevel="0" collapsed="false">
      <c r="A626" s="2" t="s">
        <v>736</v>
      </c>
      <c r="B626" s="16" t="n">
        <v>-0.0777</v>
      </c>
      <c r="C626" s="16" t="n">
        <v>-0.0511</v>
      </c>
      <c r="D626" s="16" t="n">
        <v>-0.0351</v>
      </c>
      <c r="E626" s="16" t="n">
        <v>-0.0434</v>
      </c>
      <c r="F626" s="16" t="n">
        <v>-0.0441</v>
      </c>
      <c r="G626" s="16" t="n">
        <v>-0.0487</v>
      </c>
      <c r="H626" s="16" t="n">
        <v>-0.045</v>
      </c>
      <c r="I626" s="16" t="n">
        <v>-0.0234</v>
      </c>
      <c r="J626" s="16" t="n">
        <v>-0.0294</v>
      </c>
      <c r="K626" s="16" t="n">
        <v>0.0064</v>
      </c>
      <c r="L626" s="16" t="n">
        <v>0.0372</v>
      </c>
    </row>
    <row r="627" customFormat="false" ht="30" hidden="false" customHeight="true" outlineLevel="0" collapsed="false">
      <c r="A627" s="3" t="s">
        <v>737</v>
      </c>
      <c r="B627" s="17" t="n">
        <v>0.1141</v>
      </c>
      <c r="C627" s="17" t="n">
        <v>0.0827</v>
      </c>
      <c r="D627" s="17" t="n">
        <v>0.0713</v>
      </c>
      <c r="E627" s="17" t="n">
        <v>0.0753</v>
      </c>
      <c r="F627" s="17" t="n">
        <v>0.0738</v>
      </c>
      <c r="G627" s="17" t="n">
        <v>0.0607</v>
      </c>
      <c r="H627" s="17" t="n">
        <v>0.0446</v>
      </c>
      <c r="I627" s="17" t="n">
        <v>0.0555</v>
      </c>
      <c r="J627" s="17" t="n">
        <v>0.0474</v>
      </c>
      <c r="K627" s="17" t="n">
        <v>0.0614</v>
      </c>
      <c r="L627" s="17" t="n">
        <v>-0.0287</v>
      </c>
    </row>
    <row r="628" customFormat="false" ht="30" hidden="false" customHeight="true" outlineLevel="0" collapsed="false">
      <c r="A628" s="2" t="s">
        <v>738</v>
      </c>
      <c r="B628" s="16" t="n">
        <v>-0.0481</v>
      </c>
      <c r="C628" s="16" t="n">
        <v>-0.0182</v>
      </c>
      <c r="D628" s="16" t="n">
        <v>-0.0208</v>
      </c>
      <c r="E628" s="16" t="n">
        <v>-0.0125</v>
      </c>
      <c r="F628" s="16" t="n">
        <v>-0.0157</v>
      </c>
      <c r="G628" s="16" t="n">
        <v>-0.0129</v>
      </c>
      <c r="H628" s="16" t="n">
        <v>-0.0163</v>
      </c>
      <c r="I628" s="16" t="n">
        <v>-0.0003</v>
      </c>
      <c r="J628" s="16" t="n">
        <v>-0.0054</v>
      </c>
      <c r="K628" s="16" t="n">
        <v>-0.0081</v>
      </c>
      <c r="L628" s="16" t="n">
        <v>0.0272</v>
      </c>
    </row>
    <row r="629" customFormat="false" ht="30" hidden="false" customHeight="true" outlineLevel="0" collapsed="false">
      <c r="A629" s="3" t="s">
        <v>739</v>
      </c>
      <c r="B629" s="17" t="n">
        <v>0.1048</v>
      </c>
      <c r="C629" s="17" t="n">
        <v>0.0533</v>
      </c>
      <c r="D629" s="17" t="n">
        <v>0.0378</v>
      </c>
      <c r="E629" s="17" t="n">
        <v>0.0276</v>
      </c>
      <c r="F629" s="17" t="n">
        <v>0.0252</v>
      </c>
      <c r="G629" s="17" t="n">
        <v>0.0132</v>
      </c>
      <c r="H629" s="17" t="n">
        <v>0.0088</v>
      </c>
      <c r="I629" s="17" t="n">
        <v>-0.0075</v>
      </c>
      <c r="J629" s="17" t="n">
        <v>-0.0122</v>
      </c>
      <c r="K629" s="17" t="n">
        <v>-0.0245</v>
      </c>
      <c r="L629" s="17" t="n">
        <v>-0.0726</v>
      </c>
    </row>
    <row r="630" customFormat="false" ht="30" hidden="false" customHeight="true" outlineLevel="0" collapsed="false">
      <c r="A630" s="2" t="s">
        <v>740</v>
      </c>
      <c r="B630" s="16" t="n">
        <v>-0.0797</v>
      </c>
      <c r="C630" s="16" t="n">
        <v>-0.037</v>
      </c>
      <c r="D630" s="16" t="n">
        <v>-0.0139</v>
      </c>
      <c r="E630" s="16" t="n">
        <v>0.0022</v>
      </c>
      <c r="F630" s="16" t="n">
        <v>0.0031</v>
      </c>
      <c r="G630" s="16" t="n">
        <v>0.0199</v>
      </c>
      <c r="H630" s="16" t="n">
        <v>0.0224</v>
      </c>
      <c r="I630" s="16" t="n">
        <v>0.0258</v>
      </c>
      <c r="J630" s="16" t="n">
        <v>0.0256</v>
      </c>
      <c r="K630" s="16" t="n">
        <v>0.0456</v>
      </c>
      <c r="L630" s="16" t="n">
        <v>0.0576</v>
      </c>
    </row>
    <row r="631" customFormat="false" ht="30" hidden="false" customHeight="true" outlineLevel="0" collapsed="false">
      <c r="A631" s="3" t="s">
        <v>741</v>
      </c>
      <c r="B631" s="17" t="n">
        <v>-0.0548</v>
      </c>
      <c r="C631" s="17" t="n">
        <v>-0.0297</v>
      </c>
      <c r="D631" s="17" t="n">
        <v>-0.0318</v>
      </c>
      <c r="E631" s="17" t="n">
        <v>-0.0241</v>
      </c>
      <c r="F631" s="17" t="n">
        <v>-0.016</v>
      </c>
      <c r="G631" s="17" t="n">
        <v>-0.0222</v>
      </c>
      <c r="H631" s="17" t="n">
        <v>-0.0068</v>
      </c>
      <c r="I631" s="17" t="n">
        <v>-0.0153</v>
      </c>
      <c r="J631" s="17" t="n">
        <v>0.0018</v>
      </c>
      <c r="K631" s="17" t="n">
        <v>-0.0056</v>
      </c>
      <c r="L631" s="17" t="n">
        <v>0.0301</v>
      </c>
    </row>
    <row r="632" customFormat="false" ht="30" hidden="false" customHeight="true" outlineLevel="0" collapsed="false">
      <c r="A632" s="2" t="s">
        <v>742</v>
      </c>
      <c r="B632" s="16" t="n">
        <v>-0.1821</v>
      </c>
      <c r="C632" s="16" t="n">
        <v>-0.0834</v>
      </c>
      <c r="D632" s="16" t="n">
        <v>-0.05</v>
      </c>
      <c r="E632" s="16" t="n">
        <v>0.0334</v>
      </c>
      <c r="F632" s="16" t="n">
        <v>0.0168</v>
      </c>
      <c r="G632" s="16" t="n">
        <v>0.0126</v>
      </c>
      <c r="H632" s="16" t="n">
        <v>0.0304</v>
      </c>
      <c r="I632" s="16" t="n">
        <v>0.0359</v>
      </c>
      <c r="J632" s="16" t="n">
        <v>0.0493</v>
      </c>
      <c r="K632" s="16" t="n">
        <v>0.0196</v>
      </c>
      <c r="L632" s="16" t="n">
        <v>0.1004</v>
      </c>
    </row>
    <row r="633" customFormat="false" ht="30" hidden="false" customHeight="true" outlineLevel="0" collapsed="false">
      <c r="A633" s="3" t="s">
        <v>743</v>
      </c>
      <c r="B633" s="17" t="n">
        <v>-0.0288</v>
      </c>
      <c r="C633" s="17" t="n">
        <v>-0.0616</v>
      </c>
      <c r="D633" s="17" t="n">
        <v>-0.0367</v>
      </c>
      <c r="E633" s="17" t="n">
        <v>-0.0575</v>
      </c>
      <c r="F633" s="17" t="n">
        <v>-0.0666</v>
      </c>
      <c r="G633" s="17" t="n">
        <v>-0.0619</v>
      </c>
      <c r="H633" s="17" t="n">
        <v>-0.0604</v>
      </c>
      <c r="I633" s="17" t="n">
        <v>-0.0671</v>
      </c>
      <c r="J633" s="17" t="n">
        <v>-0.0634</v>
      </c>
      <c r="K633" s="17" t="n">
        <v>-0.0629</v>
      </c>
      <c r="L633" s="17" t="n">
        <v>-0.0215</v>
      </c>
    </row>
    <row r="634" customFormat="false" ht="30" hidden="false" customHeight="true" outlineLevel="0" collapsed="false">
      <c r="A634" s="2" t="s">
        <v>744</v>
      </c>
      <c r="B634" s="16" t="n">
        <v>-0.1595</v>
      </c>
      <c r="C634" s="16" t="n">
        <v>-0.0762</v>
      </c>
      <c r="D634" s="16" t="n">
        <v>-0.0432</v>
      </c>
      <c r="E634" s="16" t="n">
        <v>-0.0427</v>
      </c>
      <c r="F634" s="16" t="n">
        <v>-0.0236</v>
      </c>
      <c r="G634" s="16" t="n">
        <v>-0.0093</v>
      </c>
      <c r="H634" s="16" t="n">
        <v>-0.0267</v>
      </c>
      <c r="I634" s="16" t="n">
        <v>-0.0278</v>
      </c>
      <c r="J634" s="16" t="n">
        <v>-0.0187</v>
      </c>
      <c r="K634" s="16" t="n">
        <v>-0.0319</v>
      </c>
      <c r="L634" s="16" t="n">
        <v>0.0526</v>
      </c>
    </row>
    <row r="635" customFormat="false" ht="30" hidden="false" customHeight="true" outlineLevel="0" collapsed="false">
      <c r="A635" s="3" t="s">
        <v>745</v>
      </c>
      <c r="B635" s="17" t="n">
        <v>0.1162</v>
      </c>
      <c r="C635" s="17" t="n">
        <v>0.1041</v>
      </c>
      <c r="D635" s="17" t="n">
        <v>0.0768</v>
      </c>
      <c r="E635" s="17" t="n">
        <v>0.0715</v>
      </c>
      <c r="F635" s="17" t="n">
        <v>0.0902</v>
      </c>
      <c r="G635" s="17" t="n">
        <v>0.0814</v>
      </c>
      <c r="H635" s="17" t="n">
        <v>0.0782</v>
      </c>
      <c r="I635" s="17" t="n">
        <v>0.0617</v>
      </c>
      <c r="J635" s="17" t="n">
        <v>0.0632</v>
      </c>
      <c r="K635" s="17" t="n">
        <v>0.0689</v>
      </c>
      <c r="L635" s="17" t="n">
        <v>-0.0329</v>
      </c>
    </row>
    <row r="636" customFormat="false" ht="30" hidden="false" customHeight="true" outlineLevel="0" collapsed="false">
      <c r="A636" s="2" t="s">
        <v>746</v>
      </c>
      <c r="B636" s="16" t="n">
        <v>-0.0411</v>
      </c>
      <c r="C636" s="16" t="n">
        <v>0.0018</v>
      </c>
      <c r="D636" s="16" t="n">
        <v>-0.0169</v>
      </c>
      <c r="E636" s="16" t="n">
        <v>-0.0028</v>
      </c>
      <c r="F636" s="16" t="n">
        <v>0.0064</v>
      </c>
      <c r="G636" s="16" t="n">
        <v>0.0106</v>
      </c>
      <c r="H636" s="16" t="n">
        <v>0.0075</v>
      </c>
      <c r="I636" s="16" t="n">
        <v>0.0106</v>
      </c>
      <c r="J636" s="16" t="n">
        <v>0.0078</v>
      </c>
      <c r="K636" s="16" t="n">
        <v>0.0127</v>
      </c>
      <c r="L636" s="16" t="n">
        <v>0.023</v>
      </c>
    </row>
    <row r="637" customFormat="false" ht="30" hidden="false" customHeight="true" outlineLevel="0" collapsed="false">
      <c r="A637" s="3" t="s">
        <v>87</v>
      </c>
      <c r="B637" s="17" t="n">
        <v>-0.0424</v>
      </c>
      <c r="C637" s="17" t="n">
        <v>-0.0658</v>
      </c>
      <c r="D637" s="17" t="n">
        <v>-0.0561</v>
      </c>
      <c r="E637" s="17" t="n">
        <v>-0.0212</v>
      </c>
      <c r="F637" s="17" t="n">
        <v>-0.0253</v>
      </c>
      <c r="G637" s="17" t="n">
        <v>-0.036</v>
      </c>
      <c r="H637" s="17" t="n">
        <v>-0.0106</v>
      </c>
      <c r="I637" s="17" t="n">
        <v>-0.0068</v>
      </c>
      <c r="J637" s="17" t="n">
        <v>-0.0071</v>
      </c>
      <c r="K637" s="17" t="n">
        <v>-0.0119</v>
      </c>
      <c r="L637" s="17" t="n">
        <v>0.0333</v>
      </c>
    </row>
    <row r="638" customFormat="false" ht="30" hidden="false" customHeight="true" outlineLevel="0" collapsed="false">
      <c r="A638" s="2" t="s">
        <v>747</v>
      </c>
      <c r="B638" s="16" t="n">
        <v>-0.1356</v>
      </c>
      <c r="C638" s="16" t="n">
        <v>-0.0496</v>
      </c>
      <c r="D638" s="16" t="n">
        <v>-0.0789</v>
      </c>
      <c r="E638" s="16" t="n">
        <v>-0.0463</v>
      </c>
      <c r="F638" s="16" t="n">
        <v>-0.0442</v>
      </c>
      <c r="G638" s="16" t="n">
        <v>-0.069</v>
      </c>
      <c r="H638" s="16" t="n">
        <v>-0.0586</v>
      </c>
      <c r="I638" s="16" t="n">
        <v>-0.0704</v>
      </c>
      <c r="J638" s="16" t="n">
        <v>-0.0405</v>
      </c>
      <c r="K638" s="16" t="n">
        <v>-0.0622</v>
      </c>
      <c r="L638" s="16" t="n">
        <v>0.0148</v>
      </c>
    </row>
    <row r="639" customFormat="false" ht="30" hidden="false" customHeight="true" outlineLevel="0" collapsed="false">
      <c r="A639" s="3" t="s">
        <v>748</v>
      </c>
      <c r="B639" s="17" t="n">
        <v>0.0346</v>
      </c>
      <c r="C639" s="17" t="n">
        <v>0.026</v>
      </c>
      <c r="D639" s="17" t="n">
        <v>0.0137</v>
      </c>
      <c r="E639" s="17" t="n">
        <v>0.0395</v>
      </c>
      <c r="F639" s="17" t="n">
        <v>0.0171</v>
      </c>
      <c r="G639" s="17" t="n">
        <v>0.0128</v>
      </c>
      <c r="H639" s="17" t="n">
        <v>-0.0012</v>
      </c>
      <c r="I639" s="17" t="n">
        <v>-0.0153</v>
      </c>
      <c r="J639" s="17" t="n">
        <v>-0.0092</v>
      </c>
      <c r="K639" s="17" t="n">
        <v>-0.0329</v>
      </c>
      <c r="L639" s="17" t="n">
        <v>-0.0436</v>
      </c>
    </row>
    <row r="640" customFormat="false" ht="30" hidden="false" customHeight="true" outlineLevel="0" collapsed="false">
      <c r="A640" s="2" t="s">
        <v>749</v>
      </c>
      <c r="B640" s="16" t="n">
        <v>0.1121</v>
      </c>
      <c r="C640" s="16" t="n">
        <v>0.1261</v>
      </c>
      <c r="D640" s="16" t="n">
        <v>0.0862</v>
      </c>
      <c r="E640" s="16" t="n">
        <v>0.0895</v>
      </c>
      <c r="F640" s="16" t="n">
        <v>0.0861</v>
      </c>
      <c r="G640" s="16" t="n">
        <v>0.0642</v>
      </c>
      <c r="H640" s="16" t="n">
        <v>0.0603</v>
      </c>
      <c r="I640" s="16" t="n">
        <v>0.0611</v>
      </c>
      <c r="J640" s="16" t="n">
        <v>0.0609</v>
      </c>
      <c r="K640" s="16" t="n">
        <v>0.0582</v>
      </c>
      <c r="L640" s="16" t="n">
        <v>-0.0504</v>
      </c>
    </row>
    <row r="641" customFormat="false" ht="30" hidden="false" customHeight="true" outlineLevel="0" collapsed="false">
      <c r="A641" s="3" t="s">
        <v>750</v>
      </c>
      <c r="B641" s="17" t="n">
        <v>0.1794</v>
      </c>
      <c r="C641" s="17" t="n">
        <v>0.0639</v>
      </c>
      <c r="D641" s="17" t="n">
        <v>0.037</v>
      </c>
      <c r="E641" s="17" t="n">
        <v>0.051</v>
      </c>
      <c r="F641" s="17" t="n">
        <v>-0.0101</v>
      </c>
      <c r="G641" s="17" t="n">
        <v>0.0235</v>
      </c>
      <c r="H641" s="17" t="n">
        <v>0.0171</v>
      </c>
      <c r="I641" s="17" t="n">
        <v>0.0052</v>
      </c>
      <c r="J641" s="17" t="n">
        <v>-0.0018</v>
      </c>
      <c r="K641" s="17" t="n">
        <v>-0.0159</v>
      </c>
      <c r="L641" s="17" t="n">
        <v>-0.0599</v>
      </c>
    </row>
    <row r="642" customFormat="false" ht="30" hidden="false" customHeight="true" outlineLevel="0" collapsed="false">
      <c r="A642" s="2" t="s">
        <v>751</v>
      </c>
      <c r="B642" s="16" t="n">
        <v>-0.0182</v>
      </c>
      <c r="C642" s="16" t="n">
        <v>0.0075</v>
      </c>
      <c r="D642" s="16" t="n">
        <v>0.0176</v>
      </c>
      <c r="E642" s="16" t="n">
        <v>0.006</v>
      </c>
      <c r="F642" s="16" t="n">
        <v>0.0294</v>
      </c>
      <c r="G642" s="16" t="n">
        <v>0.0096</v>
      </c>
      <c r="H642" s="16" t="n">
        <v>0.0104</v>
      </c>
      <c r="I642" s="16" t="n">
        <v>0.0132</v>
      </c>
      <c r="J642" s="16" t="n">
        <v>0.0187</v>
      </c>
      <c r="K642" s="16" t="n">
        <v>0.0348</v>
      </c>
      <c r="L642" s="16" t="n">
        <v>0.0139</v>
      </c>
    </row>
    <row r="643" customFormat="false" ht="30" hidden="false" customHeight="true" outlineLevel="0" collapsed="false">
      <c r="A643" s="3" t="s">
        <v>752</v>
      </c>
      <c r="B643" s="17" t="n">
        <v>-0.0025</v>
      </c>
      <c r="C643" s="17" t="n">
        <v>-0.0292</v>
      </c>
      <c r="D643" s="17" t="n">
        <v>-0.0363</v>
      </c>
      <c r="E643" s="17" t="n">
        <v>-0.0397</v>
      </c>
      <c r="F643" s="17" t="n">
        <v>-0.0171</v>
      </c>
      <c r="G643" s="17" t="n">
        <v>-0.0161</v>
      </c>
      <c r="H643" s="17" t="n">
        <v>-0.0006</v>
      </c>
      <c r="I643" s="17" t="n">
        <v>0.0251</v>
      </c>
      <c r="J643" s="17" t="n">
        <v>0.0342</v>
      </c>
      <c r="K643" s="17" t="n">
        <v>0.0087</v>
      </c>
      <c r="L643" s="17" t="n">
        <v>0.0414</v>
      </c>
    </row>
    <row r="644" customFormat="false" ht="30" hidden="false" customHeight="true" outlineLevel="0" collapsed="false">
      <c r="A644" s="2" t="s">
        <v>753</v>
      </c>
      <c r="B644" s="16" t="n">
        <v>0.0797</v>
      </c>
      <c r="C644" s="16" t="n">
        <v>0.0965</v>
      </c>
      <c r="D644" s="16" t="n">
        <v>0.0616</v>
      </c>
      <c r="E644" s="16" t="n">
        <v>0.0607</v>
      </c>
      <c r="F644" s="16" t="n">
        <v>0.0437</v>
      </c>
      <c r="G644" s="16" t="n">
        <v>0.0443</v>
      </c>
      <c r="H644" s="16" t="n">
        <v>0.026</v>
      </c>
      <c r="I644" s="16" t="n">
        <v>0.0241</v>
      </c>
      <c r="J644" s="16" t="n">
        <v>0.0312</v>
      </c>
      <c r="K644" s="16" t="n">
        <v>0.0422</v>
      </c>
      <c r="L644" s="16" t="n">
        <v>-0.0338</v>
      </c>
    </row>
    <row r="645" customFormat="false" ht="30" hidden="false" customHeight="true" outlineLevel="0" collapsed="false">
      <c r="A645" s="3" t="s">
        <v>754</v>
      </c>
      <c r="B645" s="17" t="n">
        <v>0.0499</v>
      </c>
      <c r="C645" s="17" t="n">
        <v>0.0298</v>
      </c>
      <c r="D645" s="17" t="n">
        <v>0.0257</v>
      </c>
      <c r="E645" s="17" t="n">
        <v>0.0144</v>
      </c>
      <c r="F645" s="17" t="n">
        <v>0.0133</v>
      </c>
      <c r="G645" s="17" t="n">
        <v>0.0153</v>
      </c>
      <c r="H645" s="17" t="n">
        <v>-0.0001</v>
      </c>
      <c r="I645" s="17" t="n">
        <v>-0.0032</v>
      </c>
      <c r="J645" s="17" t="n">
        <v>-0.017</v>
      </c>
      <c r="K645" s="17" t="n">
        <v>-0.0103</v>
      </c>
      <c r="L645" s="17" t="n">
        <v>-0.0346</v>
      </c>
    </row>
    <row r="646" customFormat="false" ht="30" hidden="false" customHeight="true" outlineLevel="0" collapsed="false">
      <c r="A646" s="2" t="s">
        <v>755</v>
      </c>
      <c r="B646" s="16" t="n">
        <v>0.0482</v>
      </c>
      <c r="C646" s="16" t="n">
        <v>0.018</v>
      </c>
      <c r="D646" s="16" t="n">
        <v>-0.0261</v>
      </c>
      <c r="E646" s="16" t="n">
        <v>0.0108</v>
      </c>
      <c r="F646" s="16" t="n">
        <v>0.004</v>
      </c>
      <c r="G646" s="16" t="n">
        <v>-0.008</v>
      </c>
      <c r="H646" s="16" t="n">
        <v>0.0054</v>
      </c>
      <c r="I646" s="16" t="n">
        <v>0.0034</v>
      </c>
      <c r="J646" s="16" t="n">
        <v>-0.0075</v>
      </c>
      <c r="K646" s="16" t="n">
        <v>0.0309</v>
      </c>
      <c r="L646" s="16" t="n">
        <v>0.0023</v>
      </c>
    </row>
    <row r="647" customFormat="false" ht="30" hidden="false" customHeight="true" outlineLevel="0" collapsed="false">
      <c r="A647" s="3" t="s">
        <v>756</v>
      </c>
      <c r="B647" s="17" t="n">
        <v>-0.0909</v>
      </c>
      <c r="C647" s="17" t="n">
        <v>-0.0298</v>
      </c>
      <c r="D647" s="17" t="n">
        <v>-0.0057</v>
      </c>
      <c r="E647" s="17" t="n">
        <v>0.0087</v>
      </c>
      <c r="F647" s="17" t="n">
        <v>-0.0095</v>
      </c>
      <c r="G647" s="17" t="n">
        <v>-0.0135</v>
      </c>
      <c r="H647" s="17" t="n">
        <v>-0.0315</v>
      </c>
      <c r="I647" s="17" t="n">
        <v>-0.0226</v>
      </c>
      <c r="J647" s="17" t="n">
        <v>-0.0217</v>
      </c>
      <c r="K647" s="17" t="n">
        <v>-0.0524</v>
      </c>
      <c r="L647" s="17" t="n">
        <v>0.0062</v>
      </c>
    </row>
    <row r="648" customFormat="false" ht="30" hidden="false" customHeight="true" outlineLevel="0" collapsed="false">
      <c r="A648" s="2" t="s">
        <v>757</v>
      </c>
      <c r="B648" s="16" t="n">
        <v>0.0867</v>
      </c>
      <c r="C648" s="16" t="n">
        <v>0.0923</v>
      </c>
      <c r="D648" s="16" t="n">
        <v>0.1061</v>
      </c>
      <c r="E648" s="16" t="n">
        <v>0.0395</v>
      </c>
      <c r="F648" s="16" t="n">
        <v>0.0682</v>
      </c>
      <c r="G648" s="16" t="n">
        <v>0.0304</v>
      </c>
      <c r="H648" s="16" t="n">
        <v>0.0378</v>
      </c>
      <c r="I648" s="16" t="n">
        <v>0.0082</v>
      </c>
      <c r="J648" s="16" t="n">
        <v>0.0249</v>
      </c>
      <c r="K648" s="16" t="n">
        <v>0.0749</v>
      </c>
      <c r="L648" s="16" t="n">
        <v>-0.0474</v>
      </c>
    </row>
    <row r="649" customFormat="false" ht="30" hidden="false" customHeight="true" outlineLevel="0" collapsed="false">
      <c r="A649" s="3" t="s">
        <v>88</v>
      </c>
      <c r="B649" s="17" t="n">
        <v>0</v>
      </c>
      <c r="C649" s="17" t="n">
        <v>0.0104</v>
      </c>
      <c r="D649" s="17" t="n">
        <v>0.018</v>
      </c>
      <c r="E649" s="17" t="n">
        <v>0.0269</v>
      </c>
      <c r="F649" s="17" t="n">
        <v>0.0206</v>
      </c>
      <c r="G649" s="17" t="n">
        <v>0.0227</v>
      </c>
      <c r="H649" s="17" t="n">
        <v>0.0251</v>
      </c>
      <c r="I649" s="17" t="n">
        <v>0.0214</v>
      </c>
      <c r="J649" s="17" t="n">
        <v>0.0065</v>
      </c>
      <c r="K649" s="17" t="n">
        <v>-0.0044</v>
      </c>
      <c r="L649" s="17" t="n">
        <v>-0.0026</v>
      </c>
    </row>
    <row r="650" customFormat="false" ht="30" hidden="false" customHeight="true" outlineLevel="0" collapsed="false">
      <c r="A650" s="2" t="s">
        <v>758</v>
      </c>
      <c r="B650" s="16" t="n">
        <v>0.0362</v>
      </c>
      <c r="C650" s="16" t="n">
        <v>0.0286</v>
      </c>
      <c r="D650" s="16" t="n">
        <v>0.017</v>
      </c>
      <c r="E650" s="16" t="n">
        <v>0.0239</v>
      </c>
      <c r="F650" s="16" t="n">
        <v>0.0204</v>
      </c>
      <c r="G650" s="16" t="n">
        <v>0.0112</v>
      </c>
      <c r="H650" s="16" t="n">
        <v>0.0174</v>
      </c>
      <c r="I650" s="16" t="n">
        <v>0.0068</v>
      </c>
      <c r="J650" s="16" t="n">
        <v>0.022</v>
      </c>
      <c r="K650" s="16" t="n">
        <v>0.0367</v>
      </c>
      <c r="L650" s="16" t="n">
        <v>-0.0092</v>
      </c>
    </row>
    <row r="651" customFormat="false" ht="30" hidden="false" customHeight="true" outlineLevel="0" collapsed="false">
      <c r="A651" s="3" t="s">
        <v>759</v>
      </c>
      <c r="B651" s="17" t="n">
        <v>0.0257</v>
      </c>
      <c r="C651" s="17" t="n">
        <v>0.0446</v>
      </c>
      <c r="D651" s="17" t="n">
        <v>0.0433</v>
      </c>
      <c r="E651" s="17" t="n">
        <v>0.0288</v>
      </c>
      <c r="F651" s="17" t="n">
        <v>0.0443</v>
      </c>
      <c r="G651" s="17" t="n">
        <v>0.0408</v>
      </c>
      <c r="H651" s="17" t="n">
        <v>0.0293</v>
      </c>
      <c r="I651" s="17" t="n">
        <v>0.0413</v>
      </c>
      <c r="J651" s="17" t="n">
        <v>0.0072</v>
      </c>
      <c r="K651" s="17" t="n">
        <v>0.0001</v>
      </c>
      <c r="L651" s="17" t="n">
        <v>-0.0153</v>
      </c>
    </row>
    <row r="652" customFormat="false" ht="30" hidden="false" customHeight="true" outlineLevel="0" collapsed="false">
      <c r="A652" s="2" t="s">
        <v>760</v>
      </c>
      <c r="B652" s="16" t="n">
        <v>-0.0184</v>
      </c>
      <c r="C652" s="16" t="n">
        <v>-0.0004</v>
      </c>
      <c r="D652" s="16" t="n">
        <v>0.0045</v>
      </c>
      <c r="E652" s="16" t="n">
        <v>0.0077</v>
      </c>
      <c r="F652" s="16" t="n">
        <v>0.0091</v>
      </c>
      <c r="G652" s="16" t="n">
        <v>0.0115</v>
      </c>
      <c r="H652" s="16" t="n">
        <v>-0.0096</v>
      </c>
      <c r="I652" s="16" t="n">
        <v>0.0032</v>
      </c>
      <c r="J652" s="16" t="n">
        <v>-0.0169</v>
      </c>
      <c r="K652" s="16" t="n">
        <v>0.0043</v>
      </c>
      <c r="L652" s="16" t="n">
        <v>-0.0096</v>
      </c>
    </row>
    <row r="653" customFormat="false" ht="30" hidden="false" customHeight="true" outlineLevel="0" collapsed="false">
      <c r="A653" s="3" t="s">
        <v>761</v>
      </c>
      <c r="B653" s="17" t="n">
        <v>0.0142</v>
      </c>
      <c r="C653" s="17" t="n">
        <v>-0.003</v>
      </c>
      <c r="D653" s="17" t="n">
        <v>0.0094</v>
      </c>
      <c r="E653" s="17" t="n">
        <v>0.035</v>
      </c>
      <c r="F653" s="17" t="n">
        <v>0.0177</v>
      </c>
      <c r="G653" s="17" t="n">
        <v>0.0009</v>
      </c>
      <c r="H653" s="17" t="n">
        <v>0.0076</v>
      </c>
      <c r="I653" s="17" t="n">
        <v>0.0158</v>
      </c>
      <c r="J653" s="17" t="n">
        <v>0.0087</v>
      </c>
      <c r="K653" s="17" t="n">
        <v>0.0023</v>
      </c>
      <c r="L653" s="17" t="n">
        <v>0.0051</v>
      </c>
    </row>
    <row r="654" customFormat="false" ht="30" hidden="false" customHeight="true" outlineLevel="0" collapsed="false">
      <c r="A654" s="2" t="s">
        <v>762</v>
      </c>
      <c r="B654" s="16" t="n">
        <v>-0.0442</v>
      </c>
      <c r="C654" s="16" t="n">
        <v>-0.0158</v>
      </c>
      <c r="D654" s="16" t="n">
        <v>0.0187</v>
      </c>
      <c r="E654" s="16" t="n">
        <v>-0.0029</v>
      </c>
      <c r="F654" s="16" t="n">
        <v>0.0148</v>
      </c>
      <c r="G654" s="16" t="n">
        <v>0.0262</v>
      </c>
      <c r="H654" s="16" t="n">
        <v>-0.0037</v>
      </c>
      <c r="I654" s="16" t="n">
        <v>0.0272</v>
      </c>
      <c r="J654" s="16" t="n">
        <v>0</v>
      </c>
      <c r="K654" s="16" t="n">
        <v>0.035</v>
      </c>
      <c r="L654" s="16" t="n">
        <v>0.0149</v>
      </c>
    </row>
    <row r="655" customFormat="false" ht="30" hidden="false" customHeight="true" outlineLevel="0" collapsed="false">
      <c r="A655" s="3" t="s">
        <v>763</v>
      </c>
      <c r="B655" s="17" t="n">
        <v>0.0478</v>
      </c>
      <c r="C655" s="17" t="n">
        <v>0.0035</v>
      </c>
      <c r="D655" s="17" t="n">
        <v>0.0113</v>
      </c>
      <c r="E655" s="17" t="n">
        <v>0.0072</v>
      </c>
      <c r="F655" s="17" t="n">
        <v>0.016</v>
      </c>
      <c r="G655" s="17" t="n">
        <v>0.0086</v>
      </c>
      <c r="H655" s="17" t="n">
        <v>0.0001</v>
      </c>
      <c r="I655" s="17" t="n">
        <v>0.0188</v>
      </c>
      <c r="J655" s="17" t="n">
        <v>-0.0107</v>
      </c>
      <c r="K655" s="17" t="n">
        <v>0.0094</v>
      </c>
      <c r="L655" s="17" t="n">
        <v>-0.0011</v>
      </c>
    </row>
    <row r="656" customFormat="false" ht="30" hidden="false" customHeight="true" outlineLevel="0" collapsed="false">
      <c r="A656" s="2" t="s">
        <v>764</v>
      </c>
      <c r="B656" s="16" t="n">
        <v>0.0093</v>
      </c>
      <c r="C656" s="16" t="n">
        <v>0.0134</v>
      </c>
      <c r="D656" s="16" t="n">
        <v>0.0157</v>
      </c>
      <c r="E656" s="16" t="n">
        <v>0.0085</v>
      </c>
      <c r="F656" s="16" t="n">
        <v>0.0094</v>
      </c>
      <c r="G656" s="16" t="n">
        <v>0.0074</v>
      </c>
      <c r="H656" s="16" t="n">
        <v>0.0103</v>
      </c>
      <c r="I656" s="16" t="n">
        <v>0.0287</v>
      </c>
      <c r="J656" s="16" t="n">
        <v>0.0422</v>
      </c>
      <c r="K656" s="16" t="n">
        <v>0.0299</v>
      </c>
      <c r="L656" s="16" t="n">
        <v>0.0164</v>
      </c>
    </row>
    <row r="657" customFormat="false" ht="30" hidden="false" customHeight="true" outlineLevel="0" collapsed="false">
      <c r="A657" s="3" t="s">
        <v>765</v>
      </c>
      <c r="B657" s="17" t="n">
        <v>-0.0308</v>
      </c>
      <c r="C657" s="17" t="n">
        <v>-0.0289</v>
      </c>
      <c r="D657" s="17" t="n">
        <v>-0.0167</v>
      </c>
      <c r="E657" s="17" t="n">
        <v>0.0047</v>
      </c>
      <c r="F657" s="17" t="n">
        <v>-0.0114</v>
      </c>
      <c r="G657" s="17" t="n">
        <v>0.013</v>
      </c>
      <c r="H657" s="17" t="n">
        <v>0.0078</v>
      </c>
      <c r="I657" s="17" t="n">
        <v>0.0101</v>
      </c>
      <c r="J657" s="17" t="n">
        <v>0.0224</v>
      </c>
      <c r="K657" s="17" t="n">
        <v>0.0016</v>
      </c>
      <c r="L657" s="17" t="n">
        <v>0.0336</v>
      </c>
    </row>
    <row r="658" customFormat="false" ht="30" hidden="false" customHeight="true" outlineLevel="0" collapsed="false">
      <c r="A658" s="2" t="s">
        <v>766</v>
      </c>
      <c r="B658" s="16" t="n">
        <v>0.0703</v>
      </c>
      <c r="C658" s="16" t="n">
        <v>0.0375</v>
      </c>
      <c r="D658" s="16" t="n">
        <v>0.0398</v>
      </c>
      <c r="E658" s="16" t="n">
        <v>0.0333</v>
      </c>
      <c r="F658" s="16" t="n">
        <v>0.0269</v>
      </c>
      <c r="G658" s="16" t="n">
        <v>0.0266</v>
      </c>
      <c r="H658" s="16" t="n">
        <v>0.0208</v>
      </c>
      <c r="I658" s="16" t="n">
        <v>0.0126</v>
      </c>
      <c r="J658" s="16" t="n">
        <v>0.009</v>
      </c>
      <c r="K658" s="16" t="n">
        <v>0.0422</v>
      </c>
      <c r="L658" s="16" t="n">
        <v>-0.0134</v>
      </c>
    </row>
    <row r="659" customFormat="false" ht="30" hidden="false" customHeight="true" outlineLevel="0" collapsed="false">
      <c r="A659" s="3" t="s">
        <v>767</v>
      </c>
      <c r="B659" s="17" t="n">
        <v>-0.0295</v>
      </c>
      <c r="C659" s="17" t="n">
        <v>-0.0467</v>
      </c>
      <c r="D659" s="17" t="n">
        <v>0.0125</v>
      </c>
      <c r="E659" s="17" t="n">
        <v>-0.0245</v>
      </c>
      <c r="F659" s="17" t="n">
        <v>0.0069</v>
      </c>
      <c r="G659" s="17" t="n">
        <v>0.0493</v>
      </c>
      <c r="H659" s="17" t="n">
        <v>0.0297</v>
      </c>
      <c r="I659" s="17" t="n">
        <v>0.0214</v>
      </c>
      <c r="J659" s="17" t="n">
        <v>0.0443</v>
      </c>
      <c r="K659" s="17" t="n">
        <v>0.0562</v>
      </c>
      <c r="L659" s="17" t="n">
        <v>0.0424</v>
      </c>
    </row>
    <row r="660" customFormat="false" ht="30" hidden="false" customHeight="true" outlineLevel="0" collapsed="false">
      <c r="A660" s="2" t="s">
        <v>768</v>
      </c>
      <c r="B660" s="16" t="n">
        <v>0.1104</v>
      </c>
      <c r="C660" s="16" t="n">
        <v>0.028</v>
      </c>
      <c r="D660" s="16" t="n">
        <v>0.0419</v>
      </c>
      <c r="E660" s="16" t="n">
        <v>0.0349</v>
      </c>
      <c r="F660" s="16" t="n">
        <v>0.0383</v>
      </c>
      <c r="G660" s="16" t="n">
        <v>0.0238</v>
      </c>
      <c r="H660" s="16" t="n">
        <v>0.0215</v>
      </c>
      <c r="I660" s="16" t="n">
        <v>0.0376</v>
      </c>
      <c r="J660" s="16" t="n">
        <v>0.0261</v>
      </c>
      <c r="K660" s="16" t="n">
        <v>0.0299</v>
      </c>
      <c r="L660" s="16" t="n">
        <v>-0.0091</v>
      </c>
    </row>
    <row r="661" customFormat="false" ht="30" hidden="false" customHeight="true" outlineLevel="0" collapsed="false">
      <c r="A661" s="3" t="s">
        <v>89</v>
      </c>
      <c r="B661" s="17" t="n">
        <v>0.011</v>
      </c>
      <c r="C661" s="17" t="n">
        <v>0.046</v>
      </c>
      <c r="D661" s="17" t="n">
        <v>0.0265</v>
      </c>
      <c r="E661" s="17" t="n">
        <v>0.0209</v>
      </c>
      <c r="F661" s="17" t="n">
        <v>0.0205</v>
      </c>
      <c r="G661" s="17" t="n">
        <v>0.0128</v>
      </c>
      <c r="H661" s="17" t="n">
        <v>0.0036</v>
      </c>
      <c r="I661" s="17" t="n">
        <v>0.0101</v>
      </c>
      <c r="J661" s="17" t="n">
        <v>0.0025</v>
      </c>
      <c r="K661" s="17" t="n">
        <v>-0.006</v>
      </c>
      <c r="L661" s="17" t="n">
        <v>-0.0157</v>
      </c>
    </row>
    <row r="662" customFormat="false" ht="30" hidden="false" customHeight="true" outlineLevel="0" collapsed="false">
      <c r="A662" s="2" t="s">
        <v>769</v>
      </c>
      <c r="B662" s="16" t="n">
        <v>-0.0113</v>
      </c>
      <c r="C662" s="16" t="n">
        <v>0.032</v>
      </c>
      <c r="D662" s="16" t="n">
        <v>0.0312</v>
      </c>
      <c r="E662" s="16" t="n">
        <v>0.0356</v>
      </c>
      <c r="F662" s="16" t="n">
        <v>0.0311</v>
      </c>
      <c r="G662" s="16" t="n">
        <v>0.0532</v>
      </c>
      <c r="H662" s="16" t="n">
        <v>0.0427</v>
      </c>
      <c r="I662" s="16" t="n">
        <v>0.0801</v>
      </c>
      <c r="J662" s="16" t="n">
        <v>0.0534</v>
      </c>
      <c r="K662" s="16" t="n">
        <v>0.1184</v>
      </c>
      <c r="L662" s="16" t="n">
        <v>0.0406</v>
      </c>
    </row>
    <row r="663" customFormat="false" ht="30" hidden="false" customHeight="true" outlineLevel="0" collapsed="false">
      <c r="A663" s="3" t="s">
        <v>770</v>
      </c>
      <c r="B663" s="17" t="n">
        <v>-0.0732</v>
      </c>
      <c r="C663" s="17" t="n">
        <v>-0.0622</v>
      </c>
      <c r="D663" s="17" t="n">
        <v>-0.0664</v>
      </c>
      <c r="E663" s="17" t="n">
        <v>-0.0625</v>
      </c>
      <c r="F663" s="17" t="n">
        <v>-0.0585</v>
      </c>
      <c r="G663" s="17" t="n">
        <v>-0.0418</v>
      </c>
      <c r="H663" s="17" t="n">
        <v>-0.0225</v>
      </c>
      <c r="I663" s="17" t="n">
        <v>-0.0275</v>
      </c>
      <c r="J663" s="17" t="n">
        <v>0.0028</v>
      </c>
      <c r="K663" s="17" t="n">
        <v>-0.0304</v>
      </c>
      <c r="L663" s="17" t="n">
        <v>0.036</v>
      </c>
    </row>
    <row r="664" customFormat="false" ht="30" hidden="false" customHeight="true" outlineLevel="0" collapsed="false">
      <c r="A664" s="2" t="s">
        <v>771</v>
      </c>
      <c r="B664" s="16" t="n">
        <v>-0.006</v>
      </c>
      <c r="C664" s="16" t="n">
        <v>-0.0152</v>
      </c>
      <c r="D664" s="16" t="n">
        <v>0.0014</v>
      </c>
      <c r="E664" s="16" t="n">
        <v>-0.013</v>
      </c>
      <c r="F664" s="16" t="n">
        <v>-0.013</v>
      </c>
      <c r="G664" s="16" t="n">
        <v>-0.0155</v>
      </c>
      <c r="H664" s="16" t="n">
        <v>-0.0335</v>
      </c>
      <c r="I664" s="16" t="n">
        <v>-0.0285</v>
      </c>
      <c r="J664" s="16" t="n">
        <v>-0.0247</v>
      </c>
      <c r="K664" s="16" t="n">
        <v>-0.0316</v>
      </c>
      <c r="L664" s="16" t="n">
        <v>-0.0121</v>
      </c>
    </row>
    <row r="665" customFormat="false" ht="30" hidden="false" customHeight="true" outlineLevel="0" collapsed="false">
      <c r="A665" s="3" t="s">
        <v>772</v>
      </c>
      <c r="B665" s="17" t="n">
        <v>0.0292</v>
      </c>
      <c r="C665" s="17" t="n">
        <v>-0.001</v>
      </c>
      <c r="D665" s="17" t="n">
        <v>-0.0173</v>
      </c>
      <c r="E665" s="17" t="n">
        <v>0.0063</v>
      </c>
      <c r="F665" s="17" t="n">
        <v>0.012</v>
      </c>
      <c r="G665" s="17" t="n">
        <v>0.0087</v>
      </c>
      <c r="H665" s="17" t="n">
        <v>-0.0094</v>
      </c>
      <c r="I665" s="17" t="n">
        <v>0.0007</v>
      </c>
      <c r="J665" s="17" t="n">
        <v>0.0104</v>
      </c>
      <c r="K665" s="17" t="n">
        <v>0.0139</v>
      </c>
      <c r="L665" s="17" t="n">
        <v>0.0045</v>
      </c>
    </row>
    <row r="666" customFormat="false" ht="30" hidden="false" customHeight="true" outlineLevel="0" collapsed="false">
      <c r="A666" s="2" t="s">
        <v>773</v>
      </c>
      <c r="B666" s="16" t="n">
        <v>0.0092</v>
      </c>
      <c r="C666" s="16" t="n">
        <v>-0.006</v>
      </c>
      <c r="D666" s="16" t="n">
        <v>0.0057</v>
      </c>
      <c r="E666" s="16" t="n">
        <v>0.0119</v>
      </c>
      <c r="F666" s="16" t="n">
        <v>0.0223</v>
      </c>
      <c r="G666" s="16" t="n">
        <v>0.0269</v>
      </c>
      <c r="H666" s="16" t="n">
        <v>0.0325</v>
      </c>
      <c r="I666" s="16" t="n">
        <v>0.0107</v>
      </c>
      <c r="J666" s="16" t="n">
        <v>0.0435</v>
      </c>
      <c r="K666" s="16" t="n">
        <v>0.0731</v>
      </c>
      <c r="L666" s="16" t="n">
        <v>0.0391</v>
      </c>
    </row>
    <row r="667" customFormat="false" ht="30" hidden="false" customHeight="true" outlineLevel="0" collapsed="false">
      <c r="A667" s="3" t="s">
        <v>774</v>
      </c>
      <c r="B667" s="17" t="n">
        <v>0.0363</v>
      </c>
      <c r="C667" s="17" t="n">
        <v>0.043</v>
      </c>
      <c r="D667" s="17" t="n">
        <v>0.0123</v>
      </c>
      <c r="E667" s="17" t="n">
        <v>0.0094</v>
      </c>
      <c r="F667" s="17" t="n">
        <v>-0.0051</v>
      </c>
      <c r="G667" s="17" t="n">
        <v>0.0039</v>
      </c>
      <c r="H667" s="17" t="n">
        <v>0.0047</v>
      </c>
      <c r="I667" s="17" t="n">
        <v>0.0002</v>
      </c>
      <c r="J667" s="17" t="n">
        <v>-0.0091</v>
      </c>
      <c r="K667" s="17" t="n">
        <v>0.0049</v>
      </c>
      <c r="L667" s="17" t="n">
        <v>-0.0229</v>
      </c>
    </row>
    <row r="668" customFormat="false" ht="30" hidden="false" customHeight="true" outlineLevel="0" collapsed="false">
      <c r="A668" s="2" t="s">
        <v>775</v>
      </c>
      <c r="B668" s="16" t="n">
        <v>0.0223</v>
      </c>
      <c r="C668" s="16" t="n">
        <v>0.0317</v>
      </c>
      <c r="D668" s="16" t="n">
        <v>0.0623</v>
      </c>
      <c r="E668" s="16" t="n">
        <v>0.0347</v>
      </c>
      <c r="F668" s="16" t="n">
        <v>0.0383</v>
      </c>
      <c r="G668" s="16" t="n">
        <v>0.0559</v>
      </c>
      <c r="H668" s="16" t="n">
        <v>0.0409</v>
      </c>
      <c r="I668" s="16" t="n">
        <v>0.0071</v>
      </c>
      <c r="J668" s="16" t="n">
        <v>0.0351</v>
      </c>
      <c r="K668" s="16" t="n">
        <v>0.0094</v>
      </c>
      <c r="L668" s="16" t="n">
        <v>-0.0143</v>
      </c>
    </row>
    <row r="669" customFormat="false" ht="30" hidden="false" customHeight="true" outlineLevel="0" collapsed="false">
      <c r="A669" s="3" t="s">
        <v>776</v>
      </c>
      <c r="B669" s="17" t="n">
        <v>0.0006</v>
      </c>
      <c r="C669" s="17" t="n">
        <v>0.0137</v>
      </c>
      <c r="D669" s="17" t="n">
        <v>0.01</v>
      </c>
      <c r="E669" s="17" t="n">
        <v>0.002</v>
      </c>
      <c r="F669" s="17" t="n">
        <v>0.0289</v>
      </c>
      <c r="G669" s="17" t="n">
        <v>0.021</v>
      </c>
      <c r="H669" s="17" t="n">
        <v>0.0118</v>
      </c>
      <c r="I669" s="17" t="n">
        <v>0.0755</v>
      </c>
      <c r="J669" s="17" t="n">
        <v>0.0613</v>
      </c>
      <c r="K669" s="17" t="n">
        <v>0.1</v>
      </c>
      <c r="L669" s="17" t="n">
        <v>0.0533</v>
      </c>
    </row>
    <row r="670" customFormat="false" ht="30" hidden="false" customHeight="true" outlineLevel="0" collapsed="false">
      <c r="A670" s="2" t="s">
        <v>777</v>
      </c>
      <c r="B670" s="16" t="n">
        <v>-0.0107</v>
      </c>
      <c r="C670" s="16" t="n">
        <v>0.0065</v>
      </c>
      <c r="D670" s="16" t="n">
        <v>0.0049</v>
      </c>
      <c r="E670" s="16" t="n">
        <v>0.0119</v>
      </c>
      <c r="F670" s="16" t="n">
        <v>-0.007</v>
      </c>
      <c r="G670" s="16" t="n">
        <v>-0.0029</v>
      </c>
      <c r="H670" s="16" t="n">
        <v>0.0008</v>
      </c>
      <c r="I670" s="16" t="n">
        <v>-0.0016</v>
      </c>
      <c r="J670" s="16" t="n">
        <v>0.0179</v>
      </c>
      <c r="K670" s="16" t="n">
        <v>-0.0064</v>
      </c>
      <c r="L670" s="16" t="n">
        <v>-0.001</v>
      </c>
    </row>
    <row r="671" customFormat="false" ht="30" hidden="false" customHeight="true" outlineLevel="0" collapsed="false">
      <c r="A671" s="3" t="s">
        <v>778</v>
      </c>
      <c r="B671" s="17" t="n">
        <v>-0.0889</v>
      </c>
      <c r="C671" s="17" t="n">
        <v>-0.0672</v>
      </c>
      <c r="D671" s="17" t="n">
        <v>-0.0534</v>
      </c>
      <c r="E671" s="17" t="n">
        <v>-0.0673</v>
      </c>
      <c r="F671" s="17" t="n">
        <v>-0.0484</v>
      </c>
      <c r="G671" s="17" t="n">
        <v>-0.0593</v>
      </c>
      <c r="H671" s="17" t="n">
        <v>-0.0576</v>
      </c>
      <c r="I671" s="17" t="n">
        <v>-0.0755</v>
      </c>
      <c r="J671" s="17" t="n">
        <v>-0.0719</v>
      </c>
      <c r="K671" s="17" t="n">
        <v>-0.1562</v>
      </c>
      <c r="L671" s="17" t="n">
        <v>-0.02</v>
      </c>
    </row>
    <row r="672" customFormat="false" ht="30" hidden="false" customHeight="true" outlineLevel="0" collapsed="false">
      <c r="A672" s="2" t="s">
        <v>779</v>
      </c>
      <c r="B672" s="16" t="n">
        <v>-0.009</v>
      </c>
      <c r="C672" s="16" t="n">
        <v>0.0092</v>
      </c>
      <c r="D672" s="16" t="n">
        <v>0.0178</v>
      </c>
      <c r="E672" s="16" t="n">
        <v>0.0321</v>
      </c>
      <c r="F672" s="16" t="n">
        <v>0.045</v>
      </c>
      <c r="G672" s="16" t="n">
        <v>0.0385</v>
      </c>
      <c r="H672" s="16" t="n">
        <v>0.0314</v>
      </c>
      <c r="I672" s="16" t="n">
        <v>-0.025</v>
      </c>
      <c r="J672" s="16" t="n">
        <v>0.0137</v>
      </c>
      <c r="K672" s="16" t="n">
        <v>0.0163</v>
      </c>
      <c r="L672" s="16" t="n">
        <v>-0.0142</v>
      </c>
    </row>
    <row r="673" customFormat="false" ht="30" hidden="false" customHeight="true" outlineLevel="0" collapsed="false">
      <c r="A673" s="3" t="s">
        <v>90</v>
      </c>
      <c r="B673" s="17" t="n">
        <v>-0.1196</v>
      </c>
      <c r="C673" s="17" t="n">
        <v>-0.1304</v>
      </c>
      <c r="D673" s="17" t="n">
        <v>-0.0818</v>
      </c>
      <c r="E673" s="17" t="n">
        <v>-0.1118</v>
      </c>
      <c r="F673" s="17" t="n">
        <v>-0.0995</v>
      </c>
      <c r="G673" s="17" t="n">
        <v>-0.0997</v>
      </c>
      <c r="H673" s="17" t="n">
        <v>-0.0875</v>
      </c>
      <c r="I673" s="17" t="n">
        <v>-0.084</v>
      </c>
      <c r="J673" s="17" t="n">
        <v>-0.0891</v>
      </c>
      <c r="K673" s="17" t="n">
        <v>-0.0833</v>
      </c>
      <c r="L673" s="17" t="n">
        <v>0.0175</v>
      </c>
    </row>
    <row r="674" customFormat="false" ht="30" hidden="false" customHeight="true" outlineLevel="0" collapsed="false">
      <c r="A674" s="2" t="s">
        <v>780</v>
      </c>
      <c r="B674" s="16" t="n">
        <v>0.1942</v>
      </c>
      <c r="C674" s="16" t="n">
        <v>0.1801</v>
      </c>
      <c r="D674" s="16" t="n">
        <v>0.1467</v>
      </c>
      <c r="E674" s="16" t="n">
        <v>0.1107</v>
      </c>
      <c r="F674" s="16" t="n">
        <v>0.0868</v>
      </c>
      <c r="G674" s="16" t="n">
        <v>0.0771</v>
      </c>
      <c r="H674" s="16" t="n">
        <v>0.0648</v>
      </c>
      <c r="I674" s="16" t="n">
        <v>0.0638</v>
      </c>
      <c r="J674" s="16" t="n">
        <v>0.0627</v>
      </c>
      <c r="K674" s="16" t="n">
        <v>0.1081</v>
      </c>
      <c r="L674" s="16" t="n">
        <v>-0.0864</v>
      </c>
    </row>
    <row r="675" customFormat="false" ht="30" hidden="false" customHeight="true" outlineLevel="0" collapsed="false">
      <c r="A675" s="3" t="s">
        <v>781</v>
      </c>
      <c r="B675" s="17" t="n">
        <v>0.0772</v>
      </c>
      <c r="C675" s="17" t="n">
        <v>0.0186</v>
      </c>
      <c r="D675" s="17" t="n">
        <v>0.0275</v>
      </c>
      <c r="E675" s="17" t="n">
        <v>0.0326</v>
      </c>
      <c r="F675" s="17" t="n">
        <v>0.0383</v>
      </c>
      <c r="G675" s="17" t="n">
        <v>0.0235</v>
      </c>
      <c r="H675" s="17" t="n">
        <v>0.0364</v>
      </c>
      <c r="I675" s="17" t="n">
        <v>0.0231</v>
      </c>
      <c r="J675" s="17" t="n">
        <v>0.051</v>
      </c>
      <c r="K675" s="17" t="n">
        <v>0.0506</v>
      </c>
      <c r="L675" s="17" t="n">
        <v>0.0076</v>
      </c>
    </row>
    <row r="676" customFormat="false" ht="30" hidden="false" customHeight="true" outlineLevel="0" collapsed="false">
      <c r="A676" s="2" t="s">
        <v>782</v>
      </c>
      <c r="B676" s="16" t="n">
        <v>0.0294</v>
      </c>
      <c r="C676" s="16" t="n">
        <v>-0.0109</v>
      </c>
      <c r="D676" s="16" t="n">
        <v>-0.0072</v>
      </c>
      <c r="E676" s="16" t="n">
        <v>-0.0142</v>
      </c>
      <c r="F676" s="16" t="n">
        <v>0.0195</v>
      </c>
      <c r="G676" s="16" t="n">
        <v>0.0128</v>
      </c>
      <c r="H676" s="16" t="n">
        <v>0.0084</v>
      </c>
      <c r="I676" s="16" t="n">
        <v>0.0335</v>
      </c>
      <c r="J676" s="16" t="n">
        <v>0.0183</v>
      </c>
      <c r="K676" s="16" t="n">
        <v>0.0062</v>
      </c>
      <c r="L676" s="16" t="n">
        <v>0.0227</v>
      </c>
    </row>
    <row r="677" customFormat="false" ht="30" hidden="false" customHeight="true" outlineLevel="0" collapsed="false">
      <c r="A677" s="3" t="s">
        <v>783</v>
      </c>
      <c r="B677" s="17" t="n">
        <v>0.0383</v>
      </c>
      <c r="C677" s="17" t="n">
        <v>0.055</v>
      </c>
      <c r="D677" s="17" t="n">
        <v>0.0657</v>
      </c>
      <c r="E677" s="17" t="n">
        <v>0.0403</v>
      </c>
      <c r="F677" s="17" t="n">
        <v>0.0743</v>
      </c>
      <c r="G677" s="17" t="n">
        <v>0.0603</v>
      </c>
      <c r="H677" s="17" t="n">
        <v>0.0403</v>
      </c>
      <c r="I677" s="17" t="n">
        <v>0.0186</v>
      </c>
      <c r="J677" s="17" t="n">
        <v>0.0377</v>
      </c>
      <c r="K677" s="17" t="n">
        <v>0.0081</v>
      </c>
      <c r="L677" s="17" t="n">
        <v>-0.0291</v>
      </c>
    </row>
    <row r="678" customFormat="false" ht="30" hidden="false" customHeight="true" outlineLevel="0" collapsed="false">
      <c r="A678" s="2" t="s">
        <v>784</v>
      </c>
      <c r="B678" s="16" t="n">
        <v>-0.1701</v>
      </c>
      <c r="C678" s="16" t="n">
        <v>-0.1344</v>
      </c>
      <c r="D678" s="16" t="n">
        <v>-0.1224</v>
      </c>
      <c r="E678" s="16" t="n">
        <v>-0.0972</v>
      </c>
      <c r="F678" s="16" t="n">
        <v>-0.0816</v>
      </c>
      <c r="G678" s="16" t="n">
        <v>-0.0635</v>
      </c>
      <c r="H678" s="16" t="n">
        <v>-0.0616</v>
      </c>
      <c r="I678" s="16" t="n">
        <v>-0.0724</v>
      </c>
      <c r="J678" s="16" t="n">
        <v>-0.0359</v>
      </c>
      <c r="K678" s="16" t="n">
        <v>-0.0424</v>
      </c>
      <c r="L678" s="16" t="n">
        <v>0.0756</v>
      </c>
    </row>
    <row r="679" customFormat="false" ht="30" hidden="false" customHeight="true" outlineLevel="0" collapsed="false">
      <c r="A679" s="3" t="s">
        <v>785</v>
      </c>
      <c r="B679" s="17" t="n">
        <v>0.1095</v>
      </c>
      <c r="C679" s="17" t="n">
        <v>0.1083</v>
      </c>
      <c r="D679" s="17" t="n">
        <v>0.0919</v>
      </c>
      <c r="E679" s="17" t="n">
        <v>0.075</v>
      </c>
      <c r="F679" s="17" t="n">
        <v>0.0772</v>
      </c>
      <c r="G679" s="17" t="n">
        <v>0.0759</v>
      </c>
      <c r="H679" s="17" t="n">
        <v>0.0735</v>
      </c>
      <c r="I679" s="17" t="n">
        <v>0.0623</v>
      </c>
      <c r="J679" s="17" t="n">
        <v>0.0677</v>
      </c>
      <c r="K679" s="17" t="n">
        <v>0.0648</v>
      </c>
      <c r="L679" s="17" t="n">
        <v>-0.0226</v>
      </c>
    </row>
    <row r="680" customFormat="false" ht="30" hidden="false" customHeight="true" outlineLevel="0" collapsed="false">
      <c r="A680" s="2" t="s">
        <v>786</v>
      </c>
      <c r="B680" s="16" t="n">
        <v>-0.0434</v>
      </c>
      <c r="C680" s="16" t="n">
        <v>0.0104</v>
      </c>
      <c r="D680" s="16" t="n">
        <v>-0.0068</v>
      </c>
      <c r="E680" s="16" t="n">
        <v>0.0193</v>
      </c>
      <c r="F680" s="16" t="n">
        <v>0.0081</v>
      </c>
      <c r="G680" s="16" t="n">
        <v>0.0352</v>
      </c>
      <c r="H680" s="16" t="n">
        <v>0.0237</v>
      </c>
      <c r="I680" s="16" t="n">
        <v>-0.0067</v>
      </c>
      <c r="J680" s="16" t="n">
        <v>0.0062</v>
      </c>
      <c r="K680" s="16" t="n">
        <v>0.0198</v>
      </c>
      <c r="L680" s="16" t="n">
        <v>0.0293</v>
      </c>
    </row>
    <row r="681" customFormat="false" ht="30" hidden="false" customHeight="true" outlineLevel="0" collapsed="false">
      <c r="A681" s="3" t="s">
        <v>787</v>
      </c>
      <c r="B681" s="17" t="n">
        <v>-0.1338</v>
      </c>
      <c r="C681" s="17" t="n">
        <v>-0.0954</v>
      </c>
      <c r="D681" s="17" t="n">
        <v>-0.0801</v>
      </c>
      <c r="E681" s="17" t="n">
        <v>-0.0658</v>
      </c>
      <c r="F681" s="17" t="n">
        <v>-0.0348</v>
      </c>
      <c r="G681" s="17" t="n">
        <v>-0.0583</v>
      </c>
      <c r="H681" s="17" t="n">
        <v>-0.0168</v>
      </c>
      <c r="I681" s="17" t="n">
        <v>-0.0067</v>
      </c>
      <c r="J681" s="17" t="n">
        <v>0.0088</v>
      </c>
      <c r="K681" s="17" t="n">
        <v>-0.0024</v>
      </c>
      <c r="L681" s="17" t="n">
        <v>0.0747</v>
      </c>
    </row>
    <row r="682" customFormat="false" ht="30" hidden="false" customHeight="true" outlineLevel="0" collapsed="false">
      <c r="A682" s="2" t="s">
        <v>788</v>
      </c>
      <c r="B682" s="16" t="n">
        <v>0.0518</v>
      </c>
      <c r="C682" s="16" t="n">
        <v>0.0555</v>
      </c>
      <c r="D682" s="16" t="n">
        <v>0.0576</v>
      </c>
      <c r="E682" s="16" t="n">
        <v>0.0512</v>
      </c>
      <c r="F682" s="16" t="n">
        <v>0.0097</v>
      </c>
      <c r="G682" s="16" t="n">
        <v>0.0271</v>
      </c>
      <c r="H682" s="16" t="n">
        <v>0.0472</v>
      </c>
      <c r="I682" s="16" t="n">
        <v>0.0138</v>
      </c>
      <c r="J682" s="16" t="n">
        <v>0.0028</v>
      </c>
      <c r="K682" s="16" t="n">
        <v>-0.03</v>
      </c>
      <c r="L682" s="16" t="n">
        <v>-0.0674</v>
      </c>
    </row>
    <row r="683" customFormat="false" ht="30" hidden="false" customHeight="true" outlineLevel="0" collapsed="false">
      <c r="A683" s="3" t="s">
        <v>789</v>
      </c>
      <c r="B683" s="17" t="n">
        <v>-0.0424</v>
      </c>
      <c r="C683" s="17" t="n">
        <v>0.0485</v>
      </c>
      <c r="D683" s="17" t="n">
        <v>0.0268</v>
      </c>
      <c r="E683" s="17" t="n">
        <v>0.0439</v>
      </c>
      <c r="F683" s="17" t="n">
        <v>0.0349</v>
      </c>
      <c r="G683" s="17" t="n">
        <v>0.048</v>
      </c>
      <c r="H683" s="17" t="n">
        <v>0.0194</v>
      </c>
      <c r="I683" s="17" t="n">
        <v>0.0157</v>
      </c>
      <c r="J683" s="17" t="n">
        <v>0.0101</v>
      </c>
      <c r="K683" s="17" t="n">
        <v>-0.0044</v>
      </c>
      <c r="L683" s="17" t="n">
        <v>0.0013</v>
      </c>
    </row>
    <row r="684" customFormat="false" ht="30" hidden="false" customHeight="true" outlineLevel="0" collapsed="false">
      <c r="A684" s="2" t="s">
        <v>790</v>
      </c>
      <c r="B684" s="16" t="n">
        <v>0.0314</v>
      </c>
      <c r="C684" s="16" t="n">
        <v>0.0662</v>
      </c>
      <c r="D684" s="16" t="n">
        <v>0.068</v>
      </c>
      <c r="E684" s="16" t="n">
        <v>0.0578</v>
      </c>
      <c r="F684" s="16" t="n">
        <v>0.0519</v>
      </c>
      <c r="G684" s="16" t="n">
        <v>0.0378</v>
      </c>
      <c r="H684" s="16" t="n">
        <v>0.0444</v>
      </c>
      <c r="I684" s="16" t="n">
        <v>0.0169</v>
      </c>
      <c r="J684" s="16" t="n">
        <v>0.0292</v>
      </c>
      <c r="K684" s="16" t="n">
        <v>0.0358</v>
      </c>
      <c r="L684" s="16" t="n">
        <v>-0.0261</v>
      </c>
    </row>
    <row r="685" customFormat="false" ht="30" hidden="false" customHeight="true" outlineLevel="0" collapsed="false">
      <c r="A685" s="3" t="s">
        <v>91</v>
      </c>
      <c r="B685" s="17" t="n">
        <v>0.118</v>
      </c>
      <c r="C685" s="17" t="n">
        <v>0.0537</v>
      </c>
      <c r="D685" s="17" t="n">
        <v>0.032</v>
      </c>
      <c r="E685" s="17" t="n">
        <v>0.0363</v>
      </c>
      <c r="F685" s="17" t="n">
        <v>0.0171</v>
      </c>
      <c r="G685" s="17" t="n">
        <v>0.0278</v>
      </c>
      <c r="H685" s="17" t="n">
        <v>0.0248</v>
      </c>
      <c r="I685" s="17" t="n">
        <v>0.0261</v>
      </c>
      <c r="J685" s="17" t="n">
        <v>0.0227</v>
      </c>
      <c r="K685" s="17" t="n">
        <v>0.0456</v>
      </c>
      <c r="L685" s="17" t="n">
        <v>-0.0224</v>
      </c>
    </row>
    <row r="686" customFormat="false" ht="30" hidden="false" customHeight="true" outlineLevel="0" collapsed="false">
      <c r="A686" s="2" t="s">
        <v>791</v>
      </c>
      <c r="B686" s="16" t="n">
        <v>-0.0872</v>
      </c>
      <c r="C686" s="16" t="n">
        <v>-0.0847</v>
      </c>
      <c r="D686" s="16" t="n">
        <v>-0.0315</v>
      </c>
      <c r="E686" s="16" t="n">
        <v>-0.0294</v>
      </c>
      <c r="F686" s="16" t="n">
        <v>0.0084</v>
      </c>
      <c r="G686" s="16" t="n">
        <v>0.0088</v>
      </c>
      <c r="H686" s="16" t="n">
        <v>-0.0117</v>
      </c>
      <c r="I686" s="16" t="n">
        <v>-0.0048</v>
      </c>
      <c r="J686" s="16" t="n">
        <v>0.0313</v>
      </c>
      <c r="K686" s="16" t="n">
        <v>0.0326</v>
      </c>
      <c r="L686" s="16" t="n">
        <v>0.0602</v>
      </c>
    </row>
    <row r="687" customFormat="false" ht="30" hidden="false" customHeight="true" outlineLevel="0" collapsed="false">
      <c r="A687" s="3" t="s">
        <v>792</v>
      </c>
      <c r="B687" s="17" t="n">
        <v>-0.1211</v>
      </c>
      <c r="C687" s="17" t="n">
        <v>-0.0733</v>
      </c>
      <c r="D687" s="17" t="n">
        <v>-0.0547</v>
      </c>
      <c r="E687" s="17" t="n">
        <v>-0.1037</v>
      </c>
      <c r="F687" s="17" t="n">
        <v>-0.0815</v>
      </c>
      <c r="G687" s="17" t="n">
        <v>-0.0862</v>
      </c>
      <c r="H687" s="17" t="n">
        <v>-0.0808</v>
      </c>
      <c r="I687" s="17" t="n">
        <v>-0.0897</v>
      </c>
      <c r="J687" s="17" t="n">
        <v>-0.0822</v>
      </c>
      <c r="K687" s="17" t="n">
        <v>-0.0661</v>
      </c>
      <c r="L687" s="17" t="n">
        <v>-0.0025</v>
      </c>
    </row>
    <row r="688" customFormat="false" ht="30" hidden="false" customHeight="true" outlineLevel="0" collapsed="false">
      <c r="A688" s="2" t="s">
        <v>793</v>
      </c>
      <c r="B688" s="16" t="n">
        <v>-0.3092</v>
      </c>
      <c r="C688" s="16" t="n">
        <v>-0.3077</v>
      </c>
      <c r="D688" s="16" t="n">
        <v>-0.202</v>
      </c>
      <c r="E688" s="16" t="n">
        <v>-0.1783</v>
      </c>
      <c r="F688" s="16" t="n">
        <v>-0.1461</v>
      </c>
      <c r="G688" s="16" t="n">
        <v>-0.1497</v>
      </c>
      <c r="H688" s="16" t="n">
        <v>-0.1077</v>
      </c>
      <c r="I688" s="16" t="n">
        <v>-0.12</v>
      </c>
      <c r="J688" s="16" t="n">
        <v>-0.1348</v>
      </c>
      <c r="K688" s="16" t="n">
        <v>-0.0959</v>
      </c>
      <c r="L688" s="16" t="n">
        <v>0.082</v>
      </c>
    </row>
    <row r="689" customFormat="false" ht="30" hidden="false" customHeight="true" outlineLevel="0" collapsed="false">
      <c r="A689" s="3" t="s">
        <v>794</v>
      </c>
      <c r="B689" s="17" t="n">
        <v>0.4675</v>
      </c>
      <c r="C689" s="17" t="n">
        <v>0.2281</v>
      </c>
      <c r="D689" s="17" t="n">
        <v>0.1439</v>
      </c>
      <c r="E689" s="17" t="n">
        <v>0.1626</v>
      </c>
      <c r="F689" s="17" t="n">
        <v>0.1026</v>
      </c>
      <c r="G689" s="17" t="n">
        <v>0.1255</v>
      </c>
      <c r="H689" s="17" t="n">
        <v>0.1518</v>
      </c>
      <c r="I689" s="17" t="n">
        <v>0.1153</v>
      </c>
      <c r="J689" s="17" t="n">
        <v>0.1224</v>
      </c>
      <c r="K689" s="17" t="n">
        <v>0.1467</v>
      </c>
      <c r="L689" s="17" t="n">
        <v>-0.0561</v>
      </c>
    </row>
    <row r="690" customFormat="false" ht="30" hidden="false" customHeight="true" outlineLevel="0" collapsed="false">
      <c r="A690" s="2" t="s">
        <v>795</v>
      </c>
      <c r="B690" s="16" t="n">
        <v>-0.0123</v>
      </c>
      <c r="C690" s="16" t="n">
        <v>0.077</v>
      </c>
      <c r="D690" s="16" t="n">
        <v>0.0438</v>
      </c>
      <c r="E690" s="16" t="n">
        <v>0.0745</v>
      </c>
      <c r="F690" s="16" t="n">
        <v>0.0297</v>
      </c>
      <c r="G690" s="16" t="n">
        <v>0.0655</v>
      </c>
      <c r="H690" s="16" t="n">
        <v>0.0491</v>
      </c>
      <c r="I690" s="16" t="n">
        <v>0.0561</v>
      </c>
      <c r="J690" s="16" t="n">
        <v>0.0433</v>
      </c>
      <c r="K690" s="16" t="n">
        <v>0.0666</v>
      </c>
      <c r="L690" s="16" t="n">
        <v>0.0015</v>
      </c>
    </row>
    <row r="691" customFormat="false" ht="30" hidden="false" customHeight="true" outlineLevel="0" collapsed="false">
      <c r="A691" s="3" t="s">
        <v>796</v>
      </c>
      <c r="B691" s="17" t="n">
        <v>0.1875</v>
      </c>
      <c r="C691" s="17" t="n">
        <v>0.0651</v>
      </c>
      <c r="D691" s="17" t="n">
        <v>0.0093</v>
      </c>
      <c r="E691" s="17" t="n">
        <v>0.0135</v>
      </c>
      <c r="F691" s="17" t="n">
        <v>-0.0004</v>
      </c>
      <c r="G691" s="17" t="n">
        <v>-0.0084</v>
      </c>
      <c r="H691" s="17" t="n">
        <v>-0.0247</v>
      </c>
      <c r="I691" s="17" t="n">
        <v>-0.0017</v>
      </c>
      <c r="J691" s="17" t="n">
        <v>0.0055</v>
      </c>
      <c r="K691" s="17" t="n">
        <v>0.0798</v>
      </c>
      <c r="L691" s="17" t="n">
        <v>-0.0087</v>
      </c>
    </row>
    <row r="692" customFormat="false" ht="30" hidden="false" customHeight="true" outlineLevel="0" collapsed="false">
      <c r="A692" s="2" t="s">
        <v>797</v>
      </c>
      <c r="B692" s="16" t="n">
        <v>-0.0312</v>
      </c>
      <c r="C692" s="16" t="n">
        <v>-0.0392</v>
      </c>
      <c r="D692" s="16" t="n">
        <v>-0.0157</v>
      </c>
      <c r="E692" s="16" t="n">
        <v>0.0095</v>
      </c>
      <c r="F692" s="16" t="n">
        <v>0.0161</v>
      </c>
      <c r="G692" s="16" t="n">
        <v>0.0473</v>
      </c>
      <c r="H692" s="16" t="n">
        <v>0.0501</v>
      </c>
      <c r="I692" s="16" t="n">
        <v>0.0626</v>
      </c>
      <c r="J692" s="16" t="n">
        <v>0.0677</v>
      </c>
      <c r="K692" s="16" t="n">
        <v>0.0799</v>
      </c>
      <c r="L692" s="16" t="n">
        <v>0.077</v>
      </c>
    </row>
    <row r="693" customFormat="false" ht="30" hidden="false" customHeight="true" outlineLevel="0" collapsed="false">
      <c r="A693" s="3" t="s">
        <v>798</v>
      </c>
      <c r="B693" s="17" t="n">
        <v>0.0385</v>
      </c>
      <c r="C693" s="17" t="n">
        <v>0.0662</v>
      </c>
      <c r="D693" s="17" t="n">
        <v>0.0545</v>
      </c>
      <c r="E693" s="17" t="n">
        <v>0.0378</v>
      </c>
      <c r="F693" s="17" t="n">
        <v>0.0629</v>
      </c>
      <c r="G693" s="17" t="n">
        <v>0.0436</v>
      </c>
      <c r="H693" s="17" t="n">
        <v>0.0485</v>
      </c>
      <c r="I693" s="17" t="n">
        <v>0.0602</v>
      </c>
      <c r="J693" s="17" t="n">
        <v>0.0705</v>
      </c>
      <c r="K693" s="17" t="n">
        <v>0.1146</v>
      </c>
      <c r="L693" s="17" t="n">
        <v>0.0043</v>
      </c>
    </row>
    <row r="694" customFormat="false" ht="30" hidden="false" customHeight="true" outlineLevel="0" collapsed="false">
      <c r="A694" s="2" t="s">
        <v>799</v>
      </c>
      <c r="B694" s="16" t="n">
        <v>-0.0778</v>
      </c>
      <c r="C694" s="16" t="n">
        <v>-0.0669</v>
      </c>
      <c r="D694" s="16" t="n">
        <v>-0.056</v>
      </c>
      <c r="E694" s="16" t="n">
        <v>-0.0429</v>
      </c>
      <c r="F694" s="16" t="n">
        <v>-0.0244</v>
      </c>
      <c r="G694" s="16" t="n">
        <v>-0.0088</v>
      </c>
      <c r="H694" s="16" t="n">
        <v>-0.0212</v>
      </c>
      <c r="I694" s="16" t="n">
        <v>-0.0071</v>
      </c>
      <c r="J694" s="16" t="n">
        <v>-0.0372</v>
      </c>
      <c r="K694" s="16" t="n">
        <v>-0.0621</v>
      </c>
      <c r="L694" s="16" t="n">
        <v>0.0318</v>
      </c>
    </row>
    <row r="695" customFormat="false" ht="30" hidden="false" customHeight="true" outlineLevel="0" collapsed="false">
      <c r="A695" s="3" t="s">
        <v>800</v>
      </c>
      <c r="B695" s="17" t="n">
        <v>-0.0343</v>
      </c>
      <c r="C695" s="17" t="n">
        <v>0.0003</v>
      </c>
      <c r="D695" s="17" t="n">
        <v>0.0305</v>
      </c>
      <c r="E695" s="17" t="n">
        <v>0.0106</v>
      </c>
      <c r="F695" s="17" t="n">
        <v>-0.0033</v>
      </c>
      <c r="G695" s="17" t="n">
        <v>-0.0309</v>
      </c>
      <c r="H695" s="17" t="n">
        <v>-0.0295</v>
      </c>
      <c r="I695" s="17" t="n">
        <v>-0.0272</v>
      </c>
      <c r="J695" s="17" t="n">
        <v>0.0004</v>
      </c>
      <c r="K695" s="17" t="n">
        <v>-0.0373</v>
      </c>
      <c r="L695" s="17" t="n">
        <v>-0.031</v>
      </c>
    </row>
    <row r="696" customFormat="false" ht="30" hidden="false" customHeight="true" outlineLevel="0" collapsed="false">
      <c r="A696" s="2" t="s">
        <v>801</v>
      </c>
      <c r="B696" s="16" t="n">
        <v>0.3748</v>
      </c>
      <c r="C696" s="16" t="n">
        <v>0.2788</v>
      </c>
      <c r="D696" s="16" t="n">
        <v>0.2071</v>
      </c>
      <c r="E696" s="16" t="n">
        <v>0.1807</v>
      </c>
      <c r="F696" s="16" t="n">
        <v>0.1548</v>
      </c>
      <c r="G696" s="16" t="n">
        <v>0.1376</v>
      </c>
      <c r="H696" s="16" t="n">
        <v>0.1135</v>
      </c>
      <c r="I696" s="16" t="n">
        <v>0.1066</v>
      </c>
      <c r="J696" s="16" t="n">
        <v>0.0985</v>
      </c>
      <c r="K696" s="16" t="n">
        <v>0.1038</v>
      </c>
      <c r="L696" s="16" t="n">
        <v>-0.126</v>
      </c>
    </row>
    <row r="697" customFormat="false" ht="30" hidden="false" customHeight="true" outlineLevel="0" collapsed="false">
      <c r="A697" s="3" t="s">
        <v>92</v>
      </c>
      <c r="B697" s="17" t="n">
        <v>0.0807</v>
      </c>
      <c r="C697" s="17" t="n">
        <v>0.0694</v>
      </c>
      <c r="D697" s="17" t="n">
        <v>0.0689</v>
      </c>
      <c r="E697" s="17" t="n">
        <v>0.0745</v>
      </c>
      <c r="F697" s="17" t="n">
        <v>0.0476</v>
      </c>
      <c r="G697" s="17" t="n">
        <v>0.0325</v>
      </c>
      <c r="H697" s="17" t="n">
        <v>0.0449</v>
      </c>
      <c r="I697" s="17" t="n">
        <v>0.0393</v>
      </c>
      <c r="J697" s="17" t="n">
        <v>0.0182</v>
      </c>
      <c r="K697" s="17" t="n">
        <v>0.0644</v>
      </c>
      <c r="L697" s="17" t="n">
        <v>-0.0226</v>
      </c>
    </row>
    <row r="698" customFormat="false" ht="30" hidden="false" customHeight="true" outlineLevel="0" collapsed="false">
      <c r="A698" s="2" t="s">
        <v>802</v>
      </c>
      <c r="B698" s="16" t="n">
        <v>0.0658</v>
      </c>
      <c r="C698" s="16" t="n">
        <v>-0.004</v>
      </c>
      <c r="D698" s="16" t="n">
        <v>0.0103</v>
      </c>
      <c r="E698" s="16" t="n">
        <v>-0.0078</v>
      </c>
      <c r="F698" s="16" t="n">
        <v>-0.0198</v>
      </c>
      <c r="G698" s="16" t="n">
        <v>-0.0139</v>
      </c>
      <c r="H698" s="16" t="n">
        <v>-0.0503</v>
      </c>
      <c r="I698" s="16" t="n">
        <v>-0.0042</v>
      </c>
      <c r="J698" s="16" t="n">
        <v>0.0076</v>
      </c>
      <c r="K698" s="16" t="n">
        <v>0.0209</v>
      </c>
      <c r="L698" s="16" t="n">
        <v>0.0434</v>
      </c>
    </row>
    <row r="699" customFormat="false" ht="30" hidden="false" customHeight="true" outlineLevel="0" collapsed="false">
      <c r="A699" s="3" t="s">
        <v>803</v>
      </c>
      <c r="B699" s="17" t="n">
        <v>0.1979</v>
      </c>
      <c r="C699" s="17" t="n">
        <v>0.0796</v>
      </c>
      <c r="D699" s="17" t="n">
        <v>0.0721</v>
      </c>
      <c r="E699" s="17" t="n">
        <v>0.074</v>
      </c>
      <c r="F699" s="17" t="n">
        <v>0.0261</v>
      </c>
      <c r="G699" s="17" t="n">
        <v>0.0474</v>
      </c>
      <c r="H699" s="17" t="n">
        <v>0.0506</v>
      </c>
      <c r="I699" s="17" t="n">
        <v>0.0171</v>
      </c>
      <c r="J699" s="17" t="n">
        <v>0.0113</v>
      </c>
      <c r="K699" s="17" t="n">
        <v>-0.0278</v>
      </c>
      <c r="L699" s="17" t="n">
        <v>-0.0799</v>
      </c>
    </row>
    <row r="700" customFormat="false" ht="30" hidden="false" customHeight="true" outlineLevel="0" collapsed="false">
      <c r="A700" s="2" t="s">
        <v>804</v>
      </c>
      <c r="B700" s="16" t="n">
        <v>0.0722</v>
      </c>
      <c r="C700" s="16" t="n">
        <v>0.0644</v>
      </c>
      <c r="D700" s="16" t="n">
        <v>0.0685</v>
      </c>
      <c r="E700" s="16" t="n">
        <v>0.0552</v>
      </c>
      <c r="F700" s="16" t="n">
        <v>0.0665</v>
      </c>
      <c r="G700" s="16" t="n">
        <v>0.0611</v>
      </c>
      <c r="H700" s="16" t="n">
        <v>0.0518</v>
      </c>
      <c r="I700" s="16" t="n">
        <v>0.0183</v>
      </c>
      <c r="J700" s="16" t="n">
        <v>0.0087</v>
      </c>
      <c r="K700" s="16" t="n">
        <v>-0.0652</v>
      </c>
      <c r="L700" s="16" t="n">
        <v>-0.061</v>
      </c>
    </row>
    <row r="701" customFormat="false" ht="30" hidden="false" customHeight="true" outlineLevel="0" collapsed="false">
      <c r="A701" s="3" t="s">
        <v>805</v>
      </c>
      <c r="B701" s="17" t="n">
        <v>0.0218</v>
      </c>
      <c r="C701" s="17" t="n">
        <v>0.0235</v>
      </c>
      <c r="D701" s="17" t="n">
        <v>0.0565</v>
      </c>
      <c r="E701" s="17" t="n">
        <v>0.0715</v>
      </c>
      <c r="F701" s="17" t="n">
        <v>0.0693</v>
      </c>
      <c r="G701" s="17" t="n">
        <v>0.0517</v>
      </c>
      <c r="H701" s="17" t="n">
        <v>0.0413</v>
      </c>
      <c r="I701" s="17" t="n">
        <v>0.0375</v>
      </c>
      <c r="J701" s="17" t="n">
        <v>0.0529</v>
      </c>
      <c r="K701" s="17" t="n">
        <v>0.045</v>
      </c>
      <c r="L701" s="17" t="n">
        <v>0.0122</v>
      </c>
    </row>
    <row r="702" customFormat="false" ht="30" hidden="false" customHeight="true" outlineLevel="0" collapsed="false">
      <c r="A702" s="2" t="s">
        <v>109</v>
      </c>
      <c r="B702" s="16" t="n">
        <v>0.001</v>
      </c>
      <c r="C702" s="16" t="n">
        <v>0.0134</v>
      </c>
      <c r="D702" s="16" t="n">
        <v>-0.0126</v>
      </c>
      <c r="E702" s="16" t="n">
        <v>0.0142</v>
      </c>
      <c r="F702" s="16" t="n">
        <v>0.0182</v>
      </c>
      <c r="G702" s="16" t="n">
        <v>-0.0028</v>
      </c>
      <c r="H702" s="16" t="n">
        <v>0.0261</v>
      </c>
      <c r="I702" s="16" t="n">
        <v>0.0139</v>
      </c>
      <c r="J702" s="16" t="n">
        <v>0.0181</v>
      </c>
      <c r="K702" s="16" t="n">
        <v>-0.0484</v>
      </c>
      <c r="L702" s="16" t="n">
        <v>0.0056</v>
      </c>
    </row>
    <row r="703" customFormat="false" ht="30" hidden="false" customHeight="true" outlineLevel="0" collapsed="false">
      <c r="A703" s="3" t="s">
        <v>806</v>
      </c>
      <c r="B703" s="17" t="n">
        <v>0.0255</v>
      </c>
      <c r="C703" s="17" t="n">
        <v>0.0056</v>
      </c>
      <c r="D703" s="17" t="n">
        <v>0.0153</v>
      </c>
      <c r="E703" s="17" t="n">
        <v>0.0503</v>
      </c>
      <c r="F703" s="17" t="n">
        <v>-0.0019</v>
      </c>
      <c r="G703" s="17" t="n">
        <v>0.0414</v>
      </c>
      <c r="H703" s="17" t="n">
        <v>0.0172</v>
      </c>
      <c r="I703" s="17" t="n">
        <v>-0.0123</v>
      </c>
      <c r="J703" s="17" t="n">
        <v>0.0209</v>
      </c>
      <c r="K703" s="17" t="n">
        <v>0.0925</v>
      </c>
      <c r="L703" s="17" t="n">
        <v>0.0207</v>
      </c>
    </row>
    <row r="704" customFormat="false" ht="30" hidden="false" customHeight="true" outlineLevel="0" collapsed="false">
      <c r="A704" s="2" t="s">
        <v>807</v>
      </c>
      <c r="B704" s="16" t="n">
        <v>-0.0047</v>
      </c>
      <c r="C704" s="16" t="n">
        <v>0.0171</v>
      </c>
      <c r="D704" s="16" t="n">
        <v>0.0342</v>
      </c>
      <c r="E704" s="16" t="n">
        <v>0.0326</v>
      </c>
      <c r="F704" s="16" t="n">
        <v>0.0137</v>
      </c>
      <c r="G704" s="16" t="n">
        <v>0.0213</v>
      </c>
      <c r="H704" s="16" t="n">
        <v>-0.0107</v>
      </c>
      <c r="I704" s="16" t="n">
        <v>-0.0125</v>
      </c>
      <c r="J704" s="16" t="n">
        <v>-0.0198</v>
      </c>
      <c r="K704" s="16" t="n">
        <v>-0.0056</v>
      </c>
      <c r="L704" s="16" t="n">
        <v>-0.0218</v>
      </c>
    </row>
    <row r="705" customFormat="false" ht="30" hidden="false" customHeight="true" outlineLevel="0" collapsed="false">
      <c r="A705" s="3" t="s">
        <v>808</v>
      </c>
      <c r="B705" s="17" t="n">
        <v>-0.003</v>
      </c>
      <c r="C705" s="17" t="n">
        <v>0.0205</v>
      </c>
      <c r="D705" s="17" t="n">
        <v>0.0257</v>
      </c>
      <c r="E705" s="17" t="n">
        <v>0.0408</v>
      </c>
      <c r="F705" s="17" t="n">
        <v>0.0233</v>
      </c>
      <c r="G705" s="17" t="n">
        <v>0.0178</v>
      </c>
      <c r="H705" s="17" t="n">
        <v>0.0436</v>
      </c>
      <c r="I705" s="17" t="n">
        <v>0.0595</v>
      </c>
      <c r="J705" s="17" t="n">
        <v>0.0374</v>
      </c>
      <c r="K705" s="17" t="n">
        <v>0.0308</v>
      </c>
      <c r="L705" s="17" t="n">
        <v>0.0263</v>
      </c>
    </row>
    <row r="706" customFormat="false" ht="30" hidden="false" customHeight="true" outlineLevel="0" collapsed="false">
      <c r="A706" s="2" t="s">
        <v>809</v>
      </c>
      <c r="B706" s="16" t="n">
        <v>-0.0348</v>
      </c>
      <c r="C706" s="16" t="n">
        <v>-0.0532</v>
      </c>
      <c r="D706" s="16" t="n">
        <v>-0.0597</v>
      </c>
      <c r="E706" s="16" t="n">
        <v>-0.0463</v>
      </c>
      <c r="F706" s="16" t="n">
        <v>-0.0375</v>
      </c>
      <c r="G706" s="16" t="n">
        <v>-0.0433</v>
      </c>
      <c r="H706" s="16" t="n">
        <v>-0.0418</v>
      </c>
      <c r="I706" s="16" t="n">
        <v>-0.0343</v>
      </c>
      <c r="J706" s="16" t="n">
        <v>-0.0257</v>
      </c>
      <c r="K706" s="16" t="n">
        <v>-0.0309</v>
      </c>
      <c r="L706" s="16" t="n">
        <v>0.0143</v>
      </c>
    </row>
    <row r="707" customFormat="false" ht="30" hidden="false" customHeight="true" outlineLevel="0" collapsed="false">
      <c r="A707" s="3" t="s">
        <v>810</v>
      </c>
      <c r="B707" s="17" t="n">
        <v>0.0218</v>
      </c>
      <c r="C707" s="17" t="n">
        <v>0.039</v>
      </c>
      <c r="D707" s="17" t="n">
        <v>0.0619</v>
      </c>
      <c r="E707" s="17" t="n">
        <v>0.0599</v>
      </c>
      <c r="F707" s="17" t="n">
        <v>0.0703</v>
      </c>
      <c r="G707" s="17" t="n">
        <v>0.0594</v>
      </c>
      <c r="H707" s="17" t="n">
        <v>0.1379</v>
      </c>
      <c r="I707" s="17" t="n">
        <v>0.0907</v>
      </c>
      <c r="J707" s="17" t="n">
        <v>0.0639</v>
      </c>
      <c r="K707" s="17" t="n">
        <v>0.0422</v>
      </c>
      <c r="L707" s="17" t="n">
        <v>0.0331</v>
      </c>
    </row>
    <row r="708" customFormat="false" ht="30" hidden="false" customHeight="true" outlineLevel="0" collapsed="false">
      <c r="A708" s="2" t="s">
        <v>811</v>
      </c>
      <c r="B708" s="16" t="n">
        <v>-0.0837</v>
      </c>
      <c r="C708" s="16" t="n">
        <v>-0.0111</v>
      </c>
      <c r="D708" s="16" t="n">
        <v>-0.0331</v>
      </c>
      <c r="E708" s="16" t="n">
        <v>0.0349</v>
      </c>
      <c r="F708" s="16" t="n">
        <v>-0.0215</v>
      </c>
      <c r="G708" s="16" t="n">
        <v>-0.0345</v>
      </c>
      <c r="H708" s="16" t="n">
        <v>0.0049</v>
      </c>
      <c r="I708" s="16" t="n">
        <v>-0.0522</v>
      </c>
      <c r="J708" s="16" t="n">
        <v>-0.0238</v>
      </c>
      <c r="K708" s="16" t="n">
        <v>-0.0243</v>
      </c>
      <c r="L708" s="16" t="n">
        <v>0.0096</v>
      </c>
    </row>
    <row r="709" customFormat="false" ht="30" hidden="false" customHeight="true" outlineLevel="0" collapsed="false">
      <c r="A709" s="3" t="s">
        <v>93</v>
      </c>
      <c r="B709" s="17" t="n">
        <v>0.031</v>
      </c>
      <c r="C709" s="17" t="n">
        <v>0.0689</v>
      </c>
      <c r="D709" s="17" t="n">
        <v>0.0331</v>
      </c>
      <c r="E709" s="17" t="n">
        <v>0.067</v>
      </c>
      <c r="F709" s="17" t="n">
        <v>0.052</v>
      </c>
      <c r="G709" s="17" t="n">
        <v>0.045</v>
      </c>
      <c r="H709" s="17" t="n">
        <v>0.0444</v>
      </c>
      <c r="I709" s="17" t="n">
        <v>0.0318</v>
      </c>
      <c r="J709" s="17" t="n">
        <v>-0.0079</v>
      </c>
      <c r="K709" s="17" t="n">
        <v>-0.0665</v>
      </c>
      <c r="L709" s="17" t="n">
        <v>-0.024</v>
      </c>
    </row>
    <row r="710" customFormat="false" ht="30" hidden="false" customHeight="true" outlineLevel="0" collapsed="false">
      <c r="A710" s="2" t="s">
        <v>812</v>
      </c>
      <c r="B710" s="16" t="n">
        <v>-0.0741</v>
      </c>
      <c r="C710" s="16" t="n">
        <v>-0.014</v>
      </c>
      <c r="D710" s="16" t="n">
        <v>-0.0241</v>
      </c>
      <c r="E710" s="16" t="n">
        <v>-0.0546</v>
      </c>
      <c r="F710" s="16" t="n">
        <v>-0.0552</v>
      </c>
      <c r="G710" s="16" t="n">
        <v>-0.05</v>
      </c>
      <c r="H710" s="16" t="n">
        <v>-0.071</v>
      </c>
      <c r="I710" s="16" t="n">
        <v>-0.0605</v>
      </c>
      <c r="J710" s="16" t="n">
        <v>-0.0755</v>
      </c>
      <c r="K710" s="16" t="n">
        <v>-0.1082</v>
      </c>
      <c r="L710" s="16" t="n">
        <v>-0.0243</v>
      </c>
    </row>
    <row r="711" customFormat="false" ht="30" hidden="false" customHeight="true" outlineLevel="0" collapsed="false">
      <c r="A711" s="3" t="s">
        <v>813</v>
      </c>
      <c r="B711" s="17" t="n">
        <v>-0.0315</v>
      </c>
      <c r="C711" s="17" t="n">
        <v>-0.0329</v>
      </c>
      <c r="D711" s="17" t="n">
        <v>-0.0053</v>
      </c>
      <c r="E711" s="17" t="n">
        <v>-0.0363</v>
      </c>
      <c r="F711" s="17" t="n">
        <v>-0.0132</v>
      </c>
      <c r="G711" s="17" t="n">
        <v>-0.0559</v>
      </c>
      <c r="H711" s="17" t="n">
        <v>-0.0231</v>
      </c>
      <c r="I711" s="17" t="n">
        <v>-0.0194</v>
      </c>
      <c r="J711" s="17" t="n">
        <v>-0.0113</v>
      </c>
      <c r="K711" s="17" t="n">
        <v>0.0065</v>
      </c>
      <c r="L711" s="17" t="n">
        <v>0.0162</v>
      </c>
    </row>
    <row r="712" customFormat="false" ht="30" hidden="false" customHeight="true" outlineLevel="0" collapsed="false">
      <c r="A712" s="2" t="s">
        <v>814</v>
      </c>
      <c r="B712" s="16" t="n">
        <v>-0.0007</v>
      </c>
      <c r="C712" s="16" t="n">
        <v>-0.0072</v>
      </c>
      <c r="D712" s="16" t="n">
        <v>0.0053</v>
      </c>
      <c r="E712" s="16" t="n">
        <v>0.0146</v>
      </c>
      <c r="F712" s="16" t="n">
        <v>0.0237</v>
      </c>
      <c r="G712" s="16" t="n">
        <v>0.0204</v>
      </c>
      <c r="H712" s="16" t="n">
        <v>0.0441</v>
      </c>
      <c r="I712" s="16" t="n">
        <v>0.0339</v>
      </c>
      <c r="J712" s="16" t="n">
        <v>0.0496</v>
      </c>
      <c r="K712" s="16" t="n">
        <v>0.0518</v>
      </c>
      <c r="L712" s="16" t="n">
        <v>0.0292</v>
      </c>
    </row>
    <row r="713" customFormat="false" ht="30" hidden="false" customHeight="true" outlineLevel="0" collapsed="false">
      <c r="A713" s="3" t="s">
        <v>815</v>
      </c>
      <c r="B713" s="17" t="n">
        <v>-0.2093</v>
      </c>
      <c r="C713" s="17" t="n">
        <v>-0.1348</v>
      </c>
      <c r="D713" s="17" t="n">
        <v>-0.0714</v>
      </c>
      <c r="E713" s="17" t="n">
        <v>-0.0738</v>
      </c>
      <c r="F713" s="17" t="n">
        <v>-0.0944</v>
      </c>
      <c r="G713" s="17" t="n">
        <v>-0.0508</v>
      </c>
      <c r="H713" s="17" t="n">
        <v>-0.0734</v>
      </c>
      <c r="I713" s="17" t="n">
        <v>-0.0587</v>
      </c>
      <c r="J713" s="17" t="n">
        <v>-0.1055</v>
      </c>
      <c r="K713" s="17" t="n">
        <v>-0.1216</v>
      </c>
      <c r="L713" s="17" t="n">
        <v>0.0498</v>
      </c>
    </row>
    <row r="714" customFormat="false" ht="30" hidden="false" customHeight="true" outlineLevel="0" collapsed="false">
      <c r="A714" s="2" t="s">
        <v>816</v>
      </c>
      <c r="B714" s="16" t="n">
        <v>-0.0785</v>
      </c>
      <c r="C714" s="16" t="n">
        <v>-0.0261</v>
      </c>
      <c r="D714" s="16" t="n">
        <v>0.0366</v>
      </c>
      <c r="E714" s="16" t="n">
        <v>0.0282</v>
      </c>
      <c r="F714" s="16" t="n">
        <v>-0.0032</v>
      </c>
      <c r="G714" s="16" t="n">
        <v>0.0024</v>
      </c>
      <c r="H714" s="16" t="n">
        <v>-0.016</v>
      </c>
      <c r="I714" s="16" t="n">
        <v>-0.0068</v>
      </c>
      <c r="J714" s="16" t="n">
        <v>-0.0119</v>
      </c>
      <c r="K714" s="16" t="n">
        <v>0.0166</v>
      </c>
      <c r="L714" s="16" t="n">
        <v>0.0252</v>
      </c>
    </row>
    <row r="715" customFormat="false" ht="30" hidden="false" customHeight="true" outlineLevel="0" collapsed="false">
      <c r="A715" s="3" t="s">
        <v>817</v>
      </c>
      <c r="B715" s="17" t="n">
        <v>-0.1142</v>
      </c>
      <c r="C715" s="17" t="n">
        <v>-0.1125</v>
      </c>
      <c r="D715" s="17" t="n">
        <v>-0.1118</v>
      </c>
      <c r="E715" s="17" t="n">
        <v>-0.1046</v>
      </c>
      <c r="F715" s="17" t="n">
        <v>-0.0817</v>
      </c>
      <c r="G715" s="17" t="n">
        <v>-0.0779</v>
      </c>
      <c r="H715" s="17" t="n">
        <v>-0.0667</v>
      </c>
      <c r="I715" s="17" t="n">
        <v>-0.0772</v>
      </c>
      <c r="J715" s="17" t="n">
        <v>-0.0565</v>
      </c>
      <c r="K715" s="17" t="n">
        <v>-0.1041</v>
      </c>
      <c r="L715" s="17" t="n">
        <v>0.0106</v>
      </c>
    </row>
    <row r="716" customFormat="false" ht="30" hidden="false" customHeight="true" outlineLevel="0" collapsed="false">
      <c r="A716" s="2" t="s">
        <v>818</v>
      </c>
      <c r="B716" s="16" t="n">
        <v>0.15</v>
      </c>
      <c r="C716" s="16" t="n">
        <v>0.0986</v>
      </c>
      <c r="D716" s="16" t="n">
        <v>0.168</v>
      </c>
      <c r="E716" s="16" t="n">
        <v>0.0902</v>
      </c>
      <c r="F716" s="16" t="n">
        <v>0.0793</v>
      </c>
      <c r="G716" s="16" t="n">
        <v>0.1016</v>
      </c>
      <c r="H716" s="16" t="n">
        <v>0.0843</v>
      </c>
      <c r="I716" s="16" t="n">
        <v>0.117</v>
      </c>
      <c r="J716" s="16" t="n">
        <v>0.0386</v>
      </c>
      <c r="K716" s="16" t="n">
        <v>0.0857</v>
      </c>
      <c r="L716" s="16" t="n">
        <v>-0.0441</v>
      </c>
    </row>
    <row r="717" customFormat="false" ht="30" hidden="false" customHeight="true" outlineLevel="0" collapsed="false">
      <c r="A717" s="3" t="s">
        <v>819</v>
      </c>
      <c r="B717" s="17" t="n">
        <v>-0.0309</v>
      </c>
      <c r="C717" s="17" t="n">
        <v>-0.0101</v>
      </c>
      <c r="D717" s="17" t="n">
        <v>-0.0587</v>
      </c>
      <c r="E717" s="17" t="n">
        <v>-0.0525</v>
      </c>
      <c r="F717" s="17" t="n">
        <v>-0.0549</v>
      </c>
      <c r="G717" s="17" t="n">
        <v>-0.048</v>
      </c>
      <c r="H717" s="17" t="n">
        <v>-0.0361</v>
      </c>
      <c r="I717" s="17" t="n">
        <v>-0.0272</v>
      </c>
      <c r="J717" s="17" t="n">
        <v>-0.0178</v>
      </c>
      <c r="K717" s="17" t="n">
        <v>0.0003</v>
      </c>
      <c r="L717" s="17" t="n">
        <v>0.0189</v>
      </c>
    </row>
    <row r="718" customFormat="false" ht="30" hidden="false" customHeight="true" outlineLevel="0" collapsed="false">
      <c r="A718" s="2" t="s">
        <v>820</v>
      </c>
      <c r="B718" s="16" t="n">
        <v>-0.1163</v>
      </c>
      <c r="C718" s="16" t="n">
        <v>-0.1241</v>
      </c>
      <c r="D718" s="16" t="n">
        <v>-0.118</v>
      </c>
      <c r="E718" s="16" t="n">
        <v>-0.1156</v>
      </c>
      <c r="F718" s="16" t="n">
        <v>-0.0877</v>
      </c>
      <c r="G718" s="16" t="n">
        <v>-0.0899</v>
      </c>
      <c r="H718" s="16" t="n">
        <v>-0.0819</v>
      </c>
      <c r="I718" s="16" t="n">
        <v>-0.092</v>
      </c>
      <c r="J718" s="16" t="n">
        <v>-0.0497</v>
      </c>
      <c r="K718" s="16" t="n">
        <v>-0.073</v>
      </c>
      <c r="L718" s="16" t="n">
        <v>0.0371</v>
      </c>
    </row>
    <row r="719" customFormat="false" ht="30" hidden="false" customHeight="true" outlineLevel="0" collapsed="false">
      <c r="A719" s="3" t="s">
        <v>821</v>
      </c>
      <c r="B719" s="17" t="n">
        <v>0.0714</v>
      </c>
      <c r="C719" s="17" t="n">
        <v>0.0258</v>
      </c>
      <c r="D719" s="17" t="n">
        <v>0.1149</v>
      </c>
      <c r="E719" s="17" t="n">
        <v>0.0235</v>
      </c>
      <c r="F719" s="17" t="n">
        <v>0.0922</v>
      </c>
      <c r="G719" s="17" t="n">
        <v>0.0751</v>
      </c>
      <c r="H719" s="17" t="n">
        <v>0.0958</v>
      </c>
      <c r="I719" s="17" t="n">
        <v>0.0686</v>
      </c>
      <c r="J719" s="17" t="n">
        <v>0.0977</v>
      </c>
      <c r="K719" s="17" t="n">
        <v>0.1798</v>
      </c>
      <c r="L719" s="17" t="n">
        <v>0.0394</v>
      </c>
    </row>
    <row r="720" customFormat="false" ht="30" hidden="false" customHeight="true" outlineLevel="0" collapsed="false">
      <c r="A720" s="2" t="s">
        <v>822</v>
      </c>
      <c r="B720" s="16" t="n">
        <v>0.0152</v>
      </c>
      <c r="C720" s="16" t="n">
        <v>0.0912</v>
      </c>
      <c r="D720" s="16" t="n">
        <v>0.06</v>
      </c>
      <c r="E720" s="16" t="n">
        <v>0.0414</v>
      </c>
      <c r="F720" s="16" t="n">
        <v>0.0578</v>
      </c>
      <c r="G720" s="16" t="n">
        <v>0.0899</v>
      </c>
      <c r="H720" s="16" t="n">
        <v>0.0732</v>
      </c>
      <c r="I720" s="16" t="n">
        <v>0.0268</v>
      </c>
      <c r="J720" s="16" t="n">
        <v>0.0406</v>
      </c>
      <c r="K720" s="16" t="n">
        <v>0.0186</v>
      </c>
      <c r="L720" s="16" t="n">
        <v>-0.0171</v>
      </c>
    </row>
    <row r="721" customFormat="false" ht="30" hidden="false" customHeight="true" outlineLevel="0" collapsed="false">
      <c r="A721" s="3" t="s">
        <v>94</v>
      </c>
      <c r="B721" s="17" t="n">
        <v>-0.0956</v>
      </c>
      <c r="C721" s="17" t="n">
        <v>-0.1359</v>
      </c>
      <c r="D721" s="17" t="n">
        <v>-0.0824</v>
      </c>
      <c r="E721" s="17" t="n">
        <v>-0.0365</v>
      </c>
      <c r="F721" s="17" t="n">
        <v>-0.0425</v>
      </c>
      <c r="G721" s="17" t="n">
        <v>-0.0831</v>
      </c>
      <c r="H721" s="17" t="n">
        <v>-0.0391</v>
      </c>
      <c r="I721" s="17" t="n">
        <v>-0.0295</v>
      </c>
      <c r="J721" s="17" t="n">
        <v>-0.0326</v>
      </c>
      <c r="K721" s="17" t="n">
        <v>-0.0423</v>
      </c>
      <c r="L721" s="17" t="n">
        <v>0.0494</v>
      </c>
    </row>
    <row r="722" customFormat="false" ht="30" hidden="false" customHeight="true" outlineLevel="0" collapsed="false">
      <c r="A722" s="2" t="s">
        <v>823</v>
      </c>
      <c r="B722" s="16" t="n">
        <v>0.221</v>
      </c>
      <c r="C722" s="16" t="n">
        <v>0.2222</v>
      </c>
      <c r="D722" s="16" t="n">
        <v>0.143</v>
      </c>
      <c r="E722" s="16" t="n">
        <v>0.0637</v>
      </c>
      <c r="F722" s="16" t="n">
        <v>0.0761</v>
      </c>
      <c r="G722" s="16" t="n">
        <v>0.0564</v>
      </c>
      <c r="H722" s="16" t="n">
        <v>0.0521</v>
      </c>
      <c r="I722" s="16" t="n">
        <v>0.0017</v>
      </c>
      <c r="J722" s="16" t="n">
        <v>0.0112</v>
      </c>
      <c r="K722" s="16" t="n">
        <v>0.0052</v>
      </c>
      <c r="L722" s="16" t="n">
        <v>-0.1621</v>
      </c>
    </row>
    <row r="723" customFormat="false" ht="30" hidden="false" customHeight="true" outlineLevel="0" collapsed="false">
      <c r="A723" s="3" t="s">
        <v>824</v>
      </c>
      <c r="B723" s="17" t="n">
        <v>0.0842</v>
      </c>
      <c r="C723" s="17" t="n">
        <v>-0.0284</v>
      </c>
      <c r="D723" s="17" t="n">
        <v>-0.0478</v>
      </c>
      <c r="E723" s="17" t="n">
        <v>-0.0022</v>
      </c>
      <c r="F723" s="17" t="n">
        <v>-0.0305</v>
      </c>
      <c r="G723" s="17" t="n">
        <v>-0.0209</v>
      </c>
      <c r="H723" s="17" t="n">
        <v>-0.026</v>
      </c>
      <c r="I723" s="17" t="n">
        <v>-0.0353</v>
      </c>
      <c r="J723" s="17" t="n">
        <v>-0.0225</v>
      </c>
      <c r="K723" s="17" t="n">
        <v>-0.0502</v>
      </c>
      <c r="L723" s="17" t="n">
        <v>0.0052</v>
      </c>
    </row>
    <row r="724" customFormat="false" ht="30" hidden="false" customHeight="true" outlineLevel="0" collapsed="false">
      <c r="A724" s="2" t="s">
        <v>825</v>
      </c>
      <c r="B724" s="16" t="n">
        <v>-0.0482</v>
      </c>
      <c r="C724" s="16" t="n">
        <v>0.0828</v>
      </c>
      <c r="D724" s="16" t="n">
        <v>0.0706</v>
      </c>
      <c r="E724" s="16" t="n">
        <v>0.0248</v>
      </c>
      <c r="F724" s="16" t="n">
        <v>0.012</v>
      </c>
      <c r="G724" s="16" t="n">
        <v>0.013</v>
      </c>
      <c r="H724" s="16" t="n">
        <v>0.0193</v>
      </c>
      <c r="I724" s="16" t="n">
        <v>0.0022</v>
      </c>
      <c r="J724" s="16" t="n">
        <v>0.006</v>
      </c>
      <c r="K724" s="16" t="n">
        <v>0.0038</v>
      </c>
      <c r="L724" s="16" t="n">
        <v>-0.0238</v>
      </c>
    </row>
    <row r="725" customFormat="false" ht="30" hidden="false" customHeight="true" outlineLevel="0" collapsed="false">
      <c r="A725" s="3" t="s">
        <v>826</v>
      </c>
      <c r="B725" s="17" t="n">
        <v>-0.0669</v>
      </c>
      <c r="C725" s="17" t="n">
        <v>-0.0261</v>
      </c>
      <c r="D725" s="17" t="n">
        <v>0.0337</v>
      </c>
      <c r="E725" s="17" t="n">
        <v>0.0166</v>
      </c>
      <c r="F725" s="17" t="n">
        <v>0.0053</v>
      </c>
      <c r="G725" s="17" t="n">
        <v>0.0087</v>
      </c>
      <c r="H725" s="17" t="n">
        <v>0.0064</v>
      </c>
      <c r="I725" s="17" t="n">
        <v>0.0241</v>
      </c>
      <c r="J725" s="17" t="n">
        <v>0.0071</v>
      </c>
      <c r="K725" s="17" t="n">
        <v>0.0194</v>
      </c>
      <c r="L725" s="17" t="n">
        <v>0.0175</v>
      </c>
    </row>
    <row r="726" customFormat="false" ht="30" hidden="false" customHeight="true" outlineLevel="0" collapsed="false">
      <c r="A726" s="2" t="s">
        <v>827</v>
      </c>
      <c r="B726" s="16" t="n">
        <v>0.047</v>
      </c>
      <c r="C726" s="16" t="n">
        <v>0.0653</v>
      </c>
      <c r="D726" s="16" t="n">
        <v>0.0355</v>
      </c>
      <c r="E726" s="16" t="n">
        <v>-0.0017</v>
      </c>
      <c r="F726" s="16" t="n">
        <v>-0.0303</v>
      </c>
      <c r="G726" s="16" t="n">
        <v>0.0127</v>
      </c>
      <c r="H726" s="16" t="n">
        <v>-0.0242</v>
      </c>
      <c r="I726" s="16" t="n">
        <v>0.025</v>
      </c>
      <c r="J726" s="16" t="n">
        <v>-0.0335</v>
      </c>
      <c r="K726" s="16" t="n">
        <v>0.086</v>
      </c>
      <c r="L726" s="16" t="n">
        <v>-0.0088</v>
      </c>
    </row>
    <row r="727" customFormat="false" ht="30" hidden="false" customHeight="true" outlineLevel="0" collapsed="false">
      <c r="A727" s="3" t="s">
        <v>828</v>
      </c>
      <c r="B727" s="17" t="n">
        <v>0.0976</v>
      </c>
      <c r="C727" s="17" t="n">
        <v>0.1546</v>
      </c>
      <c r="D727" s="17" t="n">
        <v>0.0569</v>
      </c>
      <c r="E727" s="17" t="n">
        <v>0.0637</v>
      </c>
      <c r="F727" s="17" t="n">
        <v>0.0358</v>
      </c>
      <c r="G727" s="17" t="n">
        <v>0.0572</v>
      </c>
      <c r="H727" s="17" t="n">
        <v>0.0688</v>
      </c>
      <c r="I727" s="17" t="n">
        <v>0.0682</v>
      </c>
      <c r="J727" s="17" t="n">
        <v>0.072</v>
      </c>
      <c r="K727" s="17" t="n">
        <v>0.0848</v>
      </c>
      <c r="L727" s="17" t="n">
        <v>-0.0271</v>
      </c>
    </row>
    <row r="728" customFormat="false" ht="30" hidden="false" customHeight="true" outlineLevel="0" collapsed="false">
      <c r="A728" s="2" t="s">
        <v>829</v>
      </c>
      <c r="B728" s="16" t="n">
        <v>0.1231</v>
      </c>
      <c r="C728" s="16" t="n">
        <v>0.0579</v>
      </c>
      <c r="D728" s="16" t="n">
        <v>0.0435</v>
      </c>
      <c r="E728" s="16" t="n">
        <v>0.0518</v>
      </c>
      <c r="F728" s="16" t="n">
        <v>0.0413</v>
      </c>
      <c r="G728" s="16" t="n">
        <v>0.0438</v>
      </c>
      <c r="H728" s="16" t="n">
        <v>0.041</v>
      </c>
      <c r="I728" s="16" t="n">
        <v>0.0266</v>
      </c>
      <c r="J728" s="16" t="n">
        <v>0.007</v>
      </c>
      <c r="K728" s="16" t="n">
        <v>0.0511</v>
      </c>
      <c r="L728" s="16" t="n">
        <v>-0.0399</v>
      </c>
    </row>
    <row r="729" customFormat="false" ht="30" hidden="false" customHeight="true" outlineLevel="0" collapsed="false">
      <c r="A729" s="3" t="s">
        <v>830</v>
      </c>
      <c r="B729" s="17" t="n">
        <v>-0.0938</v>
      </c>
      <c r="C729" s="17" t="n">
        <v>-0.0637</v>
      </c>
      <c r="D729" s="17" t="n">
        <v>-0.0454</v>
      </c>
      <c r="E729" s="17" t="n">
        <v>-0.0388</v>
      </c>
      <c r="F729" s="17" t="n">
        <v>-0.018</v>
      </c>
      <c r="G729" s="17" t="n">
        <v>-0.0106</v>
      </c>
      <c r="H729" s="17" t="n">
        <v>-0.0008</v>
      </c>
      <c r="I729" s="17" t="n">
        <v>-0.0276</v>
      </c>
      <c r="J729" s="17" t="n">
        <v>0.0256</v>
      </c>
      <c r="K729" s="17" t="n">
        <v>-0.0119</v>
      </c>
      <c r="L729" s="17" t="n">
        <v>0.039</v>
      </c>
    </row>
    <row r="730" customFormat="false" ht="30" hidden="false" customHeight="true" outlineLevel="0" collapsed="false">
      <c r="A730" s="2" t="s">
        <v>831</v>
      </c>
      <c r="B730" s="16" t="n">
        <v>-0.0938</v>
      </c>
      <c r="C730" s="16" t="n">
        <v>-0.0552</v>
      </c>
      <c r="D730" s="16" t="n">
        <v>-0.0401</v>
      </c>
      <c r="E730" s="16" t="n">
        <v>-0.0286</v>
      </c>
      <c r="F730" s="16" t="n">
        <v>-0.0429</v>
      </c>
      <c r="G730" s="16" t="n">
        <v>-0.029</v>
      </c>
      <c r="H730" s="16" t="n">
        <v>-0.0551</v>
      </c>
      <c r="I730" s="16" t="n">
        <v>-0.0372</v>
      </c>
      <c r="J730" s="16" t="n">
        <v>-0.0547</v>
      </c>
      <c r="K730" s="16" t="n">
        <v>-0.0771</v>
      </c>
      <c r="L730" s="16" t="n">
        <v>0.0025</v>
      </c>
    </row>
    <row r="731" customFormat="false" ht="30" hidden="false" customHeight="true" outlineLevel="0" collapsed="false">
      <c r="A731" s="3" t="s">
        <v>832</v>
      </c>
      <c r="B731" s="17" t="n">
        <v>-0.0919</v>
      </c>
      <c r="C731" s="17" t="n">
        <v>-0.0546</v>
      </c>
      <c r="D731" s="17" t="n">
        <v>-0.0422</v>
      </c>
      <c r="E731" s="17" t="n">
        <v>-0.0337</v>
      </c>
      <c r="F731" s="17" t="n">
        <v>-0.043</v>
      </c>
      <c r="G731" s="17" t="n">
        <v>0.0011</v>
      </c>
      <c r="H731" s="17" t="n">
        <v>-0.0248</v>
      </c>
      <c r="I731" s="17" t="n">
        <v>-0.003</v>
      </c>
      <c r="J731" s="17" t="n">
        <v>-0.0345</v>
      </c>
      <c r="K731" s="17" t="n">
        <v>-0.0409</v>
      </c>
      <c r="L731" s="17" t="n">
        <v>0.0169</v>
      </c>
    </row>
    <row r="732" customFormat="false" ht="30" hidden="false" customHeight="true" outlineLevel="0" collapsed="false">
      <c r="A732" s="2" t="s">
        <v>833</v>
      </c>
      <c r="B732" s="16" t="n">
        <v>0.0899</v>
      </c>
      <c r="C732" s="16" t="n">
        <v>0.0904</v>
      </c>
      <c r="D732" s="16" t="n">
        <v>0.0753</v>
      </c>
      <c r="E732" s="16" t="n">
        <v>0.0588</v>
      </c>
      <c r="F732" s="16" t="n">
        <v>0.0665</v>
      </c>
      <c r="G732" s="16" t="n">
        <v>0.0767</v>
      </c>
      <c r="H732" s="16" t="n">
        <v>0.0898</v>
      </c>
      <c r="I732" s="16" t="n">
        <v>0.0974</v>
      </c>
      <c r="J732" s="16" t="n">
        <v>0.117</v>
      </c>
      <c r="K732" s="16" t="n">
        <v>0.1276</v>
      </c>
      <c r="L732" s="16" t="n">
        <v>0.0259</v>
      </c>
    </row>
    <row r="733" customFormat="false" ht="30" hidden="false" customHeight="true" outlineLevel="0" collapsed="false">
      <c r="A733" s="3" t="s">
        <v>95</v>
      </c>
      <c r="B733" s="17" t="n">
        <v>0.1974</v>
      </c>
      <c r="C733" s="17" t="n">
        <v>0.0993</v>
      </c>
      <c r="D733" s="17" t="n">
        <v>0.1038</v>
      </c>
      <c r="E733" s="17" t="n">
        <v>0.0619</v>
      </c>
      <c r="F733" s="17" t="n">
        <v>0.0604</v>
      </c>
      <c r="G733" s="17" t="n">
        <v>0.0516</v>
      </c>
      <c r="H733" s="17" t="n">
        <v>0.0451</v>
      </c>
      <c r="I733" s="17" t="n">
        <v>0.0351</v>
      </c>
      <c r="J733" s="17" t="n">
        <v>0.042</v>
      </c>
      <c r="K733" s="17" t="n">
        <v>0.04</v>
      </c>
      <c r="L733" s="17" t="n">
        <v>-0.055</v>
      </c>
    </row>
    <row r="734" customFormat="false" ht="30" hidden="false" customHeight="true" outlineLevel="0" collapsed="false">
      <c r="A734" s="2" t="s">
        <v>834</v>
      </c>
      <c r="B734" s="16" t="n">
        <v>-0.0712</v>
      </c>
      <c r="C734" s="16" t="n">
        <v>-0.04</v>
      </c>
      <c r="D734" s="16" t="n">
        <v>-0.0318</v>
      </c>
      <c r="E734" s="16" t="n">
        <v>0</v>
      </c>
      <c r="F734" s="16" t="n">
        <v>0.0028</v>
      </c>
      <c r="G734" s="16" t="n">
        <v>0.0055</v>
      </c>
      <c r="H734" s="16" t="n">
        <v>0.0205</v>
      </c>
      <c r="I734" s="16" t="n">
        <v>0.0263</v>
      </c>
      <c r="J734" s="16" t="n">
        <v>-0.0116</v>
      </c>
      <c r="K734" s="16" t="n">
        <v>0.0513</v>
      </c>
      <c r="L734" s="16" t="n">
        <v>0.0546</v>
      </c>
    </row>
    <row r="735" customFormat="false" ht="30" hidden="false" customHeight="true" outlineLevel="0" collapsed="false">
      <c r="A735" s="3" t="s">
        <v>835</v>
      </c>
      <c r="B735" s="17" t="n">
        <v>0.026</v>
      </c>
      <c r="C735" s="17" t="n">
        <v>0.0141</v>
      </c>
      <c r="D735" s="17" t="n">
        <v>0.0235</v>
      </c>
      <c r="E735" s="17" t="n">
        <v>0.0226</v>
      </c>
      <c r="F735" s="17" t="n">
        <v>0.0218</v>
      </c>
      <c r="G735" s="17" t="n">
        <v>0.0385</v>
      </c>
      <c r="H735" s="17" t="n">
        <v>0.038</v>
      </c>
      <c r="I735" s="17" t="n">
        <v>0.0458</v>
      </c>
      <c r="J735" s="17" t="n">
        <v>0.0451</v>
      </c>
      <c r="K735" s="17" t="n">
        <v>0.1282</v>
      </c>
      <c r="L735" s="17" t="n">
        <v>0.0501</v>
      </c>
    </row>
    <row r="736" customFormat="false" ht="30" hidden="false" customHeight="true" outlineLevel="0" collapsed="false">
      <c r="A736" s="2" t="s">
        <v>836</v>
      </c>
      <c r="B736" s="16" t="n">
        <v>0.0057</v>
      </c>
      <c r="C736" s="16" t="n">
        <v>0.0492</v>
      </c>
      <c r="D736" s="16" t="n">
        <v>0.0515</v>
      </c>
      <c r="E736" s="16" t="n">
        <v>0.0304</v>
      </c>
      <c r="F736" s="16" t="n">
        <v>0.0554</v>
      </c>
      <c r="G736" s="16" t="n">
        <v>0.0299</v>
      </c>
      <c r="H736" s="16" t="n">
        <v>0.0318</v>
      </c>
      <c r="I736" s="16" t="n">
        <v>0.0115</v>
      </c>
      <c r="J736" s="16" t="n">
        <v>0.0325</v>
      </c>
      <c r="K736" s="16" t="n">
        <v>0.0394</v>
      </c>
      <c r="L736" s="16" t="n">
        <v>-0.0032</v>
      </c>
    </row>
    <row r="737" customFormat="false" ht="30" hidden="false" customHeight="true" outlineLevel="0" collapsed="false">
      <c r="A737" s="3" t="s">
        <v>837</v>
      </c>
      <c r="B737" s="17" t="n">
        <v>-0.0716</v>
      </c>
      <c r="C737" s="17" t="n">
        <v>-0.0393</v>
      </c>
      <c r="D737" s="17" t="n">
        <v>-0.026</v>
      </c>
      <c r="E737" s="17" t="n">
        <v>-0.0157</v>
      </c>
      <c r="F737" s="17" t="n">
        <v>-0.0284</v>
      </c>
      <c r="G737" s="17" t="n">
        <v>-0.0467</v>
      </c>
      <c r="H737" s="17" t="n">
        <v>-0.0506</v>
      </c>
      <c r="I737" s="17" t="n">
        <v>-0.0258</v>
      </c>
      <c r="J737" s="17" t="n">
        <v>-0.0586</v>
      </c>
      <c r="K737" s="17" t="n">
        <v>-0.0552</v>
      </c>
      <c r="L737" s="17" t="n">
        <v>-0.0043</v>
      </c>
    </row>
    <row r="738" customFormat="false" ht="30" hidden="false" customHeight="true" outlineLevel="0" collapsed="false">
      <c r="A738" s="2" t="s">
        <v>838</v>
      </c>
      <c r="B738" s="16" t="n">
        <v>0.0603</v>
      </c>
      <c r="C738" s="16" t="n">
        <v>0.03</v>
      </c>
      <c r="D738" s="16" t="n">
        <v>0.0205</v>
      </c>
      <c r="E738" s="16" t="n">
        <v>0.0467</v>
      </c>
      <c r="F738" s="16" t="n">
        <v>0.0246</v>
      </c>
      <c r="G738" s="16" t="n">
        <v>0.035</v>
      </c>
      <c r="H738" s="16" t="n">
        <v>0.0443</v>
      </c>
      <c r="I738" s="16" t="n">
        <v>0.0425</v>
      </c>
      <c r="J738" s="16" t="n">
        <v>0.0099</v>
      </c>
      <c r="K738" s="16" t="n">
        <v>0.1183</v>
      </c>
      <c r="L738" s="16" t="n">
        <v>0.0145</v>
      </c>
    </row>
    <row r="739" customFormat="false" ht="30" hidden="false" customHeight="true" outlineLevel="0" collapsed="false">
      <c r="A739" s="3" t="s">
        <v>839</v>
      </c>
      <c r="B739" s="17" t="n">
        <v>-0.0239</v>
      </c>
      <c r="C739" s="17" t="n">
        <v>0.0047</v>
      </c>
      <c r="D739" s="17" t="n">
        <v>0.0401</v>
      </c>
      <c r="E739" s="17" t="n">
        <v>0.0199</v>
      </c>
      <c r="F739" s="17" t="n">
        <v>0.0029</v>
      </c>
      <c r="G739" s="17" t="n">
        <v>0.0301</v>
      </c>
      <c r="H739" s="17" t="n">
        <v>0.0254</v>
      </c>
      <c r="I739" s="17" t="n">
        <v>0.0359</v>
      </c>
      <c r="J739" s="17" t="n">
        <v>0.053</v>
      </c>
      <c r="K739" s="17" t="n">
        <v>0.0687</v>
      </c>
      <c r="L739" s="17" t="n">
        <v>0.0086</v>
      </c>
    </row>
    <row r="740" customFormat="false" ht="30" hidden="false" customHeight="true" outlineLevel="0" collapsed="false">
      <c r="A740" s="2" t="s">
        <v>840</v>
      </c>
      <c r="B740" s="16" t="n">
        <v>0.1239</v>
      </c>
      <c r="C740" s="16" t="n">
        <v>0.0357</v>
      </c>
      <c r="D740" s="16" t="n">
        <v>0.0351</v>
      </c>
      <c r="E740" s="16" t="n">
        <v>0.0532</v>
      </c>
      <c r="F740" s="16" t="n">
        <v>0.0521</v>
      </c>
      <c r="G740" s="16" t="n">
        <v>0.0409</v>
      </c>
      <c r="H740" s="16" t="n">
        <v>0.0057</v>
      </c>
      <c r="I740" s="16" t="n">
        <v>0.0154</v>
      </c>
      <c r="J740" s="16" t="n">
        <v>-0.0088</v>
      </c>
      <c r="K740" s="16" t="n">
        <v>-0.047</v>
      </c>
      <c r="L740" s="16" t="n">
        <v>-0.0236</v>
      </c>
    </row>
    <row r="741" customFormat="false" ht="30" hidden="false" customHeight="true" outlineLevel="0" collapsed="false">
      <c r="A741" s="3" t="s">
        <v>841</v>
      </c>
      <c r="B741" s="17" t="n">
        <v>-0.0244</v>
      </c>
      <c r="C741" s="17" t="n">
        <v>-0.0255</v>
      </c>
      <c r="D741" s="17" t="n">
        <v>-0.0187</v>
      </c>
      <c r="E741" s="17" t="n">
        <v>0.0335</v>
      </c>
      <c r="F741" s="17" t="n">
        <v>0.0077</v>
      </c>
      <c r="G741" s="17" t="n">
        <v>0.0336</v>
      </c>
      <c r="H741" s="17" t="n">
        <v>0.0325</v>
      </c>
      <c r="I741" s="17" t="n">
        <v>0.0406</v>
      </c>
      <c r="J741" s="17" t="n">
        <v>-0.0018</v>
      </c>
      <c r="K741" s="17" t="n">
        <v>0.0463</v>
      </c>
      <c r="L741" s="17" t="n">
        <v>0.0486</v>
      </c>
    </row>
    <row r="742" customFormat="false" ht="30" hidden="false" customHeight="true" outlineLevel="0" collapsed="false">
      <c r="A742" s="2" t="s">
        <v>842</v>
      </c>
      <c r="B742" s="16" t="n">
        <v>0.0424</v>
      </c>
      <c r="C742" s="16" t="n">
        <v>0.0589</v>
      </c>
      <c r="D742" s="16" t="n">
        <v>0.0005</v>
      </c>
      <c r="E742" s="16" t="n">
        <v>0.0131</v>
      </c>
      <c r="F742" s="16" t="n">
        <v>0.0218</v>
      </c>
      <c r="G742" s="16" t="n">
        <v>0.0181</v>
      </c>
      <c r="H742" s="16" t="n">
        <v>0.0166</v>
      </c>
      <c r="I742" s="16" t="n">
        <v>0.0291</v>
      </c>
      <c r="J742" s="16" t="n">
        <v>0.0037</v>
      </c>
      <c r="K742" s="16" t="n">
        <v>0.0411</v>
      </c>
      <c r="L742" s="16" t="n">
        <v>-0.006</v>
      </c>
    </row>
    <row r="743" customFormat="false" ht="30" hidden="false" customHeight="true" outlineLevel="0" collapsed="false">
      <c r="A743" s="3" t="s">
        <v>843</v>
      </c>
      <c r="B743" s="17" t="n">
        <v>-0.0328</v>
      </c>
      <c r="C743" s="17" t="n">
        <v>-0.0198</v>
      </c>
      <c r="D743" s="17" t="n">
        <v>-0.0098</v>
      </c>
      <c r="E743" s="17" t="n">
        <v>-0.0212</v>
      </c>
      <c r="F743" s="17" t="n">
        <v>-0.022</v>
      </c>
      <c r="G743" s="17" t="n">
        <v>-0.0173</v>
      </c>
      <c r="H743" s="17" t="n">
        <v>-0.0089</v>
      </c>
      <c r="I743" s="17" t="n">
        <v>0.0027</v>
      </c>
      <c r="J743" s="17" t="n">
        <v>0.0008</v>
      </c>
      <c r="K743" s="17" t="n">
        <v>0.0279</v>
      </c>
      <c r="L743" s="17" t="n">
        <v>0.0298</v>
      </c>
    </row>
    <row r="744" customFormat="false" ht="30" hidden="false" customHeight="true" outlineLevel="0" collapsed="false">
      <c r="A744" s="2" t="s">
        <v>844</v>
      </c>
      <c r="B744" s="16" t="n">
        <v>0.1236</v>
      </c>
      <c r="C744" s="16" t="n">
        <v>0.0555</v>
      </c>
      <c r="D744" s="16" t="n">
        <v>0.0599</v>
      </c>
      <c r="E744" s="16" t="n">
        <v>0.0621</v>
      </c>
      <c r="F744" s="16" t="n">
        <v>0.0848</v>
      </c>
      <c r="G744" s="16" t="n">
        <v>0.0561</v>
      </c>
      <c r="H744" s="16" t="n">
        <v>0.0674</v>
      </c>
      <c r="I744" s="16" t="n">
        <v>0.0744</v>
      </c>
      <c r="J744" s="16" t="n">
        <v>0.0816</v>
      </c>
      <c r="K744" s="16" t="n">
        <v>0.0674</v>
      </c>
      <c r="L744" s="16" t="n">
        <v>0.0081</v>
      </c>
    </row>
    <row r="745" customFormat="false" ht="30" hidden="false" customHeight="true" outlineLevel="0" collapsed="false">
      <c r="A745" s="3" t="s">
        <v>96</v>
      </c>
      <c r="B745" s="17" t="n">
        <v>-0.0353</v>
      </c>
      <c r="C745" s="17" t="n">
        <v>-0.0824</v>
      </c>
      <c r="D745" s="17" t="n">
        <v>-0.0566</v>
      </c>
      <c r="E745" s="17" t="n">
        <v>-0.0231</v>
      </c>
      <c r="F745" s="17" t="n">
        <v>-0.0514</v>
      </c>
      <c r="G745" s="17" t="n">
        <v>-0.0131</v>
      </c>
      <c r="H745" s="17" t="n">
        <v>0.0012</v>
      </c>
      <c r="I745" s="17" t="n">
        <v>-0.0597</v>
      </c>
      <c r="J745" s="17" t="n">
        <v>-0.0561</v>
      </c>
      <c r="K745" s="17" t="n">
        <v>0.0025</v>
      </c>
      <c r="L745" s="17" t="n">
        <v>-0.003</v>
      </c>
    </row>
    <row r="746" customFormat="false" ht="30" hidden="false" customHeight="true" outlineLevel="0" collapsed="false">
      <c r="A746" s="2" t="s">
        <v>845</v>
      </c>
      <c r="B746" s="16" t="n">
        <v>0.0154</v>
      </c>
      <c r="C746" s="16" t="n">
        <v>0.03</v>
      </c>
      <c r="D746" s="16" t="n">
        <v>0.025</v>
      </c>
      <c r="E746" s="16" t="n">
        <v>0.0384</v>
      </c>
      <c r="F746" s="16" t="n">
        <v>0.0204</v>
      </c>
      <c r="G746" s="16" t="n">
        <v>0.0153</v>
      </c>
      <c r="H746" s="16" t="n">
        <v>0.0406</v>
      </c>
      <c r="I746" s="16" t="n">
        <v>0.0502</v>
      </c>
      <c r="J746" s="16" t="n">
        <v>0.0896</v>
      </c>
      <c r="K746" s="16" t="n">
        <v>-0.0009</v>
      </c>
      <c r="L746" s="16" t="n">
        <v>0.0101</v>
      </c>
    </row>
    <row r="747" customFormat="false" ht="30" hidden="false" customHeight="true" outlineLevel="0" collapsed="false">
      <c r="A747" s="3" t="s">
        <v>846</v>
      </c>
      <c r="B747" s="17" t="n">
        <v>-0.0236</v>
      </c>
      <c r="C747" s="17" t="n">
        <v>-0.018</v>
      </c>
      <c r="D747" s="17" t="n">
        <v>-0.0003</v>
      </c>
      <c r="E747" s="17" t="n">
        <v>-0.0254</v>
      </c>
      <c r="F747" s="17" t="n">
        <v>-0.0025</v>
      </c>
      <c r="G747" s="17" t="n">
        <v>0.0359</v>
      </c>
      <c r="H747" s="17" t="n">
        <v>0.0034</v>
      </c>
      <c r="I747" s="17" t="n">
        <v>-0.0365</v>
      </c>
      <c r="J747" s="17" t="n">
        <v>-0.0238</v>
      </c>
      <c r="K747" s="17" t="n">
        <v>-0.0769</v>
      </c>
      <c r="L747" s="17" t="n">
        <v>-0.0086</v>
      </c>
    </row>
    <row r="748" customFormat="false" ht="30" hidden="false" customHeight="true" outlineLevel="0" collapsed="false">
      <c r="A748" s="2" t="s">
        <v>847</v>
      </c>
      <c r="B748" s="16" t="n">
        <v>-0.0632</v>
      </c>
      <c r="C748" s="16" t="n">
        <v>-0.0425</v>
      </c>
      <c r="D748" s="16" t="n">
        <v>-0.0293</v>
      </c>
      <c r="E748" s="16" t="n">
        <v>-0.0297</v>
      </c>
      <c r="F748" s="16" t="n">
        <v>-0.0257</v>
      </c>
      <c r="G748" s="16" t="n">
        <v>-0.0204</v>
      </c>
      <c r="H748" s="16" t="n">
        <v>-0.0327</v>
      </c>
      <c r="I748" s="16" t="n">
        <v>-0.0827</v>
      </c>
      <c r="J748" s="16" t="n">
        <v>-0.0912</v>
      </c>
      <c r="K748" s="16" t="n">
        <v>-0.1125</v>
      </c>
      <c r="L748" s="16" t="n">
        <v>-0.0264</v>
      </c>
    </row>
    <row r="749" customFormat="false" ht="30" hidden="false" customHeight="true" outlineLevel="0" collapsed="false">
      <c r="A749" s="3" t="s">
        <v>848</v>
      </c>
      <c r="B749" s="17" t="n">
        <v>-0.0468</v>
      </c>
      <c r="C749" s="17" t="n">
        <v>-0.0507</v>
      </c>
      <c r="D749" s="17" t="n">
        <v>-0.0384</v>
      </c>
      <c r="E749" s="17" t="n">
        <v>-0.0372</v>
      </c>
      <c r="F749" s="17" t="n">
        <v>-0.0067</v>
      </c>
      <c r="G749" s="17" t="n">
        <v>-0.0341</v>
      </c>
      <c r="H749" s="17" t="n">
        <v>-0.0007</v>
      </c>
      <c r="I749" s="17" t="n">
        <v>0.0039</v>
      </c>
      <c r="J749" s="17" t="n">
        <v>-0.0154</v>
      </c>
      <c r="K749" s="17" t="n">
        <v>0.0769</v>
      </c>
      <c r="L749" s="17" t="n">
        <v>0.0501</v>
      </c>
    </row>
    <row r="750" customFormat="false" ht="30" hidden="false" customHeight="true" outlineLevel="0" collapsed="false">
      <c r="A750" s="2" t="s">
        <v>849</v>
      </c>
      <c r="B750" s="16" t="n">
        <v>0.0864</v>
      </c>
      <c r="C750" s="16" t="n">
        <v>0.024</v>
      </c>
      <c r="D750" s="16" t="n">
        <v>0.0484</v>
      </c>
      <c r="E750" s="16" t="n">
        <v>0.0565</v>
      </c>
      <c r="F750" s="16" t="n">
        <v>0.0933</v>
      </c>
      <c r="G750" s="16" t="n">
        <v>0.0236</v>
      </c>
      <c r="H750" s="16" t="n">
        <v>0.0453</v>
      </c>
      <c r="I750" s="16" t="n">
        <v>0.124</v>
      </c>
      <c r="J750" s="16" t="n">
        <v>0.0538</v>
      </c>
      <c r="K750" s="16" t="n">
        <v>0.058</v>
      </c>
      <c r="L750" s="16" t="n">
        <v>0.0225</v>
      </c>
    </row>
    <row r="751" customFormat="false" ht="30" hidden="false" customHeight="true" outlineLevel="0" collapsed="false">
      <c r="A751" s="3" t="s">
        <v>850</v>
      </c>
      <c r="B751" s="17" t="n">
        <v>0.0827</v>
      </c>
      <c r="C751" s="17" t="n">
        <v>0.1127</v>
      </c>
      <c r="D751" s="17" t="n">
        <v>0.0654</v>
      </c>
      <c r="E751" s="17" t="n">
        <v>0.0441</v>
      </c>
      <c r="F751" s="17" t="n">
        <v>0.0589</v>
      </c>
      <c r="G751" s="17" t="n">
        <v>0.0839</v>
      </c>
      <c r="H751" s="17" t="n">
        <v>0.0298</v>
      </c>
      <c r="I751" s="17" t="n">
        <v>0.083</v>
      </c>
      <c r="J751" s="17" t="n">
        <v>0.0135</v>
      </c>
      <c r="K751" s="17" t="n">
        <v>0.04</v>
      </c>
      <c r="L751" s="17" t="n">
        <v>-0.0265</v>
      </c>
    </row>
    <row r="752" customFormat="false" ht="30" hidden="false" customHeight="true" outlineLevel="0" collapsed="false">
      <c r="A752" s="2" t="s">
        <v>851</v>
      </c>
      <c r="B752" s="16" t="n">
        <v>-0.0348</v>
      </c>
      <c r="C752" s="16" t="n">
        <v>0.0236</v>
      </c>
      <c r="D752" s="16" t="n">
        <v>-0.016</v>
      </c>
      <c r="E752" s="16" t="n">
        <v>0.0491</v>
      </c>
      <c r="F752" s="16" t="n">
        <v>0.0292</v>
      </c>
      <c r="G752" s="16" t="n">
        <v>0.0659</v>
      </c>
      <c r="H752" s="16" t="n">
        <v>0.0132</v>
      </c>
      <c r="I752" s="16" t="n">
        <v>0.0056</v>
      </c>
      <c r="J752" s="16" t="n">
        <v>-0.0004</v>
      </c>
      <c r="K752" s="16" t="n">
        <v>0.0069</v>
      </c>
      <c r="L752" s="16" t="n">
        <v>-0.0094</v>
      </c>
    </row>
    <row r="753" customFormat="false" ht="30" hidden="false" customHeight="true" outlineLevel="0" collapsed="false">
      <c r="A753" s="3" t="s">
        <v>852</v>
      </c>
      <c r="B753" s="17" t="n">
        <v>0.1158</v>
      </c>
      <c r="C753" s="17" t="n">
        <v>0.0544</v>
      </c>
      <c r="D753" s="17" t="n">
        <v>0.0523</v>
      </c>
      <c r="E753" s="17" t="n">
        <v>0.0338</v>
      </c>
      <c r="F753" s="17" t="n">
        <v>0.0665</v>
      </c>
      <c r="G753" s="17" t="n">
        <v>0.0724</v>
      </c>
      <c r="H753" s="17" t="n">
        <v>0.0336</v>
      </c>
      <c r="I753" s="17" t="n">
        <v>-0.012</v>
      </c>
      <c r="J753" s="17" t="n">
        <v>0.0125</v>
      </c>
      <c r="K753" s="17" t="n">
        <v>-0.0127</v>
      </c>
      <c r="L753" s="17" t="n">
        <v>-0.0361</v>
      </c>
    </row>
    <row r="754" customFormat="false" ht="30" hidden="false" customHeight="true" outlineLevel="0" collapsed="false">
      <c r="A754" s="2" t="s">
        <v>853</v>
      </c>
      <c r="B754" s="16" t="n">
        <v>0.0304</v>
      </c>
      <c r="C754" s="16" t="n">
        <v>-0.0229</v>
      </c>
      <c r="D754" s="16" t="n">
        <v>-0.0009</v>
      </c>
      <c r="E754" s="16" t="n">
        <v>0.0497</v>
      </c>
      <c r="F754" s="16" t="n">
        <v>-0.0109</v>
      </c>
      <c r="G754" s="16" t="n">
        <v>0.0022</v>
      </c>
      <c r="H754" s="16" t="n">
        <v>0.0115</v>
      </c>
      <c r="I754" s="16" t="n">
        <v>0.0467</v>
      </c>
      <c r="J754" s="16" t="n">
        <v>0.0359</v>
      </c>
      <c r="K754" s="16" t="n">
        <v>0.0782</v>
      </c>
      <c r="L754" s="16" t="n">
        <v>0.0462</v>
      </c>
    </row>
    <row r="755" customFormat="false" ht="30" hidden="false" customHeight="true" outlineLevel="0" collapsed="false">
      <c r="A755" s="3" t="s">
        <v>854</v>
      </c>
      <c r="B755" s="17" t="n">
        <v>0.0028</v>
      </c>
      <c r="C755" s="17" t="n">
        <v>-0.0039</v>
      </c>
      <c r="D755" s="17" t="n">
        <v>0.0459</v>
      </c>
      <c r="E755" s="17" t="n">
        <v>0.0059</v>
      </c>
      <c r="F755" s="17" t="n">
        <v>0.0393</v>
      </c>
      <c r="G755" s="17" t="n">
        <v>-0.0227</v>
      </c>
      <c r="H755" s="17" t="n">
        <v>0.0049</v>
      </c>
      <c r="I755" s="17" t="n">
        <v>0.0343</v>
      </c>
      <c r="J755" s="17" t="n">
        <v>0.0294</v>
      </c>
      <c r="K755" s="17" t="n">
        <v>0.0453</v>
      </c>
      <c r="L755" s="17" t="n">
        <v>0.0016</v>
      </c>
    </row>
    <row r="756" customFormat="false" ht="30" hidden="false" customHeight="true" outlineLevel="0" collapsed="false">
      <c r="A756" s="2" t="s">
        <v>855</v>
      </c>
      <c r="B756" s="16" t="n">
        <v>-0.0062</v>
      </c>
      <c r="C756" s="16" t="n">
        <v>0.0298</v>
      </c>
      <c r="D756" s="16" t="n">
        <v>0.0269</v>
      </c>
      <c r="E756" s="16" t="n">
        <v>0.0727</v>
      </c>
      <c r="F756" s="16" t="n">
        <v>0.0155</v>
      </c>
      <c r="G756" s="16" t="n">
        <v>0.0243</v>
      </c>
      <c r="H756" s="16" t="n">
        <v>0.0031</v>
      </c>
      <c r="I756" s="16" t="n">
        <v>0.0011</v>
      </c>
      <c r="J756" s="16" t="n">
        <v>-0.0131</v>
      </c>
      <c r="K756" s="16" t="n">
        <v>-0.0363</v>
      </c>
      <c r="L756" s="16" t="n">
        <v>-0.0172</v>
      </c>
    </row>
    <row r="757" customFormat="false" ht="30" hidden="false" customHeight="true" outlineLevel="0" collapsed="false">
      <c r="A757" s="3" t="s">
        <v>97</v>
      </c>
      <c r="B757" s="17" t="n">
        <v>0.0264</v>
      </c>
      <c r="C757" s="17" t="n">
        <v>0.0226</v>
      </c>
      <c r="D757" s="17" t="n">
        <v>0.0219</v>
      </c>
      <c r="E757" s="17" t="n">
        <v>0.0053</v>
      </c>
      <c r="F757" s="17" t="n">
        <v>0.0011</v>
      </c>
      <c r="G757" s="17" t="n">
        <v>0.0105</v>
      </c>
      <c r="H757" s="17" t="n">
        <v>-0.0073</v>
      </c>
      <c r="I757" s="17" t="n">
        <v>-0.0049</v>
      </c>
      <c r="J757" s="17" t="n">
        <v>-0.0039</v>
      </c>
      <c r="K757" s="17" t="n">
        <v>-0.0026</v>
      </c>
      <c r="L757" s="17" t="n">
        <v>-0.024</v>
      </c>
    </row>
    <row r="758" customFormat="false" ht="30" hidden="false" customHeight="true" outlineLevel="0" collapsed="false">
      <c r="A758" s="2" t="s">
        <v>856</v>
      </c>
      <c r="B758" s="16" t="n">
        <v>-0.0013</v>
      </c>
      <c r="C758" s="16" t="n">
        <v>-0.0675</v>
      </c>
      <c r="D758" s="16" t="n">
        <v>-0.0111</v>
      </c>
      <c r="E758" s="16" t="n">
        <v>0.0507</v>
      </c>
      <c r="F758" s="16" t="n">
        <v>0.0212</v>
      </c>
      <c r="G758" s="16" t="n">
        <v>0.007</v>
      </c>
      <c r="H758" s="16" t="n">
        <v>-0.047</v>
      </c>
      <c r="I758" s="16" t="n">
        <v>0.01</v>
      </c>
      <c r="J758" s="16" t="n">
        <v>0.0234</v>
      </c>
      <c r="K758" s="16" t="n">
        <v>0.0613</v>
      </c>
      <c r="L758" s="16" t="n">
        <v>0.0503</v>
      </c>
    </row>
    <row r="759" customFormat="false" ht="30" hidden="false" customHeight="true" outlineLevel="0" collapsed="false">
      <c r="A759" s="3" t="s">
        <v>857</v>
      </c>
      <c r="B759" s="17" t="n">
        <v>-0.0538</v>
      </c>
      <c r="C759" s="17" t="n">
        <v>-0.0025</v>
      </c>
      <c r="D759" s="17" t="n">
        <v>-0.0019</v>
      </c>
      <c r="E759" s="17" t="n">
        <v>0.0123</v>
      </c>
      <c r="F759" s="17" t="n">
        <v>-0.0321</v>
      </c>
      <c r="G759" s="17" t="n">
        <v>0.0137</v>
      </c>
      <c r="H759" s="17" t="n">
        <v>0.0143</v>
      </c>
      <c r="I759" s="17" t="n">
        <v>-0.031</v>
      </c>
      <c r="J759" s="17" t="n">
        <v>0.0404</v>
      </c>
      <c r="K759" s="17" t="n">
        <v>-0.0338</v>
      </c>
      <c r="L759" s="17" t="n">
        <v>0.0131</v>
      </c>
    </row>
    <row r="760" customFormat="false" ht="30" hidden="false" customHeight="true" outlineLevel="0" collapsed="false">
      <c r="A760" s="2" t="s">
        <v>858</v>
      </c>
      <c r="B760" s="16" t="n">
        <v>-0.0547</v>
      </c>
      <c r="C760" s="16" t="n">
        <v>-0.0675</v>
      </c>
      <c r="D760" s="16" t="n">
        <v>-0.0496</v>
      </c>
      <c r="E760" s="16" t="n">
        <v>-0.0507</v>
      </c>
      <c r="F760" s="16" t="n">
        <v>-0.0538</v>
      </c>
      <c r="G760" s="16" t="n">
        <v>-0.0454</v>
      </c>
      <c r="H760" s="16" t="n">
        <v>-0.0334</v>
      </c>
      <c r="I760" s="16" t="n">
        <v>-0.02</v>
      </c>
      <c r="J760" s="16" t="n">
        <v>-0.0444</v>
      </c>
      <c r="K760" s="16" t="n">
        <v>-0.0651</v>
      </c>
      <c r="L760" s="16" t="n">
        <v>0.0156</v>
      </c>
    </row>
    <row r="761" customFormat="false" ht="30" hidden="false" customHeight="true" outlineLevel="0" collapsed="false">
      <c r="A761" s="3" t="s">
        <v>859</v>
      </c>
      <c r="B761" s="17" t="n">
        <v>0.0654</v>
      </c>
      <c r="C761" s="17" t="n">
        <v>0.027</v>
      </c>
      <c r="D761" s="17" t="n">
        <v>0.0279</v>
      </c>
      <c r="E761" s="17" t="n">
        <v>0.0487</v>
      </c>
      <c r="F761" s="17" t="n">
        <v>0.1049</v>
      </c>
      <c r="G761" s="17" t="n">
        <v>0.0544</v>
      </c>
      <c r="H761" s="17" t="n">
        <v>0.0383</v>
      </c>
      <c r="I761" s="17" t="n">
        <v>0.0337</v>
      </c>
      <c r="J761" s="17" t="n">
        <v>0.1029</v>
      </c>
      <c r="K761" s="17" t="n">
        <v>0.3171</v>
      </c>
      <c r="L761" s="17" t="n">
        <v>0.0951</v>
      </c>
    </row>
    <row r="762" customFormat="false" ht="30" hidden="false" customHeight="true" outlineLevel="0" collapsed="false">
      <c r="A762" s="2" t="s">
        <v>860</v>
      </c>
      <c r="B762" s="16" t="n">
        <v>0.0335</v>
      </c>
      <c r="C762" s="16" t="n">
        <v>0.0054</v>
      </c>
      <c r="D762" s="16" t="n">
        <v>0.0505</v>
      </c>
      <c r="E762" s="16" t="n">
        <v>0.0709</v>
      </c>
      <c r="F762" s="16" t="n">
        <v>0.0006</v>
      </c>
      <c r="G762" s="16" t="n">
        <v>0.0722</v>
      </c>
      <c r="H762" s="16" t="n">
        <v>0.0176</v>
      </c>
      <c r="I762" s="16" t="n">
        <v>0.0287</v>
      </c>
      <c r="J762" s="16" t="n">
        <v>0.0336</v>
      </c>
      <c r="K762" s="16" t="n">
        <v>0.2004</v>
      </c>
      <c r="L762" s="16" t="n">
        <v>0.0139</v>
      </c>
    </row>
    <row r="763" customFormat="false" ht="30" hidden="false" customHeight="true" outlineLevel="0" collapsed="false">
      <c r="A763" s="3" t="s">
        <v>861</v>
      </c>
      <c r="B763" s="17" t="n">
        <v>-0.0709</v>
      </c>
      <c r="C763" s="17" t="n">
        <v>-0.0106</v>
      </c>
      <c r="D763" s="17" t="n">
        <v>-0.0431</v>
      </c>
      <c r="E763" s="17" t="n">
        <v>-0.0738</v>
      </c>
      <c r="F763" s="17" t="n">
        <v>0.0099</v>
      </c>
      <c r="G763" s="17" t="n">
        <v>0.055</v>
      </c>
      <c r="H763" s="17" t="n">
        <v>-0.0386</v>
      </c>
      <c r="I763" s="17" t="n">
        <v>-0.0169</v>
      </c>
      <c r="J763" s="17" t="n">
        <v>-0.0476</v>
      </c>
      <c r="K763" s="17" t="n">
        <v>0.0836</v>
      </c>
      <c r="L763" s="17" t="n">
        <v>0.0462</v>
      </c>
    </row>
    <row r="764" customFormat="false" ht="30" hidden="false" customHeight="true" outlineLevel="0" collapsed="false">
      <c r="A764" s="2" t="s">
        <v>862</v>
      </c>
      <c r="B764" s="16" t="n">
        <v>0.0731</v>
      </c>
      <c r="C764" s="16" t="n">
        <v>0.0603</v>
      </c>
      <c r="D764" s="16" t="n">
        <v>0.094</v>
      </c>
      <c r="E764" s="16" t="n">
        <v>0.0354</v>
      </c>
      <c r="F764" s="16" t="n">
        <v>0.0072</v>
      </c>
      <c r="G764" s="16" t="n">
        <v>0.0444</v>
      </c>
      <c r="H764" s="16" t="n">
        <v>0.0507</v>
      </c>
      <c r="I764" s="16" t="n">
        <v>-0.0222</v>
      </c>
      <c r="J764" s="16" t="n">
        <v>0.0219</v>
      </c>
      <c r="K764" s="16" t="n">
        <v>-0.1541</v>
      </c>
      <c r="L764" s="16" t="n">
        <v>-0.1221</v>
      </c>
    </row>
    <row r="765" customFormat="false" ht="30" hidden="false" customHeight="true" outlineLevel="0" collapsed="false">
      <c r="A765" s="3" t="s">
        <v>863</v>
      </c>
      <c r="B765" s="17" t="n">
        <v>0.1435</v>
      </c>
      <c r="C765" s="17" t="n">
        <v>0.0842</v>
      </c>
      <c r="D765" s="17" t="n">
        <v>0.0229</v>
      </c>
      <c r="E765" s="17" t="n">
        <v>-0.0083</v>
      </c>
      <c r="F765" s="17" t="n">
        <v>0.0589</v>
      </c>
      <c r="G765" s="17" t="n">
        <v>-0.0126</v>
      </c>
      <c r="H765" s="17" t="n">
        <v>-0.0094</v>
      </c>
      <c r="I765" s="17" t="n">
        <v>0.0387</v>
      </c>
      <c r="J765" s="17" t="n">
        <v>0.0115</v>
      </c>
      <c r="K765" s="17" t="n">
        <v>-0.0006</v>
      </c>
      <c r="L765" s="17" t="n">
        <v>-0.056</v>
      </c>
    </row>
    <row r="766" customFormat="false" ht="30" hidden="false" customHeight="true" outlineLevel="0" collapsed="false">
      <c r="A766" s="2" t="s">
        <v>35</v>
      </c>
      <c r="B766" s="16" t="n">
        <v>-0.0948</v>
      </c>
      <c r="C766" s="16" t="n">
        <v>-0.0133</v>
      </c>
      <c r="D766" s="16" t="n">
        <v>-0.0349</v>
      </c>
      <c r="E766" s="16" t="n">
        <v>-0.035</v>
      </c>
      <c r="F766" s="16" t="n">
        <v>-0.0599</v>
      </c>
      <c r="G766" s="16" t="n">
        <v>0.008</v>
      </c>
      <c r="H766" s="16" t="n">
        <v>-0.0428</v>
      </c>
      <c r="I766" s="16" t="n">
        <v>-0.0054</v>
      </c>
      <c r="J766" s="16" t="n">
        <v>-0.0219</v>
      </c>
      <c r="K766" s="16" t="n">
        <v>0.0718</v>
      </c>
      <c r="L766" s="16" t="n">
        <v>0.067</v>
      </c>
    </row>
  </sheetData>
  <autoFilter ref="A1:L7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33.75" hidden="false" customHeight="true" outlineLevel="0" collapsed="false">
      <c r="A1" s="1" t="s">
        <v>864</v>
      </c>
      <c r="B1" s="1" t="s">
        <v>865</v>
      </c>
    </row>
    <row r="2" customFormat="false" ht="30" hidden="false" customHeight="true" outlineLevel="0" collapsed="false">
      <c r="A2" s="2" t="s">
        <v>866</v>
      </c>
      <c r="B2" s="2" t="s">
        <v>867</v>
      </c>
    </row>
    <row r="3" customFormat="false" ht="30" hidden="false" customHeight="true" outlineLevel="0" collapsed="false">
      <c r="A3" s="3" t="s">
        <v>868</v>
      </c>
      <c r="B3" s="3" t="s">
        <v>869</v>
      </c>
    </row>
    <row r="4" customFormat="false" ht="30" hidden="false" customHeight="true" outlineLevel="0" collapsed="false">
      <c r="A4" s="2" t="s">
        <v>870</v>
      </c>
      <c r="B4" s="2" t="s">
        <v>871</v>
      </c>
    </row>
    <row r="5" customFormat="false" ht="30" hidden="false" customHeight="true" outlineLevel="0" collapsed="false">
      <c r="A5" s="3" t="s">
        <v>872</v>
      </c>
      <c r="B5" s="3" t="s">
        <v>873</v>
      </c>
    </row>
    <row r="6" customFormat="false" ht="30" hidden="false" customHeight="true" outlineLevel="0" collapsed="false">
      <c r="A6" s="2" t="s">
        <v>874</v>
      </c>
      <c r="B6" s="2" t="s">
        <v>875</v>
      </c>
    </row>
    <row r="7" customFormat="false" ht="30" hidden="false" customHeight="true" outlineLevel="0" collapsed="false">
      <c r="A7" s="3" t="s">
        <v>876</v>
      </c>
      <c r="B7" s="3" t="s">
        <v>877</v>
      </c>
    </row>
    <row r="8" customFormat="false" ht="30" hidden="false" customHeight="true" outlineLevel="0" collapsed="false">
      <c r="A8" s="2" t="s">
        <v>878</v>
      </c>
      <c r="B8" s="2" t="s">
        <v>879</v>
      </c>
    </row>
    <row r="9" customFormat="false" ht="30" hidden="false" customHeight="true" outlineLevel="0" collapsed="false">
      <c r="A9" s="3" t="s">
        <v>880</v>
      </c>
      <c r="B9" s="3" t="s">
        <v>881</v>
      </c>
    </row>
    <row r="10" customFormat="false" ht="30" hidden="false" customHeight="true" outlineLevel="0" collapsed="false">
      <c r="A10" s="2" t="s">
        <v>882</v>
      </c>
      <c r="B10" s="2" t="s">
        <v>883</v>
      </c>
    </row>
    <row r="11" customFormat="false" ht="30" hidden="false" customHeight="true" outlineLevel="0" collapsed="false">
      <c r="A11" s="3" t="s">
        <v>884</v>
      </c>
      <c r="B11" s="3" t="s">
        <v>885</v>
      </c>
    </row>
    <row r="12" customFormat="false" ht="30" hidden="false" customHeight="true" outlineLevel="0" collapsed="false">
      <c r="A12" s="2" t="s">
        <v>886</v>
      </c>
      <c r="B12" s="2" t="s">
        <v>887</v>
      </c>
    </row>
  </sheetData>
  <autoFilter ref="A1:B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2026-10-28T12:59:05Z</dcterms:created>
  <dc:creator>openpyxl</dc:creator>
  <dc:description/>
  <dc:language>en-GB</dc:language>
  <cp:lastModifiedBy/>
  <dcterms:modified xsi:type="dcterms:W3CDTF">2026-10-28T12:59:06Z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