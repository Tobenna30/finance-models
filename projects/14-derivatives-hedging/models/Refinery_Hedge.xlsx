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Pricing" sheetId="3" state="visible" r:id="rId5"/>
    <sheet name="Monthly" sheetId="4" state="visible" r:id="rId6"/>
    <sheet name="Scenarios" sheetId="5" state="visible" r:id="rId7"/>
    <sheet name="FX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<sst xmlns="http://schemas.openxmlformats.org/spreadsheetml/2006/main" count="232" uniqueCount="197">
  <si>
    <t xml:space="preserve">Refinery margin hedge: 2027 zero-cost crack collars</t>
  </si>
  <si>
    <t xml:space="preserve">Illustrative South African refinery. Bachelier pricing, Black-76 cross-check. Not a real asset, not executable quotes.</t>
  </si>
  <si>
    <t xml:space="preserve">Output</t>
  </si>
  <si>
    <t xml:space="preserve">Value</t>
  </si>
  <si>
    <t xml:space="preserve">Cell</t>
  </si>
  <si>
    <t xml:space="preserve">Annual budget refining margin ($m)</t>
  </si>
  <si>
    <t xml:space="preserve">Recommended cover</t>
  </si>
  <si>
    <t xml:space="preserve">30% fall, recommended cover</t>
  </si>
  <si>
    <t xml:space="preserve">30% fall, unhedged</t>
  </si>
  <si>
    <t xml:space="preserve">Outage cost on unbacked calls, recommended cover</t>
  </si>
  <si>
    <t xml:space="preserve">Outage + spike total change, recommended cover</t>
  </si>
  <si>
    <t xml:space="preserve">Diesel put strike ($/bbl)</t>
  </si>
  <si>
    <t xml:space="preserve">Diesel call strike, Bachelier ($/bbl)</t>
  </si>
  <si>
    <t xml:space="preserve">Diesel call strike Dec, Black-76 ($/bbl)</t>
  </si>
  <si>
    <t xml:space="preserve">Selected case: margin change</t>
  </si>
  <si>
    <t xml:space="preserve">Selected case: unbacked call cost</t>
  </si>
  <si>
    <t xml:space="preserve">Max abs Bachelier net premium ($/bbl)</t>
  </si>
  <si>
    <t xml:space="preserve">Max abs Black-76 net premium ($/bbl)</t>
  </si>
  <si>
    <t xml:space="preserve">Python engine only (values, not formulas)</t>
  </si>
  <si>
    <t xml:space="preserve">Monte Carlo 5th percentile, unhedged</t>
  </si>
  <si>
    <t xml:space="preserve">Monte Carlo 5th percentile, 80% cover</t>
  </si>
  <si>
    <t xml:space="preserve">Outage cost, Black-76 strikes</t>
  </si>
  <si>
    <t xml:space="preserve">Inputs</t>
  </si>
  <si>
    <t xml:space="preserve">Blue = hard-coded input. Tag: S = sourced, A = assumption, D = derived. Cracks in $/bbl.</t>
  </si>
  <si>
    <t xml:space="preserve">Input</t>
  </si>
  <si>
    <t xml:space="preserve">Unit</t>
  </si>
  <si>
    <t xml:space="preserve">Tag</t>
  </si>
  <si>
    <t xml:space="preserve">Source / note</t>
  </si>
  <si>
    <t xml:space="preserve">Market (build date 27 Oct 2026)</t>
  </si>
  <si>
    <t xml:space="preserve">Valuation date</t>
  </si>
  <si>
    <t xml:space="preserve">date</t>
  </si>
  <si>
    <t xml:space="preserve">A</t>
  </si>
  <si>
    <t xml:space="preserve">Build date</t>
  </si>
  <si>
    <t xml:space="preserve">2027 forward crack, diesel and jet</t>
  </si>
  <si>
    <t xml:space="preserve">$/bbl</t>
  </si>
  <si>
    <t xml:space="preserve">S</t>
  </si>
  <si>
    <t xml:space="preserve">GS: 2027 average above $40. Spot NYH ULSD crack $105.91 (D)</t>
  </si>
  <si>
    <t xml:space="preserve">2027 forward crack, petrol</t>
  </si>
  <si>
    <t xml:space="preserve">D</t>
  </si>
  <si>
    <t xml:space="preserve">Trailing 12-month NYH gasoline crack vs Brent (FRED DGASNYH, DCOILBRENTEU)</t>
  </si>
  <si>
    <t xml:space="preserve">Normal vol, diesel crack</t>
  </si>
  <si>
    <t xml:space="preserve">$/bbl/yr</t>
  </si>
  <si>
    <t xml:space="preserve">Month-average crack changes, Oct 2025 to Oct 2026, x sqrt(12)</t>
  </si>
  <si>
    <t xml:space="preserve">Normal vol, petrol crack</t>
  </si>
  <si>
    <t xml:space="preserve">USD discount rate</t>
  </si>
  <si>
    <t xml:space="preserve">%</t>
  </si>
  <si>
    <t xml:space="preserve">Fed funds effective, 23 Oct 2026 (FRED DFF)</t>
  </si>
  <si>
    <t xml:space="preserve">ZAR rate</t>
  </si>
  <si>
    <t xml:space="preserve">SARB repo after 23 Sep 2026 hike (eNCA, secondary)</t>
  </si>
  <si>
    <t xml:space="preserve">USD/ZAR spot</t>
  </si>
  <si>
    <t xml:space="preserve">ZAR per $</t>
  </si>
  <si>
    <t xml:space="preserve">Close 26 Oct 2026 (Alpha Vantage)</t>
  </si>
  <si>
    <t xml:space="preserve">Refinery (illustrative)</t>
  </si>
  <si>
    <t xml:space="preserve">Crude capacity</t>
  </si>
  <si>
    <t xml:space="preserve">bbl/day</t>
  </si>
  <si>
    <t xml:space="preserve">Illustrative coastal South African refinery</t>
  </si>
  <si>
    <t xml:space="preserve">Expected availability</t>
  </si>
  <si>
    <t xml:space="preserve">On-stream factor after planned maintenance</t>
  </si>
  <si>
    <t xml:space="preserve">Yield, diesel and jet</t>
  </si>
  <si>
    <t xml:space="preserve">Share of crude run</t>
  </si>
  <si>
    <t xml:space="preserve">Yield, petrol</t>
  </si>
  <si>
    <t xml:space="preserve">Other 20% (LPG, fuel oil) taken at zero crack</t>
  </si>
  <si>
    <t xml:space="preserve">Cash opex</t>
  </si>
  <si>
    <t xml:space="preserve">ZAR/bbl</t>
  </si>
  <si>
    <t xml:space="preserve">About $6/bbl at spot</t>
  </si>
  <si>
    <t xml:space="preserve">Hedge design</t>
  </si>
  <si>
    <t xml:space="preserve">Put distance below forward</t>
  </si>
  <si>
    <t xml:space="preserve">Buy a put 5% below the forward crack</t>
  </si>
  <si>
    <t xml:space="preserve">Outage risk appetite</t>
  </si>
  <si>
    <t xml:space="preserve">% of margin</t>
  </si>
  <si>
    <t xml:space="preserve">Max cost of unbacked sold calls in one outage</t>
  </si>
  <si>
    <t xml:space="preserve">Outage length</t>
  </si>
  <si>
    <t xml:space="preserve">days</t>
  </si>
  <si>
    <t xml:space="preserve">Six-week unplanned outage</t>
  </si>
  <si>
    <t xml:space="preserve">Outage start</t>
  </si>
  <si>
    <t xml:space="preserve">Settled month by month</t>
  </si>
  <si>
    <t xml:space="preserve">Crack spike during outage</t>
  </si>
  <si>
    <t xml:space="preserve">Cracks often rise when a refinery trips</t>
  </si>
  <si>
    <t xml:space="preserve">Selected case for the Monthly sheet</t>
  </si>
  <si>
    <t xml:space="preserve">Hedge cover</t>
  </si>
  <si>
    <t xml:space="preserve">Change to test other ratios</t>
  </si>
  <si>
    <t xml:space="preserve">Parallel crack move</t>
  </si>
  <si>
    <t xml:space="preserve">Applies to both products for all of 2027</t>
  </si>
  <si>
    <t xml:space="preserve">Outage on (1) or off (0)</t>
  </si>
  <si>
    <t xml:space="preserve">flag</t>
  </si>
  <si>
    <t xml:space="preserve">Collar pricing by settlement month</t>
  </si>
  <si>
    <t xml:space="preserve">Bachelier (normal) prices the collar. Black-76 is a cross-check: its zero-cost call strike is solved in engine.py and the check column proves zero premium.</t>
  </si>
  <si>
    <t xml:space="preserve">Month</t>
  </si>
  <si>
    <t xml:space="preserve">Month end</t>
  </si>
  <si>
    <t xml:space="preserve">t (yrs)</t>
  </si>
  <si>
    <t xml:space="preserve">Diesel and jet: Forward</t>
  </si>
  <si>
    <t xml:space="preserve">Diesel and jet: Put strike</t>
  </si>
  <si>
    <t xml:space="preserve">Diesel and jet: Call strike</t>
  </si>
  <si>
    <t xml:space="preserve">Diesel and jet: sigma*sqrt(t)</t>
  </si>
  <si>
    <t xml:space="preserve">Diesel and jet: Put prem</t>
  </si>
  <si>
    <t xml:space="preserve">Diesel and jet: Call prem</t>
  </si>
  <si>
    <t xml:space="preserve">Diesel and jet: Net prem</t>
  </si>
  <si>
    <t xml:space="preserve">Diesel and jet: B76 call strike</t>
  </si>
  <si>
    <t xml:space="preserve">Diesel and jet: B76 vol</t>
  </si>
  <si>
    <t xml:space="preserve">Diesel and jet: B76 put prem</t>
  </si>
  <si>
    <t xml:space="preserve">Diesel and jet: B76 call prem</t>
  </si>
  <si>
    <t xml:space="preserve">Diesel and jet: B76 net prem</t>
  </si>
  <si>
    <t xml:space="preserve">Petrol: Forward</t>
  </si>
  <si>
    <t xml:space="preserve">Petrol: Put strike</t>
  </si>
  <si>
    <t xml:space="preserve">Petrol: Call strike</t>
  </si>
  <si>
    <t xml:space="preserve">Petrol: sigma*sqrt(t)</t>
  </si>
  <si>
    <t xml:space="preserve">Petrol: Put prem</t>
  </si>
  <si>
    <t xml:space="preserve">Petrol: Call prem</t>
  </si>
  <si>
    <t xml:space="preserve">Petrol: Net prem</t>
  </si>
  <si>
    <t xml:space="preserve">Petrol: B76 call strike</t>
  </si>
  <si>
    <t xml:space="preserve">Petrol: B76 vol</t>
  </si>
  <si>
    <t xml:space="preserve">Petrol: B76 put prem</t>
  </si>
  <si>
    <t xml:space="preserve">Petrol: B76 call prem</t>
  </si>
  <si>
    <t xml:space="preserve">Petrol: B76 net prem</t>
  </si>
  <si>
    <t xml:space="preserve">2027 month by month, selected case</t>
  </si>
  <si>
    <t xml:space="preserve">Hedged barrels are fixed on budget volumes. During an outage the sold calls have no barrels behind them. $ unless stated.</t>
  </si>
  <si>
    <t xml:space="preserve">Days</t>
  </si>
  <si>
    <t xml:space="preserve">Outage days</t>
  </si>
  <si>
    <t xml:space="preserve">Diesel and jet: Budget bbl</t>
  </si>
  <si>
    <t xml:space="preserve">Diesel and jet: Run bbl</t>
  </si>
  <si>
    <t xml:space="preserve">Diesel and jet: Hedged bbl</t>
  </si>
  <si>
    <t xml:space="preserve">Diesel and jet: Crack</t>
  </si>
  <si>
    <t xml:space="preserve">Diesel and jet: Payoff /bbl</t>
  </si>
  <si>
    <t xml:space="preserve">Diesel and jet: Physical $</t>
  </si>
  <si>
    <t xml:space="preserve">Diesel and jet: Hedge $</t>
  </si>
  <si>
    <t xml:space="preserve">Diesel and jet: Unbacked call $</t>
  </si>
  <si>
    <t xml:space="preserve">Petrol: Budget bbl</t>
  </si>
  <si>
    <t xml:space="preserve">Petrol: Run bbl</t>
  </si>
  <si>
    <t xml:space="preserve">Petrol: Hedged bbl</t>
  </si>
  <si>
    <t xml:space="preserve">Petrol: Crack</t>
  </si>
  <si>
    <t xml:space="preserve">Petrol: Payoff /bbl</t>
  </si>
  <si>
    <t xml:space="preserve">Petrol: Physical $</t>
  </si>
  <si>
    <t xml:space="preserve">Petrol: Hedge $</t>
  </si>
  <si>
    <t xml:space="preserve">Petrol: Unbacked call $</t>
  </si>
  <si>
    <t xml:space="preserve">Budget margin $</t>
  </si>
  <si>
    <t xml:space="preserve">Actual margin $</t>
  </si>
  <si>
    <t xml:space="preserve">Total</t>
  </si>
  <si>
    <t xml:space="preserve">Margin change vs budget</t>
  </si>
  <si>
    <t xml:space="preserve">Unbacked call cost / budget margin</t>
  </si>
  <si>
    <t xml:space="preserve">Hedge ratio scenarios</t>
  </si>
  <si>
    <t xml:space="preserve">Refining margin change vs budget for a parallel 2027 crack move. Uses January strikes (Bachelier strikes are the same in every month).</t>
  </si>
  <si>
    <t xml:space="preserve">Margin weight, diesel and jet</t>
  </si>
  <si>
    <t xml:space="preserve">Margin weight, petrol</t>
  </si>
  <si>
    <t xml:space="preserve">Cover \ crack move</t>
  </si>
  <si>
    <t xml:space="preserve">Cover</t>
  </si>
  <si>
    <t xml:space="preserve">30% fall</t>
  </si>
  <si>
    <t xml:space="preserve">Outage: unbacked call cost</t>
  </si>
  <si>
    <t xml:space="preserve">Outage + spike: total change</t>
  </si>
  <si>
    <t xml:space="preserve">Within appetite</t>
  </si>
  <si>
    <t xml:space="preserve">Recommended cover (most protection within appetite)</t>
  </si>
  <si>
    <t xml:space="preserve">ZAR overlay: sell USD forward against the rand cost budget</t>
  </si>
  <si>
    <t xml:space="preserve">The refinery earns dollars and pays rand costs. Selling dollars forward locks the rand value of the cost budget. ZAR millions.</t>
  </si>
  <si>
    <t xml:space="preserve">USD/ZAR forward</t>
  </si>
  <si>
    <t xml:space="preserve">USD margin $m</t>
  </si>
  <si>
    <t xml:space="preserve">Rand cost Rm</t>
  </si>
  <si>
    <t xml:space="preserve">USD sold $m</t>
  </si>
  <si>
    <t xml:space="preserve">Unhedged -15%</t>
  </si>
  <si>
    <t xml:space="preserve">Hedged -15%</t>
  </si>
  <si>
    <t xml:space="preserve">Unhedged +0%</t>
  </si>
  <si>
    <t xml:space="preserve">Hedged +0%</t>
  </si>
  <si>
    <t xml:space="preserve">Unhedged +15%</t>
  </si>
  <si>
    <t xml:space="preserve">Hedged +15%</t>
  </si>
  <si>
    <t xml:space="preserve">Sources</t>
  </si>
  <si>
    <t xml:space="preserve">Read 27 Oct 2026. Secondary sources are labelled and used as cross-checks or where no primary source was found.</t>
  </si>
  <si>
    <t xml:space="preserve">Key</t>
  </si>
  <si>
    <t xml:space="preserve">Source</t>
  </si>
  <si>
    <t xml:space="preserve">URL</t>
  </si>
  <si>
    <t xml:space="preserve">BRENT</t>
  </si>
  <si>
    <t xml:space="preserve">EIA Europe Brent spot price FOB, via FRED series DCOILBRENTEU, daily, last obs 20 Oct 2026</t>
  </si>
  <si>
    <t xml:space="preserve">https://fred.stlouisfed.org/series/DCOILBRENTEU</t>
  </si>
  <si>
    <t xml:space="preserve">ULSD</t>
  </si>
  <si>
    <t xml:space="preserve">EIA New York Harbor ultra-low sulfur No. 2 diesel spot, via FRED series DDFUELNYH, $/gal, last obs 20 Oct 2026</t>
  </si>
  <si>
    <t xml:space="preserve">https://fred.stlouisfed.org/series/DDFUELNYH</t>
  </si>
  <si>
    <t xml:space="preserve">GASO</t>
  </si>
  <si>
    <t xml:space="preserve">EIA New York Harbor conventional gasoline regular spot, via FRED series DGASNYH, $/gal, last obs 20 Oct 2026</t>
  </si>
  <si>
    <t xml:space="preserve">https://fred.stlouisfed.org/series/DGASNYH</t>
  </si>
  <si>
    <t xml:space="preserve">OVX</t>
  </si>
  <si>
    <t xml:space="preserve">Cboe Crude Oil ETF Volatility Index, via FRED series OVXCLS, close 26 Oct 2026</t>
  </si>
  <si>
    <t xml:space="preserve">https://fred.stlouisfed.org/series/OVXCLS</t>
  </si>
  <si>
    <t xml:space="preserve">DFF</t>
  </si>
  <si>
    <t xml:space="preserve">Federal Reserve effective federal funds rate, via FRED series DFF, 23 Oct 2026</t>
  </si>
  <si>
    <t xml:space="preserve">https://fred.stlouisfed.org/series/DFF</t>
  </si>
  <si>
    <t xml:space="preserve">ZAR</t>
  </si>
  <si>
    <t xml:space="preserve">Alpha Vantage FX_DAILY USD/ZAR close, 26 Oct 2026</t>
  </si>
  <si>
    <t xml:space="preserve">https://www.alphavantage.co/documentation/#fx-daily</t>
  </si>
  <si>
    <t xml:space="preserve">SARB</t>
  </si>
  <si>
    <t xml:space="preserve">eNCA, 'Reserve Bank hikes interest rates by 25 basis points', 23 Sep 2026 (secondary; confirm against the SARB MPC statement)</t>
  </si>
  <si>
    <t xml:space="preserve">https://www.enca.com/business-top-stories/reserve-bank-hikes-interest-rates-25-basis-points</t>
  </si>
  <si>
    <t xml:space="preserve">GS</t>
  </si>
  <si>
    <t xml:space="preserve">IBTimes citing CNBC, Goldman Sachs expects 2027 diesel and jet cracks above $40/bbl vs about $20 normal, 6 Oct 2026 (secondary)</t>
  </si>
  <si>
    <t xml:space="preserve">https://www.ibtimes.com/oil-flows-are-recovering-diesel-likely-continue-being-expensive-while-heres-why-3808277</t>
  </si>
  <si>
    <t xml:space="preserve">CURVE</t>
  </si>
  <si>
    <t xml:space="preserve">Commodity Board, Brent Dec-26 settled $109.94 on 21 Oct 2026, 2027 strip in the mid to high $80s (secondary, context only)</t>
  </si>
  <si>
    <t xml:space="preserve">https://commodity-board.com/crude-oil-futures-ease-from-highs-as-curve-flattens-but-backwardation-persists</t>
  </si>
  <si>
    <t xml:space="preserve">CME</t>
  </si>
  <si>
    <t xml:space="preserve">CME Group, Understanding Crack Spreads (method reference)</t>
  </si>
  <si>
    <t xml:space="preserve">https://www.cmegroup.com/education/whitepapers/understanding-crack-spreads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</si>
</sst>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;\(#,##0.0\);\-"/>
    <numFmt numFmtId="166" formatCode="0.0%;\(0.0%\);\-"/>
    <numFmt numFmtId="167" formatCode="\$0.00;&quot;($&quot;0.00\)"/>
    <numFmt numFmtId="168" formatCode="0.000000"/>
    <numFmt numFmtId="169" formatCode="dd\ mmm\ yyyy"/>
    <numFmt numFmtId="170" formatCode="0.0000"/>
    <numFmt numFmtId="171" formatCode="#,##0"/>
    <numFmt numFmtId="172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f aca="false">Monthly!T17/1000000</f>
        <v>875.06122</v>
      </c>
    </row>
    <row r="6" customFormat="false" ht="15" hidden="false" customHeight="false" outlineLevel="0" collapsed="false">
      <c r="A6" s="0" t="s">
        <v>6</v>
      </c>
      <c r="B6" s="4" t="n">
        <f aca="false">Scenarios!$D$21</f>
        <v>0.8</v>
      </c>
    </row>
    <row r="7" customFormat="false" ht="15" hidden="false" customHeight="false" outlineLevel="0" collapsed="false">
      <c r="A7" s="0" t="s">
        <v>7</v>
      </c>
      <c r="B7" s="4" t="n">
        <f aca="false">INDEX(Scenarios!B16:B19,MATCH(Scenarios!$D$21,Scenarios!A16:A19,0))</f>
        <v>-0.1</v>
      </c>
    </row>
    <row r="8" customFormat="false" ht="15" hidden="false" customHeight="false" outlineLevel="0" collapsed="false">
      <c r="A8" s="0" t="s">
        <v>8</v>
      </c>
      <c r="B8" s="4" t="n">
        <f aca="false">Scenarios!B8</f>
        <v>-0.3</v>
      </c>
    </row>
    <row r="9" customFormat="false" ht="15" hidden="false" customHeight="false" outlineLevel="0" collapsed="false">
      <c r="A9" s="0" t="s">
        <v>9</v>
      </c>
      <c r="B9" s="4" t="n">
        <f aca="false">INDEX(Scenarios!C16:C19,MATCH(Scenarios!$D$21,Scenarios!A16:A19,0))</f>
        <v>0.023013698630137</v>
      </c>
    </row>
    <row r="10" customFormat="false" ht="15" hidden="false" customHeight="false" outlineLevel="0" collapsed="false">
      <c r="A10" s="0" t="s">
        <v>10</v>
      </c>
      <c r="B10" s="4" t="n">
        <f aca="false">INDEX(Scenarios!D16:D19,MATCH(Scenarios!$D$21,Scenarios!A16:A19,0))</f>
        <v>-0.0495890410958904</v>
      </c>
    </row>
    <row r="11" customFormat="false" ht="15" hidden="false" customHeight="false" outlineLevel="0" collapsed="false">
      <c r="A11" s="0" t="s">
        <v>11</v>
      </c>
      <c r="B11" s="5" t="n">
        <f aca="false">Pricing!$E$5</f>
        <v>38</v>
      </c>
    </row>
    <row r="12" customFormat="false" ht="15" hidden="false" customHeight="false" outlineLevel="0" collapsed="false">
      <c r="A12" s="0" t="s">
        <v>12</v>
      </c>
      <c r="B12" s="5" t="n">
        <f aca="false">Pricing!$F$5</f>
        <v>42</v>
      </c>
    </row>
    <row r="13" customFormat="false" ht="15" hidden="false" customHeight="false" outlineLevel="0" collapsed="false">
      <c r="A13" s="0" t="s">
        <v>13</v>
      </c>
      <c r="B13" s="5" t="n">
        <f aca="false">Pricing!K16</f>
        <v>45.678259</v>
      </c>
    </row>
    <row r="14" customFormat="false" ht="15" hidden="false" customHeight="false" outlineLevel="0" collapsed="false">
      <c r="A14" s="0" t="s">
        <v>14</v>
      </c>
      <c r="B14" s="4" t="n">
        <f aca="false">Monthly!C19</f>
        <v>-0.0495890410958905</v>
      </c>
    </row>
    <row r="15" customFormat="false" ht="15" hidden="false" customHeight="false" outlineLevel="0" collapsed="false">
      <c r="A15" s="0" t="s">
        <v>15</v>
      </c>
      <c r="B15" s="4" t="n">
        <f aca="false">Monthly!C20</f>
        <v>0.023013698630137</v>
      </c>
    </row>
    <row r="16" customFormat="false" ht="15" hidden="false" customHeight="false" outlineLevel="0" collapsed="false">
      <c r="A16" s="0" t="s">
        <v>16</v>
      </c>
      <c r="B16" s="6" t="n">
        <f aca="false">MAX(MAX(Pricing!J5:J16),-MIN(Pricing!J5:J16),MAX(Pricing!V5:V16),-MIN(Pricing!V5:V16))</f>
        <v>-0</v>
      </c>
    </row>
    <row r="17" customFormat="false" ht="15" hidden="false" customHeight="false" outlineLevel="0" collapsed="false">
      <c r="A17" s="0" t="s">
        <v>17</v>
      </c>
      <c r="B17" s="6" t="n">
        <f aca="false">MAX(MAX(Pricing!O5:O16),-MIN(Pricing!O5:O16),MAX(Pricing!AA5:AA16),-MIN(Pricing!AA5:AA16))</f>
        <v>1.21796000840391E-007</v>
      </c>
    </row>
    <row r="19" customFormat="false" ht="15" hidden="false" customHeight="false" outlineLevel="0" collapsed="false">
      <c r="A19" s="7" t="s">
        <v>18</v>
      </c>
    </row>
    <row r="20" customFormat="false" ht="15" hidden="false" customHeight="false" outlineLevel="0" collapsed="false">
      <c r="A20" s="0" t="s">
        <v>19</v>
      </c>
      <c r="B20" s="8" t="n">
        <v>-1.55664146645779</v>
      </c>
    </row>
    <row r="21" customFormat="false" ht="15" hidden="false" customHeight="false" outlineLevel="0" collapsed="false">
      <c r="A21" s="0" t="s">
        <v>20</v>
      </c>
      <c r="B21" s="8" t="n">
        <v>-0.351328293291558</v>
      </c>
    </row>
    <row r="22" customFormat="false" ht="15" hidden="false" customHeight="false" outlineLevel="0" collapsed="false">
      <c r="A22" s="0" t="s">
        <v>21</v>
      </c>
      <c r="B22" s="8" t="n">
        <v>0.0154730737106775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3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1" t="s">
        <v>22</v>
      </c>
    </row>
    <row r="2" customFormat="false" ht="15" hidden="false" customHeight="false" outlineLevel="0" collapsed="false">
      <c r="A2" s="0" t="s">
        <v>23</v>
      </c>
    </row>
    <row r="4" customFormat="false" ht="15" hidden="false" customHeight="false" outlineLevel="0" collapsed="false">
      <c r="A4" s="2" t="s">
        <v>24</v>
      </c>
      <c r="B4" s="2" t="s">
        <v>25</v>
      </c>
      <c r="C4" s="2" t="s">
        <v>3</v>
      </c>
      <c r="D4" s="2" t="s">
        <v>26</v>
      </c>
      <c r="E4" s="2" t="s">
        <v>27</v>
      </c>
    </row>
    <row r="6" customFormat="false" ht="15" hidden="false" customHeight="false" outlineLevel="0" collapsed="false">
      <c r="A6" s="9" t="s">
        <v>28</v>
      </c>
      <c r="B6" s="10"/>
      <c r="C6" s="10"/>
      <c r="D6" s="10"/>
      <c r="E6" s="10"/>
    </row>
    <row r="7" customFormat="false" ht="15" hidden="false" customHeight="false" outlineLevel="0" collapsed="false">
      <c r="A7" s="0" t="s">
        <v>29</v>
      </c>
      <c r="B7" s="0" t="s">
        <v>30</v>
      </c>
      <c r="C7" s="11" t="n">
        <v>46322</v>
      </c>
      <c r="D7" s="0" t="s">
        <v>31</v>
      </c>
      <c r="E7" s="0" t="s">
        <v>32</v>
      </c>
    </row>
    <row r="8" customFormat="false" ht="15" hidden="false" customHeight="false" outlineLevel="0" collapsed="false">
      <c r="A8" s="0" t="s">
        <v>33</v>
      </c>
      <c r="B8" s="0" t="s">
        <v>34</v>
      </c>
      <c r="C8" s="12" t="n">
        <v>40</v>
      </c>
      <c r="D8" s="0" t="s">
        <v>35</v>
      </c>
      <c r="E8" s="0" t="s">
        <v>36</v>
      </c>
    </row>
    <row r="9" customFormat="false" ht="15" hidden="false" customHeight="false" outlineLevel="0" collapsed="false">
      <c r="A9" s="0" t="s">
        <v>37</v>
      </c>
      <c r="B9" s="0" t="s">
        <v>34</v>
      </c>
      <c r="C9" s="12" t="n">
        <v>26.41</v>
      </c>
      <c r="D9" s="0" t="s">
        <v>38</v>
      </c>
      <c r="E9" s="0" t="s">
        <v>39</v>
      </c>
    </row>
    <row r="10" customFormat="false" ht="15" hidden="false" customHeight="false" outlineLevel="0" collapsed="false">
      <c r="A10" s="0" t="s">
        <v>40</v>
      </c>
      <c r="B10" s="0" t="s">
        <v>41</v>
      </c>
      <c r="C10" s="12" t="n">
        <v>44.71</v>
      </c>
      <c r="D10" s="0" t="s">
        <v>38</v>
      </c>
      <c r="E10" s="0" t="s">
        <v>42</v>
      </c>
    </row>
    <row r="11" customFormat="false" ht="15" hidden="false" customHeight="false" outlineLevel="0" collapsed="false">
      <c r="A11" s="0" t="s">
        <v>43</v>
      </c>
      <c r="B11" s="0" t="s">
        <v>41</v>
      </c>
      <c r="C11" s="12" t="n">
        <v>40.56</v>
      </c>
      <c r="D11" s="0" t="s">
        <v>38</v>
      </c>
      <c r="E11" s="0" t="s">
        <v>42</v>
      </c>
    </row>
    <row r="12" customFormat="false" ht="15" hidden="false" customHeight="false" outlineLevel="0" collapsed="false">
      <c r="A12" s="0" t="s">
        <v>44</v>
      </c>
      <c r="B12" s="0" t="s">
        <v>45</v>
      </c>
      <c r="C12" s="8" t="n">
        <v>0.0388</v>
      </c>
      <c r="D12" s="0" t="s">
        <v>35</v>
      </c>
      <c r="E12" s="0" t="s">
        <v>46</v>
      </c>
    </row>
    <row r="13" customFormat="false" ht="15" hidden="false" customHeight="false" outlineLevel="0" collapsed="false">
      <c r="A13" s="0" t="s">
        <v>47</v>
      </c>
      <c r="B13" s="0" t="s">
        <v>45</v>
      </c>
      <c r="C13" s="8" t="n">
        <v>0.0725</v>
      </c>
      <c r="D13" s="0" t="s">
        <v>35</v>
      </c>
      <c r="E13" s="0" t="s">
        <v>48</v>
      </c>
    </row>
    <row r="14" customFormat="false" ht="15" hidden="false" customHeight="false" outlineLevel="0" collapsed="false">
      <c r="A14" s="0" t="s">
        <v>49</v>
      </c>
      <c r="B14" s="0" t="s">
        <v>50</v>
      </c>
      <c r="C14" s="13" t="n">
        <v>16.6408</v>
      </c>
      <c r="D14" s="0" t="s">
        <v>35</v>
      </c>
      <c r="E14" s="0" t="s">
        <v>51</v>
      </c>
    </row>
    <row r="16" customFormat="false" ht="15" hidden="false" customHeight="false" outlineLevel="0" collapsed="false">
      <c r="A16" s="9" t="s">
        <v>52</v>
      </c>
      <c r="B16" s="10"/>
      <c r="C16" s="10"/>
      <c r="D16" s="10"/>
      <c r="E16" s="10"/>
    </row>
    <row r="17" customFormat="false" ht="15" hidden="false" customHeight="false" outlineLevel="0" collapsed="false">
      <c r="A17" s="0" t="s">
        <v>53</v>
      </c>
      <c r="B17" s="0" t="s">
        <v>54</v>
      </c>
      <c r="C17" s="14" t="n">
        <v>100000</v>
      </c>
      <c r="D17" s="0" t="s">
        <v>31</v>
      </c>
      <c r="E17" s="0" t="s">
        <v>55</v>
      </c>
    </row>
    <row r="18" customFormat="false" ht="15" hidden="false" customHeight="false" outlineLevel="0" collapsed="false">
      <c r="A18" s="0" t="s">
        <v>56</v>
      </c>
      <c r="B18" s="0" t="s">
        <v>45</v>
      </c>
      <c r="C18" s="8" t="n">
        <v>0.88</v>
      </c>
      <c r="D18" s="0" t="s">
        <v>31</v>
      </c>
      <c r="E18" s="0" t="s">
        <v>57</v>
      </c>
    </row>
    <row r="19" customFormat="false" ht="15" hidden="false" customHeight="false" outlineLevel="0" collapsed="false">
      <c r="A19" s="0" t="s">
        <v>58</v>
      </c>
      <c r="B19" s="0" t="s">
        <v>45</v>
      </c>
      <c r="C19" s="8" t="n">
        <v>0.45</v>
      </c>
      <c r="D19" s="0" t="s">
        <v>31</v>
      </c>
      <c r="E19" s="0" t="s">
        <v>59</v>
      </c>
    </row>
    <row r="20" customFormat="false" ht="15" hidden="false" customHeight="false" outlineLevel="0" collapsed="false">
      <c r="A20" s="0" t="s">
        <v>60</v>
      </c>
      <c r="B20" s="0" t="s">
        <v>45</v>
      </c>
      <c r="C20" s="8" t="n">
        <v>0.35</v>
      </c>
      <c r="D20" s="0" t="s">
        <v>31</v>
      </c>
      <c r="E20" s="0" t="s">
        <v>61</v>
      </c>
    </row>
    <row r="21" customFormat="false" ht="15" hidden="false" customHeight="false" outlineLevel="0" collapsed="false">
      <c r="A21" s="0" t="s">
        <v>62</v>
      </c>
      <c r="B21" s="0" t="s">
        <v>63</v>
      </c>
      <c r="C21" s="14" t="n">
        <v>100</v>
      </c>
      <c r="D21" s="0" t="s">
        <v>31</v>
      </c>
      <c r="E21" s="0" t="s">
        <v>64</v>
      </c>
    </row>
    <row r="23" customFormat="false" ht="15" hidden="false" customHeight="false" outlineLevel="0" collapsed="false">
      <c r="A23" s="9" t="s">
        <v>65</v>
      </c>
      <c r="B23" s="10"/>
      <c r="C23" s="10"/>
      <c r="D23" s="10"/>
      <c r="E23" s="10"/>
    </row>
    <row r="24" customFormat="false" ht="15" hidden="false" customHeight="false" outlineLevel="0" collapsed="false">
      <c r="A24" s="0" t="s">
        <v>66</v>
      </c>
      <c r="B24" s="0" t="s">
        <v>45</v>
      </c>
      <c r="C24" s="8" t="n">
        <v>0.05</v>
      </c>
      <c r="D24" s="0" t="s">
        <v>31</v>
      </c>
      <c r="E24" s="0" t="s">
        <v>67</v>
      </c>
    </row>
    <row r="25" customFormat="false" ht="15" hidden="false" customHeight="false" outlineLevel="0" collapsed="false">
      <c r="A25" s="0" t="s">
        <v>68</v>
      </c>
      <c r="B25" s="0" t="s">
        <v>69</v>
      </c>
      <c r="C25" s="8" t="n">
        <v>0.025</v>
      </c>
      <c r="D25" s="0" t="s">
        <v>31</v>
      </c>
      <c r="E25" s="0" t="s">
        <v>70</v>
      </c>
    </row>
    <row r="26" customFormat="false" ht="15" hidden="false" customHeight="false" outlineLevel="0" collapsed="false">
      <c r="A26" s="0" t="s">
        <v>71</v>
      </c>
      <c r="B26" s="0" t="s">
        <v>72</v>
      </c>
      <c r="C26" s="14" t="n">
        <v>42</v>
      </c>
      <c r="D26" s="0" t="s">
        <v>31</v>
      </c>
      <c r="E26" s="0" t="s">
        <v>73</v>
      </c>
    </row>
    <row r="27" customFormat="false" ht="15" hidden="false" customHeight="false" outlineLevel="0" collapsed="false">
      <c r="A27" s="0" t="s">
        <v>74</v>
      </c>
      <c r="B27" s="0" t="s">
        <v>30</v>
      </c>
      <c r="C27" s="11" t="n">
        <v>46569</v>
      </c>
      <c r="D27" s="0" t="s">
        <v>31</v>
      </c>
      <c r="E27" s="0" t="s">
        <v>75</v>
      </c>
    </row>
    <row r="28" customFormat="false" ht="15" hidden="false" customHeight="false" outlineLevel="0" collapsed="false">
      <c r="A28" s="0" t="s">
        <v>76</v>
      </c>
      <c r="B28" s="0" t="s">
        <v>45</v>
      </c>
      <c r="C28" s="8" t="n">
        <v>0.3</v>
      </c>
      <c r="D28" s="0" t="s">
        <v>31</v>
      </c>
      <c r="E28" s="0" t="s">
        <v>77</v>
      </c>
    </row>
    <row r="30" customFormat="false" ht="15" hidden="false" customHeight="false" outlineLevel="0" collapsed="false">
      <c r="A30" s="9" t="s">
        <v>78</v>
      </c>
      <c r="B30" s="10"/>
      <c r="C30" s="10"/>
      <c r="D30" s="10"/>
      <c r="E30" s="10"/>
    </row>
    <row r="31" customFormat="false" ht="15" hidden="false" customHeight="false" outlineLevel="0" collapsed="false">
      <c r="A31" s="0" t="s">
        <v>79</v>
      </c>
      <c r="B31" s="0" t="s">
        <v>45</v>
      </c>
      <c r="C31" s="8" t="n">
        <v>0.8</v>
      </c>
      <c r="D31" s="0" t="s">
        <v>31</v>
      </c>
      <c r="E31" s="0" t="s">
        <v>80</v>
      </c>
    </row>
    <row r="32" customFormat="false" ht="15" hidden="false" customHeight="false" outlineLevel="0" collapsed="false">
      <c r="A32" s="0" t="s">
        <v>81</v>
      </c>
      <c r="B32" s="0" t="s">
        <v>45</v>
      </c>
      <c r="C32" s="8" t="n">
        <v>0.3</v>
      </c>
      <c r="D32" s="0" t="s">
        <v>31</v>
      </c>
      <c r="E32" s="0" t="s">
        <v>82</v>
      </c>
    </row>
    <row r="33" customFormat="false" ht="15" hidden="false" customHeight="false" outlineLevel="0" collapsed="false">
      <c r="A33" s="0" t="s">
        <v>83</v>
      </c>
      <c r="B33" s="0" t="s">
        <v>84</v>
      </c>
      <c r="C33" s="14" t="n">
        <v>1</v>
      </c>
      <c r="D33" s="0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7" min="1" style="0" width="13"/>
  </cols>
  <sheetData>
    <row r="1" customFormat="false" ht="17.35" hidden="false" customHeight="false" outlineLevel="0" collapsed="false">
      <c r="A1" s="1" t="s">
        <v>85</v>
      </c>
    </row>
    <row r="2" customFormat="false" ht="15" hidden="false" customHeight="false" outlineLevel="0" collapsed="false">
      <c r="A2" s="0" t="s">
        <v>86</v>
      </c>
    </row>
    <row r="4" customFormat="false" ht="15" hidden="false" customHeight="false" outlineLevel="0" collapsed="false">
      <c r="A4" s="2" t="s">
        <v>87</v>
      </c>
      <c r="B4" s="2" t="s">
        <v>88</v>
      </c>
      <c r="C4" s="2" t="s">
        <v>89</v>
      </c>
      <c r="D4" s="2" t="s">
        <v>90</v>
      </c>
      <c r="E4" s="2" t="s">
        <v>91</v>
      </c>
      <c r="F4" s="2" t="s">
        <v>92</v>
      </c>
      <c r="G4" s="2" t="s">
        <v>93</v>
      </c>
      <c r="H4" s="2" t="s">
        <v>94</v>
      </c>
      <c r="I4" s="2" t="s">
        <v>95</v>
      </c>
      <c r="J4" s="2" t="s">
        <v>96</v>
      </c>
      <c r="K4" s="2" t="s">
        <v>97</v>
      </c>
      <c r="L4" s="2" t="s">
        <v>98</v>
      </c>
      <c r="M4" s="2" t="s">
        <v>99</v>
      </c>
      <c r="N4" s="2" t="s">
        <v>100</v>
      </c>
      <c r="O4" s="2" t="s">
        <v>101</v>
      </c>
      <c r="P4" s="2" t="s">
        <v>102</v>
      </c>
      <c r="Q4" s="2" t="s">
        <v>103</v>
      </c>
      <c r="R4" s="2" t="s">
        <v>104</v>
      </c>
      <c r="S4" s="2" t="s">
        <v>105</v>
      </c>
      <c r="T4" s="2" t="s">
        <v>106</v>
      </c>
      <c r="U4" s="2" t="s">
        <v>107</v>
      </c>
      <c r="V4" s="2" t="s">
        <v>108</v>
      </c>
      <c r="W4" s="2" t="s">
        <v>109</v>
      </c>
      <c r="X4" s="2" t="s">
        <v>110</v>
      </c>
      <c r="Y4" s="2" t="s">
        <v>111</v>
      </c>
      <c r="Z4" s="2" t="s">
        <v>112</v>
      </c>
      <c r="AA4" s="2" t="s">
        <v>113</v>
      </c>
    </row>
    <row r="5" customFormat="false" ht="15" hidden="false" customHeight="false" outlineLevel="0" collapsed="false">
      <c r="A5" s="15" t="n">
        <v>1</v>
      </c>
      <c r="B5" s="16" t="n">
        <f aca="false">DATE(2027,A5+1,1)-1</f>
        <v>46418</v>
      </c>
      <c r="C5" s="17" t="n">
        <f aca="false">(B5-Inputs!$C$7)/365</f>
        <v>0.263013698630137</v>
      </c>
      <c r="D5" s="5" t="n">
        <f aca="false">Inputs!$C$8</f>
        <v>40</v>
      </c>
      <c r="E5" s="5" t="n">
        <f aca="false">D5*(1-Inputs!$C$24)</f>
        <v>38</v>
      </c>
      <c r="F5" s="18" t="n">
        <f aca="false">2*D5-E5</f>
        <v>42</v>
      </c>
      <c r="G5" s="5" t="n">
        <f aca="false">Inputs!$C$10*SQRT(C5)</f>
        <v>22.9294614337938</v>
      </c>
      <c r="H5" s="19" t="n">
        <f aca="false">EXP(-Inputs!$C$12*C5)*((E5-D5)*_xlfn.NORM.S.DIST((E5-D5)/G5,TRUE())+G5*_xlfn.NORM.S.DIST((E5-D5)/G5,FALSE()))</f>
        <v>8.09923166860333</v>
      </c>
      <c r="I5" s="19" t="n">
        <f aca="false">EXP(-Inputs!$C$12*C5)*((D5-F5)*_xlfn.NORM.S.DIST((D5-F5)/G5,TRUE())+G5*_xlfn.NORM.S.DIST((D5-F5)/G5,FALSE()))</f>
        <v>8.09923166860333</v>
      </c>
      <c r="J5" s="20" t="n">
        <f aca="false">H5-I5</f>
        <v>0</v>
      </c>
      <c r="K5" s="12" t="n">
        <v>43.30241</v>
      </c>
      <c r="L5" s="4" t="n">
        <f aca="false">Inputs!$C$10/D5</f>
        <v>1.11775</v>
      </c>
      <c r="M5" s="19" t="n">
        <f aca="false">EXP(-Inputs!$C$12*C5)*(E5*_xlfn.NORM.S.DIST(-(((LN(D5/E5)+L5^2*C5/2)/(L5*SQRT(C5)))-L5*SQRT(C5)),TRUE())-D5*_xlfn.NORM.S.DIST(-((LN(D5/E5)+L5^2*C5/2)/(L5*SQRT(C5))),TRUE()))</f>
        <v>7.75293252830264</v>
      </c>
      <c r="N5" s="19" t="n">
        <f aca="false">EXP(-Inputs!$C$12*C5)*(D5*_xlfn.NORM.S.DIST(((LN(D5/K5)+L5^2*C5/2)/(L5*SQRT(C5))),TRUE())-K5*_xlfn.NORM.S.DIST((((LN(D5/K5)+L5^2*C5/2)/(L5*SQRT(C5)))-L5*SQRT(C5)),TRUE()))</f>
        <v>7.75293243721496</v>
      </c>
      <c r="O5" s="20" t="n">
        <f aca="false">M5-N5</f>
        <v>9.10876751802903E-008</v>
      </c>
      <c r="P5" s="5" t="n">
        <f aca="false">Inputs!$C$9</f>
        <v>26.41</v>
      </c>
      <c r="Q5" s="5" t="n">
        <f aca="false">P5*(1-Inputs!$C$24)</f>
        <v>25.0895</v>
      </c>
      <c r="R5" s="18" t="n">
        <f aca="false">2*P5-Q5</f>
        <v>27.7305</v>
      </c>
      <c r="S5" s="5" t="n">
        <f aca="false">Inputs!$C$11*SQRT(C5)</f>
        <v>20.8011396948037</v>
      </c>
      <c r="T5" s="19" t="n">
        <f aca="false">EXP(-Inputs!$C$12*C5)*((Q5-P5)*_xlfn.NORM.S.DIST((Q5-P5)/S5,TRUE())+S5*_xlfn.NORM.S.DIST((Q5-P5)/S5,FALSE()))</f>
        <v>7.57719909003071</v>
      </c>
      <c r="U5" s="19" t="n">
        <f aca="false">EXP(-Inputs!$C$12*C5)*((P5-R5)*_xlfn.NORM.S.DIST((P5-R5)/S5,TRUE())+S5*_xlfn.NORM.S.DIST((P5-R5)/S5,FALSE()))</f>
        <v>7.57719909003071</v>
      </c>
      <c r="V5" s="20" t="n">
        <f aca="false">T5-U5</f>
        <v>0</v>
      </c>
      <c r="W5" s="12" t="n">
        <v>29.016269</v>
      </c>
      <c r="X5" s="4" t="n">
        <f aca="false">Inputs!$C$11/P5</f>
        <v>1.53578190079515</v>
      </c>
      <c r="Y5" s="19" t="n">
        <f aca="false">EXP(-Inputs!$C$12*C5)*(Q5*_xlfn.NORM.S.DIST(-(((LN(P5/Q5)+X5^2*C5/2)/(X5*SQRT(C5)))-X5*SQRT(C5)),TRUE())-P5*_xlfn.NORM.S.DIST(-((LN(P5/Q5)+X5^2*C5/2)/(X5*SQRT(C5))),TRUE()))</f>
        <v>7.16872035610261</v>
      </c>
      <c r="Z5" s="19" t="n">
        <f aca="false">EXP(-Inputs!$C$12*C5)*(P5*_xlfn.NORM.S.DIST(((LN(P5/W5)+X5^2*C5/2)/(X5*SQRT(C5))),TRUE())-W5*_xlfn.NORM.S.DIST((((LN(P5/W5)+X5^2*C5/2)/(X5*SQRT(C5)))-X5*SQRT(C5)),TRUE()))</f>
        <v>7.16872040273388</v>
      </c>
      <c r="AA5" s="20" t="n">
        <f aca="false">Y5-Z5</f>
        <v>-4.66312659597179E-008</v>
      </c>
    </row>
    <row r="6" customFormat="false" ht="15" hidden="false" customHeight="false" outlineLevel="0" collapsed="false">
      <c r="A6" s="15" t="n">
        <v>2</v>
      </c>
      <c r="B6" s="16" t="n">
        <f aca="false">DATE(2027,A6+1,1)-1</f>
        <v>46446</v>
      </c>
      <c r="C6" s="17" t="n">
        <f aca="false">(B6-Inputs!$C$7)/365</f>
        <v>0.33972602739726</v>
      </c>
      <c r="D6" s="5" t="n">
        <f aca="false">Inputs!$C$8</f>
        <v>40</v>
      </c>
      <c r="E6" s="5" t="n">
        <f aca="false">D6*(1-Inputs!$C$24)</f>
        <v>38</v>
      </c>
      <c r="F6" s="18" t="n">
        <f aca="false">2*D6-E6</f>
        <v>42</v>
      </c>
      <c r="G6" s="5" t="n">
        <f aca="false">Inputs!$C$10*SQRT(C6)</f>
        <v>26.0596801040091</v>
      </c>
      <c r="H6" s="19" t="n">
        <f aca="false">EXP(-Inputs!$C$12*C6)*((E6-D6)*_xlfn.NORM.S.DIST((E6-D6)/G6,TRUE())+G6*_xlfn.NORM.S.DIST((E6-D6)/G6,FALSE()))</f>
        <v>9.30346654793011</v>
      </c>
      <c r="I6" s="19" t="n">
        <f aca="false">EXP(-Inputs!$C$12*C6)*((D6-F6)*_xlfn.NORM.S.DIST((D6-F6)/G6,TRUE())+G6*_xlfn.NORM.S.DIST((D6-F6)/G6,FALSE()))</f>
        <v>9.30346654793011</v>
      </c>
      <c r="J6" s="20" t="n">
        <f aca="false">H6-I6</f>
        <v>0</v>
      </c>
      <c r="K6" s="12" t="n">
        <v>43.523565</v>
      </c>
      <c r="L6" s="4" t="n">
        <f aca="false">Inputs!$C$10/D6</f>
        <v>1.11775</v>
      </c>
      <c r="M6" s="19" t="n">
        <f aca="false">EXP(-Inputs!$C$12*C6)*(E6*_xlfn.NORM.S.DIST(-(((LN(D6/E6)+L6^2*C6/2)/(L6*SQRT(C6)))-L6*SQRT(C6)),TRUE())-D6*_xlfn.NORM.S.DIST(-((LN(D6/E6)+L6^2*C6/2)/(L6*SQRT(C6))),TRUE()))</f>
        <v>8.87200526119113</v>
      </c>
      <c r="N6" s="19" t="n">
        <f aca="false">EXP(-Inputs!$C$12*C6)*(D6*_xlfn.NORM.S.DIST(((LN(D6/K6)+L6^2*C6/2)/(L6*SQRT(C6))),TRUE())-K6*_xlfn.NORM.S.DIST((((LN(D6/K6)+L6^2*C6/2)/(L6*SQRT(C6)))-L6*SQRT(C6)),TRUE()))</f>
        <v>8.8720053183279</v>
      </c>
      <c r="O6" s="20" t="n">
        <f aca="false">M6-N6</f>
        <v>-5.71367770874076E-008</v>
      </c>
      <c r="P6" s="5" t="n">
        <f aca="false">Inputs!$C$9</f>
        <v>26.41</v>
      </c>
      <c r="Q6" s="5" t="n">
        <f aca="false">P6*(1-Inputs!$C$24)</f>
        <v>25.0895</v>
      </c>
      <c r="R6" s="18" t="n">
        <f aca="false">2*P6-Q6</f>
        <v>27.7305</v>
      </c>
      <c r="S6" s="5" t="n">
        <f aca="false">Inputs!$C$11*SQRT(C6)</f>
        <v>23.6408102218432</v>
      </c>
      <c r="T6" s="19" t="n">
        <f aca="false">EXP(-Inputs!$C$12*C6)*((Q6-P6)*_xlfn.NORM.S.DIST((Q6-P6)/S6,TRUE())+S6*_xlfn.NORM.S.DIST((Q6-P6)/S6,FALSE()))</f>
        <v>8.67072901907303</v>
      </c>
      <c r="U6" s="19" t="n">
        <f aca="false">EXP(-Inputs!$C$12*C6)*((P6-R6)*_xlfn.NORM.S.DIST((P6-R6)/S6,TRUE())+S6*_xlfn.NORM.S.DIST((P6-R6)/S6,FALSE()))</f>
        <v>8.67072901907303</v>
      </c>
      <c r="V6" s="20" t="n">
        <f aca="false">T6-U6</f>
        <v>0</v>
      </c>
      <c r="W6" s="12" t="n">
        <v>29.263264</v>
      </c>
      <c r="X6" s="4" t="n">
        <f aca="false">Inputs!$C$11/P6</f>
        <v>1.53578190079515</v>
      </c>
      <c r="Y6" s="19" t="n">
        <f aca="false">EXP(-Inputs!$C$12*C6)*(Q6*_xlfn.NORM.S.DIST(-(((LN(P6/Q6)+X6^2*C6/2)/(X6*SQRT(C6)))-X6*SQRT(C6)),TRUE())-P6*_xlfn.NORM.S.DIST(-((LN(P6/Q6)+X6^2*C6/2)/(X6*SQRT(C6))),TRUE()))</f>
        <v>8.14288965351323</v>
      </c>
      <c r="Z6" s="19" t="n">
        <f aca="false">EXP(-Inputs!$C$12*C6)*(P6*_xlfn.NORM.S.DIST(((LN(P6/W6)+X6^2*C6/2)/(X6*SQRT(C6))),TRUE())-W6*_xlfn.NORM.S.DIST((((LN(P6/W6)+X6^2*C6/2)/(X6*SQRT(C6)))-X6*SQRT(C6)),TRUE()))</f>
        <v>8.14288956334162</v>
      </c>
      <c r="AA6" s="20" t="n">
        <f aca="false">Y6-Z6</f>
        <v>9.01716070700331E-008</v>
      </c>
    </row>
    <row r="7" customFormat="false" ht="15" hidden="false" customHeight="false" outlineLevel="0" collapsed="false">
      <c r="A7" s="15" t="n">
        <v>3</v>
      </c>
      <c r="B7" s="16" t="n">
        <f aca="false">DATE(2027,A7+1,1)-1</f>
        <v>46477</v>
      </c>
      <c r="C7" s="17" t="n">
        <f aca="false">(B7-Inputs!$C$7)/365</f>
        <v>0.424657534246575</v>
      </c>
      <c r="D7" s="5" t="n">
        <f aca="false">Inputs!$C$8</f>
        <v>40</v>
      </c>
      <c r="E7" s="5" t="n">
        <f aca="false">D7*(1-Inputs!$C$24)</f>
        <v>38</v>
      </c>
      <c r="F7" s="18" t="n">
        <f aca="false">2*D7-E7</f>
        <v>42</v>
      </c>
      <c r="G7" s="5" t="n">
        <f aca="false">Inputs!$C$10*SQRT(C7)</f>
        <v>29.1356080922316</v>
      </c>
      <c r="H7" s="19" t="n">
        <f aca="false">EXP(-Inputs!$C$12*C7)*((E7-D7)*_xlfn.NORM.S.DIST((E7-D7)/G7,TRUE())+G7*_xlfn.NORM.S.DIST((E7-D7)/G7,FALSE()))</f>
        <v>10.4767480571648</v>
      </c>
      <c r="I7" s="19" t="n">
        <f aca="false">EXP(-Inputs!$C$12*C7)*((D7-F7)*_xlfn.NORM.S.DIST((D7-F7)/G7,TRUE())+G7*_xlfn.NORM.S.DIST((D7-F7)/G7,FALSE()))</f>
        <v>10.4767480571648</v>
      </c>
      <c r="J7" s="20" t="n">
        <f aca="false">H7-I7</f>
        <v>0</v>
      </c>
      <c r="K7" s="12" t="n">
        <v>43.756541</v>
      </c>
      <c r="L7" s="4" t="n">
        <f aca="false">Inputs!$C$10/D7</f>
        <v>1.11775</v>
      </c>
      <c r="M7" s="19" t="n">
        <f aca="false">EXP(-Inputs!$C$12*C7)*(E7*_xlfn.NORM.S.DIST(-(((LN(D7/E7)+L7^2*C7/2)/(L7*SQRT(C7)))-L7*SQRT(C7)),TRUE())-D7*_xlfn.NORM.S.DIST(-((LN(D7/E7)+L7^2*C7/2)/(L7*SQRT(C7))),TRUE()))</f>
        <v>9.94822598934607</v>
      </c>
      <c r="N7" s="19" t="n">
        <f aca="false">EXP(-Inputs!$C$12*C7)*(D7*_xlfn.NORM.S.DIST(((LN(D7/K7)+L7^2*C7/2)/(L7*SQRT(C7))),TRUE())-K7*_xlfn.NORM.S.DIST((((LN(D7/K7)+L7^2*C7/2)/(L7*SQRT(C7)))-L7*SQRT(C7)),TRUE()))</f>
        <v>9.94822586755007</v>
      </c>
      <c r="O7" s="20" t="n">
        <f aca="false">M7-N7</f>
        <v>1.21796000840391E-007</v>
      </c>
      <c r="P7" s="5" t="n">
        <f aca="false">Inputs!$C$9</f>
        <v>26.41</v>
      </c>
      <c r="Q7" s="5" t="n">
        <f aca="false">P7*(1-Inputs!$C$24)</f>
        <v>25.0895</v>
      </c>
      <c r="R7" s="18" t="n">
        <f aca="false">2*P7-Q7</f>
        <v>27.7305</v>
      </c>
      <c r="S7" s="5" t="n">
        <f aca="false">Inputs!$C$11*SQRT(C7)</f>
        <v>26.4312293496066</v>
      </c>
      <c r="T7" s="19" t="n">
        <f aca="false">EXP(-Inputs!$C$12*C7)*((Q7-P7)*_xlfn.NORM.S.DIST((Q7-P7)/S7,TRUE())+S7*_xlfn.NORM.S.DIST((Q7-P7)/S7,FALSE()))</f>
        <v>9.73570051908537</v>
      </c>
      <c r="U7" s="19" t="n">
        <f aca="false">EXP(-Inputs!$C$12*C7)*((P7-R7)*_xlfn.NORM.S.DIST((P7-R7)/S7,TRUE())+S7*_xlfn.NORM.S.DIST((P7-R7)/S7,FALSE()))</f>
        <v>9.73570051908537</v>
      </c>
      <c r="V7" s="20" t="n">
        <f aca="false">T7-U7</f>
        <v>0</v>
      </c>
      <c r="W7" s="12" t="n">
        <v>29.531283</v>
      </c>
      <c r="X7" s="4" t="n">
        <f aca="false">Inputs!$C$11/P7</f>
        <v>1.53578190079515</v>
      </c>
      <c r="Y7" s="19" t="n">
        <f aca="false">EXP(-Inputs!$C$12*C7)*(Q7*_xlfn.NORM.S.DIST(-(((LN(P7/Q7)+X7^2*C7/2)/(X7*SQRT(C7)))-X7*SQRT(C7)),TRUE())-P7*_xlfn.NORM.S.DIST(-((LN(P7/Q7)+X7^2*C7/2)/(X7*SQRT(C7))),TRUE()))</f>
        <v>9.06850854663851</v>
      </c>
      <c r="Z7" s="19" t="n">
        <f aca="false">EXP(-Inputs!$C$12*C7)*(P7*_xlfn.NORM.S.DIST(((LN(P7/W7)+X7^2*C7/2)/(X7*SQRT(C7))),TRUE())-W7*_xlfn.NORM.S.DIST((((LN(P7/W7)+X7^2*C7/2)/(X7*SQRT(C7)))-X7*SQRT(C7)),TRUE()))</f>
        <v>9.06850853063265</v>
      </c>
      <c r="AA7" s="20" t="n">
        <f aca="false">Y7-Z7</f>
        <v>1.60058544196318E-008</v>
      </c>
    </row>
    <row r="8" customFormat="false" ht="15" hidden="false" customHeight="false" outlineLevel="0" collapsed="false">
      <c r="A8" s="15" t="n">
        <v>4</v>
      </c>
      <c r="B8" s="16" t="n">
        <f aca="false">DATE(2027,A8+1,1)-1</f>
        <v>46507</v>
      </c>
      <c r="C8" s="17" t="n">
        <f aca="false">(B8-Inputs!$C$7)/365</f>
        <v>0.506849315068493</v>
      </c>
      <c r="D8" s="5" t="n">
        <f aca="false">Inputs!$C$8</f>
        <v>40</v>
      </c>
      <c r="E8" s="5" t="n">
        <f aca="false">D8*(1-Inputs!$C$24)</f>
        <v>38</v>
      </c>
      <c r="F8" s="18" t="n">
        <f aca="false">2*D8-E8</f>
        <v>42</v>
      </c>
      <c r="G8" s="5" t="n">
        <f aca="false">Inputs!$C$10*SQRT(C8)</f>
        <v>31.8305469936947</v>
      </c>
      <c r="H8" s="19" t="n">
        <f aca="false">EXP(-Inputs!$C$12*C8)*((E8-D8)*_xlfn.NORM.S.DIST((E8-D8)/G8,TRUE())+G8*_xlfn.NORM.S.DIST((E8-D8)/G8,FALSE()))</f>
        <v>11.4953079967399</v>
      </c>
      <c r="I8" s="19" t="n">
        <f aca="false">EXP(-Inputs!$C$12*C8)*((D8-F8)*_xlfn.NORM.S.DIST((D8-F8)/G8,TRUE())+G8*_xlfn.NORM.S.DIST((D8-F8)/G8,FALSE()))</f>
        <v>11.4953079967399</v>
      </c>
      <c r="J8" s="20" t="n">
        <f aca="false">H8-I8</f>
        <v>0</v>
      </c>
      <c r="K8" s="12" t="n">
        <v>43.974441</v>
      </c>
      <c r="L8" s="4" t="n">
        <f aca="false">Inputs!$C$10/D8</f>
        <v>1.11775</v>
      </c>
      <c r="M8" s="19" t="n">
        <f aca="false">EXP(-Inputs!$C$12*C8)*(E8*_xlfn.NORM.S.DIST(-(((LN(D8/E8)+L8^2*C8/2)/(L8*SQRT(C8)))-L8*SQRT(C8)),TRUE())-D8*_xlfn.NORM.S.DIST(-((LN(D8/E8)+L8^2*C8/2)/(L8*SQRT(C8))),TRUE()))</f>
        <v>10.8698938001319</v>
      </c>
      <c r="N8" s="19" t="n">
        <f aca="false">EXP(-Inputs!$C$12*C8)*(D8*_xlfn.NORM.S.DIST(((LN(D8/K8)+L8^2*C8/2)/(L8*SQRT(C8))),TRUE())-K8*_xlfn.NORM.S.DIST((((LN(D8/K8)+L8^2*C8/2)/(L8*SQRT(C8)))-L8*SQRT(C8)),TRUE()))</f>
        <v>10.8698938530556</v>
      </c>
      <c r="O8" s="20" t="n">
        <f aca="false">M8-N8</f>
        <v>-5.29237151880579E-008</v>
      </c>
      <c r="P8" s="5" t="n">
        <f aca="false">Inputs!$C$9</f>
        <v>26.41</v>
      </c>
      <c r="Q8" s="5" t="n">
        <f aca="false">P8*(1-Inputs!$C$24)</f>
        <v>25.0895</v>
      </c>
      <c r="R8" s="18" t="n">
        <f aca="false">2*P8-Q8</f>
        <v>27.7305</v>
      </c>
      <c r="S8" s="5" t="n">
        <f aca="false">Inputs!$C$11*SQRT(C8)</f>
        <v>28.8760229493236</v>
      </c>
      <c r="T8" s="19" t="n">
        <f aca="false">EXP(-Inputs!$C$12*C8)*((Q8-P8)*_xlfn.NORM.S.DIST((Q8-P8)/S8,TRUE())+S8*_xlfn.NORM.S.DIST((Q8-P8)/S8,FALSE()))</f>
        <v>10.6599488684535</v>
      </c>
      <c r="U8" s="19" t="n">
        <f aca="false">EXP(-Inputs!$C$12*C8)*((P8-R8)*_xlfn.NORM.S.DIST((P8-R8)/S8,TRUE())+S8*_xlfn.NORM.S.DIST((P8-R8)/S8,FALSE()))</f>
        <v>10.6599488684535</v>
      </c>
      <c r="V8" s="20" t="n">
        <f aca="false">T8-U8</f>
        <v>0</v>
      </c>
      <c r="W8" s="12" t="n">
        <v>29.789176</v>
      </c>
      <c r="X8" s="4" t="n">
        <f aca="false">Inputs!$C$11/P8</f>
        <v>1.53578190079515</v>
      </c>
      <c r="Y8" s="19" t="n">
        <f aca="false">EXP(-Inputs!$C$12*C8)*(Q8*_xlfn.NORM.S.DIST(-(((LN(P8/Q8)+X8^2*C8/2)/(X8*SQRT(C8)))-X8*SQRT(C8)),TRUE())-P8*_xlfn.NORM.S.DIST(-((LN(P8/Q8)+X8^2*C8/2)/(X8*SQRT(C8))),TRUE()))</f>
        <v>9.85134884142166</v>
      </c>
      <c r="Z8" s="19" t="n">
        <f aca="false">EXP(-Inputs!$C$12*C8)*(P8*_xlfn.NORM.S.DIST(((LN(P8/W8)+X8^2*C8/2)/(X8*SQRT(C8))),TRUE())-W8*_xlfn.NORM.S.DIST((((LN(P8/W8)+X8^2*C8/2)/(X8*SQRT(C8)))-X8*SQRT(C8)),TRUE()))</f>
        <v>9.85134889551474</v>
      </c>
      <c r="AA8" s="20" t="n">
        <f aca="false">Y8-Z8</f>
        <v>-5.40930837900078E-008</v>
      </c>
    </row>
    <row r="9" customFormat="false" ht="15" hidden="false" customHeight="false" outlineLevel="0" collapsed="false">
      <c r="A9" s="15" t="n">
        <v>5</v>
      </c>
      <c r="B9" s="16" t="n">
        <f aca="false">DATE(2027,A9+1,1)-1</f>
        <v>46538</v>
      </c>
      <c r="C9" s="17" t="n">
        <f aca="false">(B9-Inputs!$C$7)/365</f>
        <v>0.591780821917808</v>
      </c>
      <c r="D9" s="5" t="n">
        <f aca="false">Inputs!$C$8</f>
        <v>40</v>
      </c>
      <c r="E9" s="5" t="n">
        <f aca="false">D9*(1-Inputs!$C$24)</f>
        <v>38</v>
      </c>
      <c r="F9" s="18" t="n">
        <f aca="false">2*D9-E9</f>
        <v>42</v>
      </c>
      <c r="G9" s="5" t="n">
        <f aca="false">Inputs!$C$10*SQRT(C9)</f>
        <v>34.3941921506907</v>
      </c>
      <c r="H9" s="19" t="n">
        <f aca="false">EXP(-Inputs!$C$12*C9)*((E9-D9)*_xlfn.NORM.S.DIST((E9-D9)/G9,TRUE())+G9*_xlfn.NORM.S.DIST((E9-D9)/G9,FALSE()))</f>
        <v>12.4551956698747</v>
      </c>
      <c r="I9" s="19" t="n">
        <f aca="false">EXP(-Inputs!$C$12*C9)*((D9-F9)*_xlfn.NORM.S.DIST((D9-F9)/G9,TRUE())+G9*_xlfn.NORM.S.DIST((D9-F9)/G9,FALSE()))</f>
        <v>12.4551956698747</v>
      </c>
      <c r="J9" s="20" t="n">
        <f aca="false">H9-I9</f>
        <v>0</v>
      </c>
      <c r="K9" s="12" t="n">
        <v>44.194586</v>
      </c>
      <c r="L9" s="4" t="n">
        <f aca="false">Inputs!$C$10/D9</f>
        <v>1.11775</v>
      </c>
      <c r="M9" s="19" t="n">
        <f aca="false">EXP(-Inputs!$C$12*C9)*(E9*_xlfn.NORM.S.DIST(-(((LN(D9/E9)+L9^2*C9/2)/(L9*SQRT(C9)))-L9*SQRT(C9)),TRUE())-D9*_xlfn.NORM.S.DIST(-((LN(D9/E9)+L9^2*C9/2)/(L9*SQRT(C9))),TRUE()))</f>
        <v>11.7266289438958</v>
      </c>
      <c r="N9" s="19" t="n">
        <f aca="false">EXP(-Inputs!$C$12*C9)*(D9*_xlfn.NORM.S.DIST(((LN(D9/K9)+L9^2*C9/2)/(L9*SQRT(C9))),TRUE())-K9*_xlfn.NORM.S.DIST((((LN(D9/K9)+L9^2*C9/2)/(L9*SQRT(C9)))-L9*SQRT(C9)),TRUE()))</f>
        <v>11.7266289951654</v>
      </c>
      <c r="O9" s="20" t="n">
        <f aca="false">M9-N9</f>
        <v>-5.12695965682042E-008</v>
      </c>
      <c r="P9" s="5" t="n">
        <f aca="false">Inputs!$C$9</f>
        <v>26.41</v>
      </c>
      <c r="Q9" s="5" t="n">
        <f aca="false">P9*(1-Inputs!$C$24)</f>
        <v>25.0895</v>
      </c>
      <c r="R9" s="18" t="n">
        <f aca="false">2*P9-Q9</f>
        <v>27.7305</v>
      </c>
      <c r="S9" s="5" t="n">
        <f aca="false">Inputs!$C$11*SQRT(C9)</f>
        <v>31.2017095422056</v>
      </c>
      <c r="T9" s="19" t="n">
        <f aca="false">EXP(-Inputs!$C$12*C9)*((Q9-P9)*_xlfn.NORM.S.DIST((Q9-P9)/S9,TRUE())+S9*_xlfn.NORM.S.DIST((Q9-P9)/S9,FALSE()))</f>
        <v>11.5307552681716</v>
      </c>
      <c r="U9" s="19" t="n">
        <f aca="false">EXP(-Inputs!$C$12*C9)*((P9-R9)*_xlfn.NORM.S.DIST((P9-R9)/S9,TRUE())+S9*_xlfn.NORM.S.DIST((P9-R9)/S9,FALSE()))</f>
        <v>11.5307552681716</v>
      </c>
      <c r="V9" s="20" t="n">
        <f aca="false">T9-U9</f>
        <v>0</v>
      </c>
      <c r="W9" s="12" t="n">
        <v>30.05677</v>
      </c>
      <c r="X9" s="4" t="n">
        <f aca="false">Inputs!$C$11/P9</f>
        <v>1.53578190079515</v>
      </c>
      <c r="Y9" s="19" t="n">
        <f aca="false">EXP(-Inputs!$C$12*C9)*(Q9*_xlfn.NORM.S.DIST(-(((LN(P9/Q9)+X9^2*C9/2)/(X9*SQRT(C9)))-X9*SQRT(C9)),TRUE())-P9*_xlfn.NORM.S.DIST(-((LN(P9/Q9)+X9^2*C9/2)/(X9*SQRT(C9))),TRUE()))</f>
        <v>10.5699642538517</v>
      </c>
      <c r="Z9" s="19" t="n">
        <f aca="false">EXP(-Inputs!$C$12*C9)*(P9*_xlfn.NORM.S.DIST(((LN(P9/W9)+X9^2*C9/2)/(X9*SQRT(C9))),TRUE())-W9*_xlfn.NORM.S.DIST((((LN(P9/W9)+X9^2*C9/2)/(X9*SQRT(C9)))-X9*SQRT(C9)),TRUE()))</f>
        <v>10.5699643607625</v>
      </c>
      <c r="AA9" s="20" t="n">
        <f aca="false">Y9-Z9</f>
        <v>-1.06910826858098E-007</v>
      </c>
    </row>
    <row r="10" customFormat="false" ht="15" hidden="false" customHeight="false" outlineLevel="0" collapsed="false">
      <c r="A10" s="15" t="n">
        <v>6</v>
      </c>
      <c r="B10" s="16" t="n">
        <f aca="false">DATE(2027,A10+1,1)-1</f>
        <v>46568</v>
      </c>
      <c r="C10" s="17" t="n">
        <f aca="false">(B10-Inputs!$C$7)/365</f>
        <v>0.673972602739726</v>
      </c>
      <c r="D10" s="5" t="n">
        <f aca="false">Inputs!$C$8</f>
        <v>40</v>
      </c>
      <c r="E10" s="5" t="n">
        <f aca="false">D10*(1-Inputs!$C$24)</f>
        <v>38</v>
      </c>
      <c r="F10" s="18" t="n">
        <f aca="false">2*D10-E10</f>
        <v>42</v>
      </c>
      <c r="G10" s="5" t="n">
        <f aca="false">Inputs!$C$10*SQRT(C10)</f>
        <v>36.7050475645017</v>
      </c>
      <c r="H10" s="19" t="n">
        <f aca="false">EXP(-Inputs!$C$12*C10)*((E10-D10)*_xlfn.NORM.S.DIST((E10-D10)/G10,TRUE())+G10*_xlfn.NORM.S.DIST((E10-D10)/G10,FALSE()))</f>
        <v>13.3122197825529</v>
      </c>
      <c r="I10" s="19" t="n">
        <f aca="false">EXP(-Inputs!$C$12*C10)*((D10-F10)*_xlfn.NORM.S.DIST((D10-F10)/G10,TRUE())+G10*_xlfn.NORM.S.DIST((D10-F10)/G10,FALSE()))</f>
        <v>13.3122197825529</v>
      </c>
      <c r="J10" s="20" t="n">
        <f aca="false">H10-I10</f>
        <v>0</v>
      </c>
      <c r="K10" s="12" t="n">
        <v>44.404524</v>
      </c>
      <c r="L10" s="4" t="n">
        <f aca="false">Inputs!$C$10/D10</f>
        <v>1.11775</v>
      </c>
      <c r="M10" s="19" t="n">
        <f aca="false">EXP(-Inputs!$C$12*C10)*(E10*_xlfn.NORM.S.DIST(-(((LN(D10/E10)+L10^2*C10/2)/(L10*SQRT(C10)))-L10*SQRT(C10)),TRUE())-D10*_xlfn.NORM.S.DIST(-((LN(D10/E10)+L10^2*C10/2)/(L10*SQRT(C10))),TRUE()))</f>
        <v>12.4810134675007</v>
      </c>
      <c r="N10" s="19" t="n">
        <f aca="false">EXP(-Inputs!$C$12*C10)*(D10*_xlfn.NORM.S.DIST(((LN(D10/K10)+L10^2*C10/2)/(L10*SQRT(C10))),TRUE())-K10*_xlfn.NORM.S.DIST((((LN(D10/K10)+L10^2*C10/2)/(L10*SQRT(C10)))-L10*SQRT(C10)),TRUE()))</f>
        <v>12.4810134872549</v>
      </c>
      <c r="O10" s="20" t="n">
        <f aca="false">M10-N10</f>
        <v>-1.97542568969311E-008</v>
      </c>
      <c r="P10" s="5" t="n">
        <f aca="false">Inputs!$C$9</f>
        <v>26.41</v>
      </c>
      <c r="Q10" s="5" t="n">
        <f aca="false">P10*(1-Inputs!$C$24)</f>
        <v>25.0895</v>
      </c>
      <c r="R10" s="18" t="n">
        <f aca="false">2*P10-Q10</f>
        <v>27.7305</v>
      </c>
      <c r="S10" s="5" t="n">
        <f aca="false">Inputs!$C$11*SQRT(C10)</f>
        <v>33.2980704365061</v>
      </c>
      <c r="T10" s="19" t="n">
        <f aca="false">EXP(-Inputs!$C$12*C10)*((Q10-P10)*_xlfn.NORM.S.DIST((Q10-P10)/S10,TRUE())+S10*_xlfn.NORM.S.DIST((Q10-P10)/S10,FALSE()))</f>
        <v>12.3080987761506</v>
      </c>
      <c r="U10" s="19" t="n">
        <f aca="false">EXP(-Inputs!$C$12*C10)*((P10-R10)*_xlfn.NORM.S.DIST((P10-R10)/S10,TRUE())+S10*_xlfn.NORM.S.DIST((P10-R10)/S10,FALSE()))</f>
        <v>12.3080987761506</v>
      </c>
      <c r="V10" s="20" t="n">
        <f aca="false">T10-U10</f>
        <v>0</v>
      </c>
      <c r="W10" s="12" t="n">
        <v>30.318526</v>
      </c>
      <c r="X10" s="4" t="n">
        <f aca="false">Inputs!$C$11/P10</f>
        <v>1.53578190079515</v>
      </c>
      <c r="Y10" s="19" t="n">
        <f aca="false">EXP(-Inputs!$C$12*C10)*(Q10*_xlfn.NORM.S.DIST(-(((LN(P10/Q10)+X10^2*C10/2)/(X10*SQRT(C10)))-X10*SQRT(C10)),TRUE())-P10*_xlfn.NORM.S.DIST(-((LN(P10/Q10)+X10^2*C10/2)/(X10*SQRT(C10))),TRUE()))</f>
        <v>11.1947709111354</v>
      </c>
      <c r="Z10" s="19" t="n">
        <f aca="false">EXP(-Inputs!$C$12*C10)*(P10*_xlfn.NORM.S.DIST(((LN(P10/W10)+X10^2*C10/2)/(X10*SQRT(C10))),TRUE())-W10*_xlfn.NORM.S.DIST((((LN(P10/W10)+X10^2*C10/2)/(X10*SQRT(C10)))-X10*SQRT(C10)),TRUE()))</f>
        <v>11.1947708461746</v>
      </c>
      <c r="AA10" s="20" t="n">
        <f aca="false">Y10-Z10</f>
        <v>6.4960818946247E-008</v>
      </c>
    </row>
    <row r="11" customFormat="false" ht="15" hidden="false" customHeight="false" outlineLevel="0" collapsed="false">
      <c r="A11" s="15" t="n">
        <v>7</v>
      </c>
      <c r="B11" s="16" t="n">
        <f aca="false">DATE(2027,A11+1,1)-1</f>
        <v>46599</v>
      </c>
      <c r="C11" s="17" t="n">
        <f aca="false">(B11-Inputs!$C$7)/365</f>
        <v>0.758904109589041</v>
      </c>
      <c r="D11" s="5" t="n">
        <f aca="false">Inputs!$C$8</f>
        <v>40</v>
      </c>
      <c r="E11" s="5" t="n">
        <f aca="false">D11*(1-Inputs!$C$24)</f>
        <v>38</v>
      </c>
      <c r="F11" s="18" t="n">
        <f aca="false">2*D11-E11</f>
        <v>42</v>
      </c>
      <c r="G11" s="5" t="n">
        <f aca="false">Inputs!$C$10*SQRT(C11)</f>
        <v>38.9491623593262</v>
      </c>
      <c r="H11" s="19" t="n">
        <f aca="false">EXP(-Inputs!$C$12*C11)*((E11-D11)*_xlfn.NORM.S.DIST((E11-D11)/G11,TRUE())+G11*_xlfn.NORM.S.DIST((E11-D11)/G11,FALSE()))</f>
        <v>14.136503288508</v>
      </c>
      <c r="I11" s="19" t="n">
        <f aca="false">EXP(-Inputs!$C$12*C11)*((D11-F11)*_xlfn.NORM.S.DIST((D11-F11)/G11,TRUE())+G11*_xlfn.NORM.S.DIST((D11-F11)/G11,FALSE()))</f>
        <v>14.136503288508</v>
      </c>
      <c r="J11" s="20" t="n">
        <f aca="false">H11-I11</f>
        <v>0</v>
      </c>
      <c r="K11" s="12" t="n">
        <v>44.619532</v>
      </c>
      <c r="L11" s="4" t="n">
        <f aca="false">Inputs!$C$10/D11</f>
        <v>1.11775</v>
      </c>
      <c r="M11" s="19" t="n">
        <f aca="false">EXP(-Inputs!$C$12*C11)*(E11*_xlfn.NORM.S.DIST(-(((LN(D11/E11)+L11^2*C11/2)/(L11*SQRT(C11)))-L11*SQRT(C11)),TRUE())-D11*_xlfn.NORM.S.DIST(-((LN(D11/E11)+L11^2*C11/2)/(L11*SQRT(C11))),TRUE()))</f>
        <v>13.1964875335855</v>
      </c>
      <c r="N11" s="19" t="n">
        <f aca="false">EXP(-Inputs!$C$12*C11)*(D11*_xlfn.NORM.S.DIST(((LN(D11/K11)+L11^2*C11/2)/(L11*SQRT(C11))),TRUE())-K11*_xlfn.NORM.S.DIST((((LN(D11/K11)+L11^2*C11/2)/(L11*SQRT(C11)))-L11*SQRT(C11)),TRUE()))</f>
        <v>13.1964875747276</v>
      </c>
      <c r="O11" s="20" t="n">
        <f aca="false">M11-N11</f>
        <v>-4.1142103057723E-008</v>
      </c>
      <c r="P11" s="5" t="n">
        <f aca="false">Inputs!$C$9</f>
        <v>26.41</v>
      </c>
      <c r="Q11" s="5" t="n">
        <f aca="false">P11*(1-Inputs!$C$24)</f>
        <v>25.0895</v>
      </c>
      <c r="R11" s="18" t="n">
        <f aca="false">2*P11-Q11</f>
        <v>27.7305</v>
      </c>
      <c r="S11" s="5" t="n">
        <f aca="false">Inputs!$C$11*SQRT(C11)</f>
        <v>35.3338856026453</v>
      </c>
      <c r="T11" s="19" t="n">
        <f aca="false">EXP(-Inputs!$C$12*C11)*((Q11-P11)*_xlfn.NORM.S.DIST((Q11-P11)/S11,TRUE())+S11*_xlfn.NORM.S.DIST((Q11-P11)/S11,FALSE()))</f>
        <v>13.0556285556711</v>
      </c>
      <c r="U11" s="19" t="n">
        <f aca="false">EXP(-Inputs!$C$12*C11)*((P11-R11)*_xlfn.NORM.S.DIST((P11-R11)/S11,TRUE())+S11*_xlfn.NORM.S.DIST((P11-R11)/S11,FALSE()))</f>
        <v>13.0556285556711</v>
      </c>
      <c r="V11" s="20" t="n">
        <f aca="false">T11-U11</f>
        <v>0</v>
      </c>
      <c r="W11" s="12" t="n">
        <v>30.593227</v>
      </c>
      <c r="X11" s="4" t="n">
        <f aca="false">Inputs!$C$11/P11</f>
        <v>1.53578190079515</v>
      </c>
      <c r="Y11" s="19" t="n">
        <f aca="false">EXP(-Inputs!$C$12*C11)*(Q11*_xlfn.NORM.S.DIST(-(((LN(P11/Q11)+X11^2*C11/2)/(X11*SQRT(C11)))-X11*SQRT(C11)),TRUE())-P11*_xlfn.NORM.S.DIST(-((LN(P11/Q11)+X11^2*C11/2)/(X11*SQRT(C11))),TRUE()))</f>
        <v>11.7798318304267</v>
      </c>
      <c r="Z11" s="19" t="n">
        <f aca="false">EXP(-Inputs!$C$12*C11)*(P11*_xlfn.NORM.S.DIST(((LN(P11/W11)+X11^2*C11/2)/(X11*SQRT(C11))),TRUE())-W11*_xlfn.NORM.S.DIST((((LN(P11/W11)+X11^2*C11/2)/(X11*SQRT(C11)))-X11*SQRT(C11)),TRUE()))</f>
        <v>11.7798319132649</v>
      </c>
      <c r="AA11" s="20" t="n">
        <f aca="false">Y11-Z11</f>
        <v>-8.28381718775972E-008</v>
      </c>
    </row>
    <row r="12" customFormat="false" ht="15" hidden="false" customHeight="false" outlineLevel="0" collapsed="false">
      <c r="A12" s="15" t="n">
        <v>8</v>
      </c>
      <c r="B12" s="16" t="n">
        <f aca="false">DATE(2027,A12+1,1)-1</f>
        <v>46630</v>
      </c>
      <c r="C12" s="17" t="n">
        <f aca="false">(B12-Inputs!$C$7)/365</f>
        <v>0.843835616438356</v>
      </c>
      <c r="D12" s="5" t="n">
        <f aca="false">Inputs!$C$8</f>
        <v>40</v>
      </c>
      <c r="E12" s="5" t="n">
        <f aca="false">D12*(1-Inputs!$C$24)</f>
        <v>38</v>
      </c>
      <c r="F12" s="18" t="n">
        <f aca="false">2*D12-E12</f>
        <v>42</v>
      </c>
      <c r="G12" s="5" t="n">
        <f aca="false">Inputs!$C$10*SQRT(C12)</f>
        <v>41.0708409978901</v>
      </c>
      <c r="H12" s="19" t="n">
        <f aca="false">EXP(-Inputs!$C$12*C12)*((E12-D12)*_xlfn.NORM.S.DIST((E12-D12)/G12,TRUE())+G12*_xlfn.NORM.S.DIST((E12-D12)/G12,FALSE()))</f>
        <v>14.9081351652494</v>
      </c>
      <c r="I12" s="19" t="n">
        <f aca="false">EXP(-Inputs!$C$12*C12)*((D12-F12)*_xlfn.NORM.S.DIST((D12-F12)/G12,TRUE())+G12*_xlfn.NORM.S.DIST((D12-F12)/G12,FALSE()))</f>
        <v>14.9081351652494</v>
      </c>
      <c r="J12" s="20" t="n">
        <f aca="false">H12-I12</f>
        <v>0</v>
      </c>
      <c r="K12" s="12" t="n">
        <v>44.833537</v>
      </c>
      <c r="L12" s="4" t="n">
        <f aca="false">Inputs!$C$10/D12</f>
        <v>1.11775</v>
      </c>
      <c r="M12" s="19" t="n">
        <f aca="false">EXP(-Inputs!$C$12*C12)*(E12*_xlfn.NORM.S.DIST(-(((LN(D12/E12)+L12^2*C12/2)/(L12*SQRT(C12)))-L12*SQRT(C12)),TRUE())-D12*_xlfn.NORM.S.DIST(-((LN(D12/E12)+L12^2*C12/2)/(L12*SQRT(C12))),TRUE()))</f>
        <v>13.8566907601585</v>
      </c>
      <c r="N12" s="19" t="n">
        <f aca="false">EXP(-Inputs!$C$12*C12)*(D12*_xlfn.NORM.S.DIST(((LN(D12/K12)+L12^2*C12/2)/(L12*SQRT(C12))),TRUE())-K12*_xlfn.NORM.S.DIST((((LN(D12/K12)+L12^2*C12/2)/(L12*SQRT(C12)))-L12*SQRT(C12)),TRUE()))</f>
        <v>13.8566908682265</v>
      </c>
      <c r="O12" s="20" t="n">
        <f aca="false">M12-N12</f>
        <v>-1.08068013204843E-007</v>
      </c>
      <c r="P12" s="5" t="n">
        <f aca="false">Inputs!$C$9</f>
        <v>26.41</v>
      </c>
      <c r="Q12" s="5" t="n">
        <f aca="false">P12*(1-Inputs!$C$24)</f>
        <v>25.0895</v>
      </c>
      <c r="R12" s="18" t="n">
        <f aca="false">2*P12-Q12</f>
        <v>27.7305</v>
      </c>
      <c r="S12" s="5" t="n">
        <f aca="false">Inputs!$C$11*SQRT(C12)</f>
        <v>37.2586291852924</v>
      </c>
      <c r="T12" s="19" t="n">
        <f aca="false">EXP(-Inputs!$C$12*C12)*((Q12-P12)*_xlfn.NORM.S.DIST((Q12-P12)/S12,TRUE())+S12*_xlfn.NORM.S.DIST((Q12-P12)/S12,FALSE()))</f>
        <v>13.7553128952482</v>
      </c>
      <c r="U12" s="19" t="n">
        <f aca="false">EXP(-Inputs!$C$12*C12)*((P12-R12)*_xlfn.NORM.S.DIST((P12-R12)/S12,TRUE())+S12*_xlfn.NORM.S.DIST((P12-R12)/S12,FALSE()))</f>
        <v>13.7553128952482</v>
      </c>
      <c r="V12" s="20" t="n">
        <f aca="false">T12-U12</f>
        <v>0</v>
      </c>
      <c r="W12" s="12" t="n">
        <v>30.873289</v>
      </c>
      <c r="X12" s="4" t="n">
        <f aca="false">Inputs!$C$11/P12</f>
        <v>1.53578190079515</v>
      </c>
      <c r="Y12" s="19" t="n">
        <f aca="false">EXP(-Inputs!$C$12*C12)*(Q12*_xlfn.NORM.S.DIST(-(((LN(P12/Q12)+X12^2*C12/2)/(X12*SQRT(C12)))-X12*SQRT(C12)),TRUE())-P12*_xlfn.NORM.S.DIST(-((LN(P12/Q12)+X12^2*C12/2)/(X12*SQRT(C12))),TRUE()))</f>
        <v>12.3126518586624</v>
      </c>
      <c r="Z12" s="19" t="n">
        <f aca="false">EXP(-Inputs!$C$12*C12)*(P12*_xlfn.NORM.S.DIST(((LN(P12/W12)+X12^2*C12/2)/(X12*SQRT(C12))),TRUE())-W12*_xlfn.NORM.S.DIST((((LN(P12/W12)+X12^2*C12/2)/(X12*SQRT(C12)))-X12*SQRT(C12)),TRUE()))</f>
        <v>12.3126518308223</v>
      </c>
      <c r="AA12" s="20" t="n">
        <f aca="false">Y12-Z12</f>
        <v>2.78401142139728E-008</v>
      </c>
    </row>
    <row r="13" customFormat="false" ht="15" hidden="false" customHeight="false" outlineLevel="0" collapsed="false">
      <c r="A13" s="15" t="n">
        <v>9</v>
      </c>
      <c r="B13" s="16" t="n">
        <f aca="false">DATE(2027,A13+1,1)-1</f>
        <v>46660</v>
      </c>
      <c r="C13" s="17" t="n">
        <f aca="false">(B13-Inputs!$C$7)/365</f>
        <v>0.926027397260274</v>
      </c>
      <c r="D13" s="5" t="n">
        <f aca="false">Inputs!$C$8</f>
        <v>40</v>
      </c>
      <c r="E13" s="5" t="n">
        <f aca="false">D13*(1-Inputs!$C$24)</f>
        <v>38</v>
      </c>
      <c r="F13" s="18" t="n">
        <f aca="false">2*D13-E13</f>
        <v>42</v>
      </c>
      <c r="G13" s="5" t="n">
        <f aca="false">Inputs!$C$10*SQRT(C13)</f>
        <v>43.0245748763154</v>
      </c>
      <c r="H13" s="19" t="n">
        <f aca="false">EXP(-Inputs!$C$12*C13)*((E13-D13)*_xlfn.NORM.S.DIST((E13-D13)/G13,TRUE())+G13*_xlfn.NORM.S.DIST((E13-D13)/G13,FALSE()))</f>
        <v>15.611737148829</v>
      </c>
      <c r="I13" s="19" t="n">
        <f aca="false">EXP(-Inputs!$C$12*C13)*((D13-F13)*_xlfn.NORM.S.DIST((D13-F13)/G13,TRUE())+G13*_xlfn.NORM.S.DIST((D13-F13)/G13,FALSE()))</f>
        <v>15.611737148829</v>
      </c>
      <c r="J13" s="20" t="n">
        <f aca="false">H13-I13</f>
        <v>0</v>
      </c>
      <c r="K13" s="12" t="n">
        <v>45.040382</v>
      </c>
      <c r="L13" s="4" t="n">
        <f aca="false">Inputs!$C$10/D13</f>
        <v>1.11775</v>
      </c>
      <c r="M13" s="19" t="n">
        <f aca="false">EXP(-Inputs!$C$12*C13)*(E13*_xlfn.NORM.S.DIST(-(((LN(D13/E13)+L13^2*C13/2)/(L13*SQRT(C13)))-L13*SQRT(C13)),TRUE())-D13*_xlfn.NORM.S.DIST(-((LN(D13/E13)+L13^2*C13/2)/(L13*SQRT(C13))),TRUE()))</f>
        <v>14.4501310780856</v>
      </c>
      <c r="N13" s="19" t="n">
        <f aca="false">EXP(-Inputs!$C$12*C13)*(D13*_xlfn.NORM.S.DIST(((LN(D13/K13)+L13^2*C13/2)/(L13*SQRT(C13))),TRUE())-K13*_xlfn.NORM.S.DIST((((LN(D13/K13)+L13^2*C13/2)/(L13*SQRT(C13)))-L13*SQRT(C13)),TRUE()))</f>
        <v>14.4501311375863</v>
      </c>
      <c r="O13" s="20" t="n">
        <f aca="false">M13-N13</f>
        <v>-5.95007474402109E-008</v>
      </c>
      <c r="P13" s="5" t="n">
        <f aca="false">Inputs!$C$9</f>
        <v>26.41</v>
      </c>
      <c r="Q13" s="5" t="n">
        <f aca="false">P13*(1-Inputs!$C$24)</f>
        <v>25.0895</v>
      </c>
      <c r="R13" s="18" t="n">
        <f aca="false">2*P13-Q13</f>
        <v>27.7305</v>
      </c>
      <c r="S13" s="5" t="n">
        <f aca="false">Inputs!$C$11*SQRT(C13)</f>
        <v>39.0310167072993</v>
      </c>
      <c r="T13" s="19" t="n">
        <f aca="false">EXP(-Inputs!$C$12*C13)*((Q13-P13)*_xlfn.NORM.S.DIST((Q13-P13)/S13,TRUE())+S13*_xlfn.NORM.S.DIST((Q13-P13)/S13,FALSE()))</f>
        <v>14.3932336847122</v>
      </c>
      <c r="U13" s="19" t="n">
        <f aca="false">EXP(-Inputs!$C$12*C13)*((P13-R13)*_xlfn.NORM.S.DIST((P13-R13)/S13,TRUE())+S13*_xlfn.NORM.S.DIST((P13-R13)/S13,FALSE()))</f>
        <v>14.3932336847122</v>
      </c>
      <c r="V13" s="20" t="n">
        <f aca="false">T13-U13</f>
        <v>0</v>
      </c>
      <c r="W13" s="12" t="n">
        <v>31.150266</v>
      </c>
      <c r="X13" s="4" t="n">
        <f aca="false">Inputs!$C$11/P13</f>
        <v>1.53578190079515</v>
      </c>
      <c r="Y13" s="19" t="n">
        <f aca="false">EXP(-Inputs!$C$12*C13)*(Q13*_xlfn.NORM.S.DIST(-(((LN(P13/Q13)+X13^2*C13/2)/(X13*SQRT(C13)))-X13*SQRT(C13)),TRUE())-P13*_xlfn.NORM.S.DIST(-((LN(P13/Q13)+X13^2*C13/2)/(X13*SQRT(C13))),TRUE()))</f>
        <v>12.7853605631278</v>
      </c>
      <c r="Z13" s="19" t="n">
        <f aca="false">EXP(-Inputs!$C$12*C13)*(P13*_xlfn.NORM.S.DIST(((LN(P13/W13)+X13^2*C13/2)/(X13*SQRT(C13))),TRUE())-W13*_xlfn.NORM.S.DIST((((LN(P13/W13)+X13^2*C13/2)/(X13*SQRT(C13)))-X13*SQRT(C13)),TRUE()))</f>
        <v>12.7853605335928</v>
      </c>
      <c r="AA13" s="20" t="n">
        <f aca="false">Y13-Z13</f>
        <v>2.95349895651498E-008</v>
      </c>
    </row>
    <row r="14" customFormat="false" ht="15" hidden="false" customHeight="false" outlineLevel="0" collapsed="false">
      <c r="A14" s="15" t="n">
        <v>10</v>
      </c>
      <c r="B14" s="16" t="n">
        <f aca="false">DATE(2027,A14+1,1)-1</f>
        <v>46691</v>
      </c>
      <c r="C14" s="17" t="n">
        <f aca="false">(B14-Inputs!$C$7)/365</f>
        <v>1.01095890410959</v>
      </c>
      <c r="D14" s="5" t="n">
        <f aca="false">Inputs!$C$8</f>
        <v>40</v>
      </c>
      <c r="E14" s="5" t="n">
        <f aca="false">D14*(1-Inputs!$C$24)</f>
        <v>38</v>
      </c>
      <c r="F14" s="18" t="n">
        <f aca="false">2*D14-E14</f>
        <v>42</v>
      </c>
      <c r="G14" s="5" t="n">
        <f aca="false">Inputs!$C$10*SQRT(C14)</f>
        <v>44.9543187588077</v>
      </c>
      <c r="H14" s="19" t="n">
        <f aca="false">EXP(-Inputs!$C$12*C14)*((E14-D14)*_xlfn.NORM.S.DIST((E14-D14)/G14,TRUE())+G14*_xlfn.NORM.S.DIST((E14-D14)/G14,FALSE()))</f>
        <v>16.2998539852444</v>
      </c>
      <c r="I14" s="19" t="n">
        <f aca="false">EXP(-Inputs!$C$12*C14)*((D14-F14)*_xlfn.NORM.S.DIST((D14-F14)/G14,TRUE())+G14*_xlfn.NORM.S.DIST((D14-F14)/G14,FALSE()))</f>
        <v>16.2998539852444</v>
      </c>
      <c r="J14" s="20" t="n">
        <f aca="false">H14-I14</f>
        <v>0</v>
      </c>
      <c r="K14" s="12" t="n">
        <v>45.254426</v>
      </c>
      <c r="L14" s="4" t="n">
        <f aca="false">Inputs!$C$10/D14</f>
        <v>1.11775</v>
      </c>
      <c r="M14" s="19" t="n">
        <f aca="false">EXP(-Inputs!$C$12*C14)*(E14*_xlfn.NORM.S.DIST(-(((LN(D14/E14)+L14^2*C14/2)/(L14*SQRT(C14)))-L14*SQRT(C14)),TRUE())-D14*_xlfn.NORM.S.DIST(-((LN(D14/E14)+L14^2*C14/2)/(L14*SQRT(C14))),TRUE()))</f>
        <v>15.0221760565195</v>
      </c>
      <c r="N14" s="19" t="n">
        <f aca="false">EXP(-Inputs!$C$12*C14)*(D14*_xlfn.NORM.S.DIST(((LN(D14/K14)+L14^2*C14/2)/(L14*SQRT(C14))),TRUE())-K14*_xlfn.NORM.S.DIST((((LN(D14/K14)+L14^2*C14/2)/(L14*SQRT(C14)))-L14*SQRT(C14)),TRUE()))</f>
        <v>15.0221760456581</v>
      </c>
      <c r="O14" s="20" t="n">
        <f aca="false">M14-N14</f>
        <v>1.08614575111687E-008</v>
      </c>
      <c r="P14" s="5" t="n">
        <f aca="false">Inputs!$C$9</f>
        <v>26.41</v>
      </c>
      <c r="Q14" s="5" t="n">
        <f aca="false">P14*(1-Inputs!$C$24)</f>
        <v>25.0895</v>
      </c>
      <c r="R14" s="18" t="n">
        <f aca="false">2*P14-Q14</f>
        <v>27.7305</v>
      </c>
      <c r="S14" s="5" t="n">
        <f aca="false">Inputs!$C$11*SQRT(C14)</f>
        <v>40.7816409943467</v>
      </c>
      <c r="T14" s="19" t="n">
        <f aca="false">EXP(-Inputs!$C$12*C14)*((Q14-P14)*_xlfn.NORM.S.DIST((Q14-P14)/S14,TRUE())+S14*_xlfn.NORM.S.DIST((Q14-P14)/S14,FALSE()))</f>
        <v>15.017046956872</v>
      </c>
      <c r="U14" s="19" t="n">
        <f aca="false">EXP(-Inputs!$C$12*C14)*((P14-R14)*_xlfn.NORM.S.DIST((P14-R14)/S14,TRUE())+S14*_xlfn.NORM.S.DIST((P14-R14)/S14,FALSE()))</f>
        <v>15.017046956872</v>
      </c>
      <c r="V14" s="20" t="n">
        <f aca="false">T14-U14</f>
        <v>0</v>
      </c>
      <c r="W14" s="12" t="n">
        <v>31.443381</v>
      </c>
      <c r="X14" s="4" t="n">
        <f aca="false">Inputs!$C$11/P14</f>
        <v>1.53578190079515</v>
      </c>
      <c r="Y14" s="19" t="n">
        <f aca="false">EXP(-Inputs!$C$12*C14)*(Q14*_xlfn.NORM.S.DIST(-(((LN(P14/Q14)+X14^2*C14/2)/(X14*SQRT(C14)))-X14*SQRT(C14)),TRUE())-P14*_xlfn.NORM.S.DIST(-((LN(P14/Q14)+X14^2*C14/2)/(X14*SQRT(C14))),TRUE()))</f>
        <v>13.2350226223546</v>
      </c>
      <c r="Z14" s="19" t="n">
        <f aca="false">EXP(-Inputs!$C$12*C14)*(P14*_xlfn.NORM.S.DIST(((LN(P14/W14)+X14^2*C14/2)/(X14*SQRT(C14))),TRUE())-W14*_xlfn.NORM.S.DIST((((LN(P14/W14)+X14^2*C14/2)/(X14*SQRT(C14)))-X14*SQRT(C14)),TRUE()))</f>
        <v>13.2350226979517</v>
      </c>
      <c r="AA14" s="20" t="n">
        <f aca="false">Y14-Z14</f>
        <v>-7.55970663846028E-008</v>
      </c>
    </row>
    <row r="15" customFormat="false" ht="15" hidden="false" customHeight="false" outlineLevel="0" collapsed="false">
      <c r="A15" s="15" t="n">
        <v>11</v>
      </c>
      <c r="B15" s="16" t="n">
        <f aca="false">DATE(2027,A15+1,1)-1</f>
        <v>46721</v>
      </c>
      <c r="C15" s="17" t="n">
        <f aca="false">(B15-Inputs!$C$7)/365</f>
        <v>1.09315068493151</v>
      </c>
      <c r="D15" s="5" t="n">
        <f aca="false">Inputs!$C$8</f>
        <v>40</v>
      </c>
      <c r="E15" s="5" t="n">
        <f aca="false">D15*(1-Inputs!$C$24)</f>
        <v>38</v>
      </c>
      <c r="F15" s="18" t="n">
        <f aca="false">2*D15-E15</f>
        <v>42</v>
      </c>
      <c r="G15" s="5" t="n">
        <f aca="false">Inputs!$C$10*SQRT(C15)</f>
        <v>46.7460248372222</v>
      </c>
      <c r="H15" s="19" t="n">
        <f aca="false">EXP(-Inputs!$C$12*C15)*((E15-D15)*_xlfn.NORM.S.DIST((E15-D15)/G15,TRUE())+G15*_xlfn.NORM.S.DIST((E15-D15)/G15,FALSE()))</f>
        <v>16.9324082427074</v>
      </c>
      <c r="I15" s="19" t="n">
        <f aca="false">EXP(-Inputs!$C$12*C15)*((D15-F15)*_xlfn.NORM.S.DIST((D15-F15)/G15,TRUE())+G15*_xlfn.NORM.S.DIST((D15-F15)/G15,FALSE()))</f>
        <v>16.9324082427074</v>
      </c>
      <c r="J15" s="20" t="n">
        <f aca="false">H15-I15</f>
        <v>0</v>
      </c>
      <c r="K15" s="12" t="n">
        <v>45.462303</v>
      </c>
      <c r="L15" s="4" t="n">
        <f aca="false">Inputs!$C$10/D15</f>
        <v>1.11775</v>
      </c>
      <c r="M15" s="19" t="n">
        <f aca="false">EXP(-Inputs!$C$12*C15)*(E15*_xlfn.NORM.S.DIST(-(((LN(D15/E15)+L15^2*C15/2)/(L15*SQRT(C15)))-L15*SQRT(C15)),TRUE())-D15*_xlfn.NORM.S.DIST(-((LN(D15/E15)+L15^2*C15/2)/(L15*SQRT(C15))),TRUE()))</f>
        <v>15.5403895944336</v>
      </c>
      <c r="N15" s="19" t="n">
        <f aca="false">EXP(-Inputs!$C$12*C15)*(D15*_xlfn.NORM.S.DIST(((LN(D15/K15)+L15^2*C15/2)/(L15*SQRT(C15))),TRUE())-K15*_xlfn.NORM.S.DIST((((LN(D15/K15)+L15^2*C15/2)/(L15*SQRT(C15)))-L15*SQRT(C15)),TRUE()))</f>
        <v>15.5403896235683</v>
      </c>
      <c r="O15" s="20" t="n">
        <f aca="false">M15-N15</f>
        <v>-2.91346395897563E-008</v>
      </c>
      <c r="P15" s="5" t="n">
        <f aca="false">Inputs!$C$9</f>
        <v>26.41</v>
      </c>
      <c r="Q15" s="5" t="n">
        <f aca="false">P15*(1-Inputs!$C$24)</f>
        <v>25.0895</v>
      </c>
      <c r="R15" s="18" t="n">
        <f aca="false">2*P15-Q15</f>
        <v>27.7305</v>
      </c>
      <c r="S15" s="5" t="n">
        <f aca="false">Inputs!$C$11*SQRT(C15)</f>
        <v>42.4070402012465</v>
      </c>
      <c r="T15" s="19" t="n">
        <f aca="false">EXP(-Inputs!$C$12*C15)*((Q15-P15)*_xlfn.NORM.S.DIST((Q15-P15)/S15,TRUE())+S15*_xlfn.NORM.S.DIST((Q15-P15)/S15,FALSE()))</f>
        <v>15.5904324669682</v>
      </c>
      <c r="U15" s="19" t="n">
        <f aca="false">EXP(-Inputs!$C$12*C15)*((P15-R15)*_xlfn.NORM.S.DIST((P15-R15)/S15,TRUE())+S15*_xlfn.NORM.S.DIST((P15-R15)/S15,FALSE()))</f>
        <v>15.5904324669682</v>
      </c>
      <c r="V15" s="20" t="n">
        <f aca="false">T15-U15</f>
        <v>0</v>
      </c>
      <c r="W15" s="12" t="n">
        <v>31.734377</v>
      </c>
      <c r="X15" s="4" t="n">
        <f aca="false">Inputs!$C$11/P15</f>
        <v>1.53578190079515</v>
      </c>
      <c r="Y15" s="19" t="n">
        <f aca="false">EXP(-Inputs!$C$12*C15)*(Q15*_xlfn.NORM.S.DIST(-(((LN(P15/Q15)+X15^2*C15/2)/(X15*SQRT(C15)))-X15*SQRT(C15)),TRUE())-P15*_xlfn.NORM.S.DIST(-((LN(P15/Q15)+X15^2*C15/2)/(X15*SQRT(C15))),TRUE()))</f>
        <v>13.6369192324481</v>
      </c>
      <c r="Z15" s="19" t="n">
        <f aca="false">EXP(-Inputs!$C$12*C15)*(P15*_xlfn.NORM.S.DIST(((LN(P15/W15)+X15^2*C15/2)/(X15*SQRT(C15))),TRUE())-W15*_xlfn.NORM.S.DIST((((LN(P15/W15)+X15^2*C15/2)/(X15*SQRT(C15)))-X15*SQRT(C15)),TRUE()))</f>
        <v>13.6369191817304</v>
      </c>
      <c r="AA15" s="20" t="n">
        <f aca="false">Y15-Z15</f>
        <v>5.07177499997624E-008</v>
      </c>
    </row>
    <row r="16" customFormat="false" ht="15" hidden="false" customHeight="false" outlineLevel="0" collapsed="false">
      <c r="A16" s="15" t="n">
        <v>12</v>
      </c>
      <c r="B16" s="16" t="n">
        <f aca="false">DATE(2027,A16+1,1)-1</f>
        <v>46752</v>
      </c>
      <c r="C16" s="17" t="n">
        <f aca="false">(B16-Inputs!$C$7)/365</f>
        <v>1.17808219178082</v>
      </c>
      <c r="D16" s="5" t="n">
        <f aca="false">Inputs!$C$8</f>
        <v>40</v>
      </c>
      <c r="E16" s="5" t="n">
        <f aca="false">D16*(1-Inputs!$C$24)</f>
        <v>38</v>
      </c>
      <c r="F16" s="18" t="n">
        <f aca="false">2*D16-E16</f>
        <v>42</v>
      </c>
      <c r="G16" s="5" t="n">
        <f aca="false">Inputs!$C$10*SQRT(C16)</f>
        <v>48.5280080970053</v>
      </c>
      <c r="H16" s="19" t="n">
        <f aca="false">EXP(-Inputs!$C$12*C16)*((E16-D16)*_xlfn.NORM.S.DIST((E16-D16)/G16,TRUE())+G16*_xlfn.NORM.S.DIST((E16-D16)/G16,FALSE()))</f>
        <v>17.5552481135906</v>
      </c>
      <c r="I16" s="19" t="n">
        <f aca="false">EXP(-Inputs!$C$12*C16)*((D16-F16)*_xlfn.NORM.S.DIST((D16-F16)/G16,TRUE())+G16*_xlfn.NORM.S.DIST((D16-F16)/G16,FALSE()))</f>
        <v>17.5552481135906</v>
      </c>
      <c r="J16" s="20" t="n">
        <f aca="false">H16-I16</f>
        <v>0</v>
      </c>
      <c r="K16" s="12" t="n">
        <v>45.678259</v>
      </c>
      <c r="L16" s="4" t="n">
        <f aca="false">Inputs!$C$10/D16</f>
        <v>1.11775</v>
      </c>
      <c r="M16" s="19" t="n">
        <f aca="false">EXP(-Inputs!$C$12*C16)*(E16*_xlfn.NORM.S.DIST(-(((LN(D16/E16)+L16^2*C16/2)/(L16*SQRT(C16)))-L16*SQRT(C16)),TRUE())-D16*_xlfn.NORM.S.DIST(-((LN(D16/E16)+L16^2*C16/2)/(L16*SQRT(C16))),TRUE()))</f>
        <v>16.0431486293642</v>
      </c>
      <c r="N16" s="19" t="n">
        <f aca="false">EXP(-Inputs!$C$12*C16)*(D16*_xlfn.NORM.S.DIST(((LN(D16/K16)+L16^2*C16/2)/(L16*SQRT(C16))),TRUE())-K16*_xlfn.NORM.S.DIST((((LN(D16/K16)+L16^2*C16/2)/(L16*SQRT(C16)))-L16*SQRT(C16)),TRUE()))</f>
        <v>16.0431485813373</v>
      </c>
      <c r="O16" s="20" t="n">
        <f aca="false">M16-N16</f>
        <v>4.80268802505179E-008</v>
      </c>
      <c r="P16" s="5" t="n">
        <f aca="false">Inputs!$C$9</f>
        <v>26.41</v>
      </c>
      <c r="Q16" s="5" t="n">
        <f aca="false">P16*(1-Inputs!$C$24)</f>
        <v>25.0895</v>
      </c>
      <c r="R16" s="18" t="n">
        <f aca="false">2*P16-Q16</f>
        <v>27.7305</v>
      </c>
      <c r="S16" s="5" t="n">
        <f aca="false">Inputs!$C$11*SQRT(C16)</f>
        <v>44.0236190654112</v>
      </c>
      <c r="T16" s="19" t="n">
        <f aca="false">EXP(-Inputs!$C$12*C16)*((Q16-P16)*_xlfn.NORM.S.DIST((Q16-P16)/S16,TRUE())+S16*_xlfn.NORM.S.DIST((Q16-P16)/S16,FALSE()))</f>
        <v>16.1549596960611</v>
      </c>
      <c r="U16" s="19" t="n">
        <f aca="false">EXP(-Inputs!$C$12*C16)*((P16-R16)*_xlfn.NORM.S.DIST((P16-R16)/S16,TRUE())+S16*_xlfn.NORM.S.DIST((P16-R16)/S16,FALSE()))</f>
        <v>16.1549596960611</v>
      </c>
      <c r="V16" s="20" t="n">
        <f aca="false">T16-U16</f>
        <v>0</v>
      </c>
      <c r="W16" s="12" t="n">
        <v>32.043281</v>
      </c>
      <c r="X16" s="4" t="n">
        <f aca="false">Inputs!$C$11/P16</f>
        <v>1.53578190079515</v>
      </c>
      <c r="Y16" s="19" t="n">
        <f aca="false">EXP(-Inputs!$C$12*C16)*(Q16*_xlfn.NORM.S.DIST(-(((LN(P16/Q16)+X16^2*C16/2)/(X16*SQRT(C16)))-X16*SQRT(C16)),TRUE())-P16*_xlfn.NORM.S.DIST(-((LN(P16/Q16)+X16^2*C16/2)/(X16*SQRT(C16))),TRUE()))</f>
        <v>14.0215341254395</v>
      </c>
      <c r="Z16" s="19" t="n">
        <f aca="false">EXP(-Inputs!$C$12*C16)*(P16*_xlfn.NORM.S.DIST(((LN(P16/W16)+X16^2*C16/2)/(X16*SQRT(C16))),TRUE())-W16*_xlfn.NORM.S.DIST((((LN(P16/W16)+X16^2*C16/2)/(X16*SQRT(C16)))-X16*SQRT(C16)),TRUE()))</f>
        <v>14.0215341185325</v>
      </c>
      <c r="AA16" s="20" t="n">
        <f aca="false">Y16-Z16</f>
        <v>6.90696921878953E-009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1" min="1" style="0" width="14"/>
  </cols>
  <sheetData>
    <row r="1" customFormat="false" ht="17.35" hidden="false" customHeight="false" outlineLevel="0" collapsed="false">
      <c r="A1" s="1" t="s">
        <v>114</v>
      </c>
    </row>
    <row r="2" customFormat="false" ht="15" hidden="false" customHeight="false" outlineLevel="0" collapsed="false">
      <c r="A2" s="0" t="s">
        <v>115</v>
      </c>
    </row>
    <row r="4" customFormat="false" ht="15" hidden="false" customHeight="false" outlineLevel="0" collapsed="false">
      <c r="A4" s="2" t="s">
        <v>87</v>
      </c>
      <c r="B4" s="2" t="s">
        <v>116</v>
      </c>
      <c r="C4" s="2" t="s">
        <v>117</v>
      </c>
      <c r="D4" s="2" t="s">
        <v>118</v>
      </c>
      <c r="E4" s="2" t="s">
        <v>119</v>
      </c>
      <c r="F4" s="2" t="s">
        <v>120</v>
      </c>
      <c r="G4" s="2" t="s">
        <v>121</v>
      </c>
      <c r="H4" s="2" t="s">
        <v>122</v>
      </c>
      <c r="I4" s="2" t="s">
        <v>123</v>
      </c>
      <c r="J4" s="2" t="s">
        <v>124</v>
      </c>
      <c r="K4" s="2" t="s">
        <v>125</v>
      </c>
      <c r="L4" s="2" t="s">
        <v>126</v>
      </c>
      <c r="M4" s="2" t="s">
        <v>127</v>
      </c>
      <c r="N4" s="2" t="s">
        <v>128</v>
      </c>
      <c r="O4" s="2" t="s">
        <v>129</v>
      </c>
      <c r="P4" s="2" t="s">
        <v>130</v>
      </c>
      <c r="Q4" s="2" t="s">
        <v>131</v>
      </c>
      <c r="R4" s="2" t="s">
        <v>132</v>
      </c>
      <c r="S4" s="2" t="s">
        <v>133</v>
      </c>
      <c r="T4" s="2" t="s">
        <v>134</v>
      </c>
      <c r="U4" s="2" t="s">
        <v>135</v>
      </c>
    </row>
    <row r="5" customFormat="false" ht="15" hidden="false" customHeight="false" outlineLevel="0" collapsed="false">
      <c r="A5" s="21" t="n">
        <f aca="false">Pricing!A5</f>
        <v>1</v>
      </c>
      <c r="B5" s="22" t="n">
        <f aca="false">DAY(Pricing!B5)</f>
        <v>31</v>
      </c>
      <c r="C5" s="22" t="n">
        <f aca="false">Inputs!$C$33*MAX(0,MIN(Pricing!B5,(Inputs!$C$27+Inputs!$C$26-1))-MAX(DATE(2027,A5,1),Inputs!$C$27)+1)</f>
        <v>0</v>
      </c>
      <c r="D5" s="22" t="n">
        <f aca="false">Inputs!$C$17*Inputs!$C$18*Inputs!$C$19*B5</f>
        <v>1227600</v>
      </c>
      <c r="E5" s="22" t="n">
        <f aca="false">Inputs!$C$17*Inputs!$C$18*Inputs!$C$19*(B5-C5)</f>
        <v>1227600</v>
      </c>
      <c r="F5" s="22" t="n">
        <f aca="false">Inputs!$C$31*D5</f>
        <v>982080</v>
      </c>
      <c r="G5" s="5" t="n">
        <f aca="false">Inputs!$C$8*(1+Inputs!$C$32)</f>
        <v>52</v>
      </c>
      <c r="H5" s="5" t="n">
        <f aca="false">MAX(Pricing!$E$5-G5,0)-MAX(G5-Pricing!$F$5,0)</f>
        <v>-10</v>
      </c>
      <c r="I5" s="23" t="n">
        <f aca="false">E5*G5</f>
        <v>63835200</v>
      </c>
      <c r="J5" s="23" t="n">
        <f aca="false">F5*H5</f>
        <v>-9820800</v>
      </c>
      <c r="K5" s="22" t="n">
        <f aca="false">Inputs!$C$31*Inputs!$C$17*Inputs!$C$18*Inputs!$C$19*C5*MIN(H5,0)</f>
        <v>-0</v>
      </c>
      <c r="L5" s="22" t="n">
        <f aca="false">Inputs!$C$17*Inputs!$C$18*Inputs!$C$20*B5</f>
        <v>954800</v>
      </c>
      <c r="M5" s="22" t="n">
        <f aca="false">Inputs!$C$17*Inputs!$C$18*Inputs!$C$20*(B5-C5)</f>
        <v>954800</v>
      </c>
      <c r="N5" s="22" t="n">
        <f aca="false">Inputs!$C$31*L5</f>
        <v>763840</v>
      </c>
      <c r="O5" s="5" t="n">
        <f aca="false">Inputs!$C$9*(1+Inputs!$C$32)</f>
        <v>34.333</v>
      </c>
      <c r="P5" s="5" t="n">
        <f aca="false">MAX(Pricing!$Q$5-O5,0)-MAX(O5-Pricing!$R$5,0)</f>
        <v>-6.6025</v>
      </c>
      <c r="Q5" s="23" t="n">
        <f aca="false">M5*O5</f>
        <v>32781148.4</v>
      </c>
      <c r="R5" s="23" t="n">
        <f aca="false">N5*P5</f>
        <v>-5043253.6</v>
      </c>
      <c r="S5" s="22" t="n">
        <f aca="false">Inputs!$C$31*Inputs!$C$17*Inputs!$C$18*Inputs!$C$20*C5*MIN(P5,0)</f>
        <v>-0</v>
      </c>
      <c r="T5" s="22" t="n">
        <f aca="false">D5*Inputs!$C$8+L5*Inputs!$C$9</f>
        <v>74320268</v>
      </c>
      <c r="U5" s="23" t="n">
        <f aca="false">I5+J5+Q5+R5</f>
        <v>81752294.8</v>
      </c>
    </row>
    <row r="6" customFormat="false" ht="15" hidden="false" customHeight="false" outlineLevel="0" collapsed="false">
      <c r="A6" s="21" t="n">
        <f aca="false">Pricing!A6</f>
        <v>2</v>
      </c>
      <c r="B6" s="22" t="n">
        <f aca="false">DAY(Pricing!B6)</f>
        <v>28</v>
      </c>
      <c r="C6" s="22" t="n">
        <f aca="false">Inputs!$C$33*MAX(0,MIN(Pricing!B6,(Inputs!$C$27+Inputs!$C$26-1))-MAX(DATE(2027,A6,1),Inputs!$C$27)+1)</f>
        <v>0</v>
      </c>
      <c r="D6" s="22" t="n">
        <f aca="false">Inputs!$C$17*Inputs!$C$18*Inputs!$C$19*B6</f>
        <v>1108800</v>
      </c>
      <c r="E6" s="22" t="n">
        <f aca="false">Inputs!$C$17*Inputs!$C$18*Inputs!$C$19*(B6-C6)</f>
        <v>1108800</v>
      </c>
      <c r="F6" s="22" t="n">
        <f aca="false">Inputs!$C$31*D6</f>
        <v>887040</v>
      </c>
      <c r="G6" s="5" t="n">
        <f aca="false">Inputs!$C$8*(1+Inputs!$C$32)</f>
        <v>52</v>
      </c>
      <c r="H6" s="5" t="n">
        <f aca="false">MAX(Pricing!$E$5-G6,0)-MAX(G6-Pricing!$F$5,0)</f>
        <v>-10</v>
      </c>
      <c r="I6" s="23" t="n">
        <f aca="false">E6*G6</f>
        <v>57657600</v>
      </c>
      <c r="J6" s="23" t="n">
        <f aca="false">F6*H6</f>
        <v>-8870400</v>
      </c>
      <c r="K6" s="22" t="n">
        <f aca="false">Inputs!$C$31*Inputs!$C$17*Inputs!$C$18*Inputs!$C$19*C6*MIN(H6,0)</f>
        <v>-0</v>
      </c>
      <c r="L6" s="22" t="n">
        <f aca="false">Inputs!$C$17*Inputs!$C$18*Inputs!$C$20*B6</f>
        <v>862400</v>
      </c>
      <c r="M6" s="22" t="n">
        <f aca="false">Inputs!$C$17*Inputs!$C$18*Inputs!$C$20*(B6-C6)</f>
        <v>862400</v>
      </c>
      <c r="N6" s="22" t="n">
        <f aca="false">Inputs!$C$31*L6</f>
        <v>689920</v>
      </c>
      <c r="O6" s="5" t="n">
        <f aca="false">Inputs!$C$9*(1+Inputs!$C$32)</f>
        <v>34.333</v>
      </c>
      <c r="P6" s="5" t="n">
        <f aca="false">MAX(Pricing!$Q$5-O6,0)-MAX(O6-Pricing!$R$5,0)</f>
        <v>-6.6025</v>
      </c>
      <c r="Q6" s="23" t="n">
        <f aca="false">M6*O6</f>
        <v>29608779.2</v>
      </c>
      <c r="R6" s="23" t="n">
        <f aca="false">N6*P6</f>
        <v>-4555196.8</v>
      </c>
      <c r="S6" s="22" t="n">
        <f aca="false">Inputs!$C$31*Inputs!$C$17*Inputs!$C$18*Inputs!$C$20*C6*MIN(P6,0)</f>
        <v>-0</v>
      </c>
      <c r="T6" s="22" t="n">
        <f aca="false">D6*Inputs!$C$8+L6*Inputs!$C$9</f>
        <v>67127984</v>
      </c>
      <c r="U6" s="23" t="n">
        <f aca="false">I6+J6+Q6+R6</f>
        <v>73840782.4</v>
      </c>
    </row>
    <row r="7" customFormat="false" ht="15" hidden="false" customHeight="false" outlineLevel="0" collapsed="false">
      <c r="A7" s="21" t="n">
        <f aca="false">Pricing!A7</f>
        <v>3</v>
      </c>
      <c r="B7" s="22" t="n">
        <f aca="false">DAY(Pricing!B7)</f>
        <v>31</v>
      </c>
      <c r="C7" s="22" t="n">
        <f aca="false">Inputs!$C$33*MAX(0,MIN(Pricing!B7,(Inputs!$C$27+Inputs!$C$26-1))-MAX(DATE(2027,A7,1),Inputs!$C$27)+1)</f>
        <v>0</v>
      </c>
      <c r="D7" s="22" t="n">
        <f aca="false">Inputs!$C$17*Inputs!$C$18*Inputs!$C$19*B7</f>
        <v>1227600</v>
      </c>
      <c r="E7" s="22" t="n">
        <f aca="false">Inputs!$C$17*Inputs!$C$18*Inputs!$C$19*(B7-C7)</f>
        <v>1227600</v>
      </c>
      <c r="F7" s="22" t="n">
        <f aca="false">Inputs!$C$31*D7</f>
        <v>982080</v>
      </c>
      <c r="G7" s="5" t="n">
        <f aca="false">Inputs!$C$8*(1+Inputs!$C$32)</f>
        <v>52</v>
      </c>
      <c r="H7" s="5" t="n">
        <f aca="false">MAX(Pricing!$E$5-G7,0)-MAX(G7-Pricing!$F$5,0)</f>
        <v>-10</v>
      </c>
      <c r="I7" s="23" t="n">
        <f aca="false">E7*G7</f>
        <v>63835200</v>
      </c>
      <c r="J7" s="23" t="n">
        <f aca="false">F7*H7</f>
        <v>-9820800</v>
      </c>
      <c r="K7" s="22" t="n">
        <f aca="false">Inputs!$C$31*Inputs!$C$17*Inputs!$C$18*Inputs!$C$19*C7*MIN(H7,0)</f>
        <v>-0</v>
      </c>
      <c r="L7" s="22" t="n">
        <f aca="false">Inputs!$C$17*Inputs!$C$18*Inputs!$C$20*B7</f>
        <v>954800</v>
      </c>
      <c r="M7" s="22" t="n">
        <f aca="false">Inputs!$C$17*Inputs!$C$18*Inputs!$C$20*(B7-C7)</f>
        <v>954800</v>
      </c>
      <c r="N7" s="22" t="n">
        <f aca="false">Inputs!$C$31*L7</f>
        <v>763840</v>
      </c>
      <c r="O7" s="5" t="n">
        <f aca="false">Inputs!$C$9*(1+Inputs!$C$32)</f>
        <v>34.333</v>
      </c>
      <c r="P7" s="5" t="n">
        <f aca="false">MAX(Pricing!$Q$5-O7,0)-MAX(O7-Pricing!$R$5,0)</f>
        <v>-6.6025</v>
      </c>
      <c r="Q7" s="23" t="n">
        <f aca="false">M7*O7</f>
        <v>32781148.4</v>
      </c>
      <c r="R7" s="23" t="n">
        <f aca="false">N7*P7</f>
        <v>-5043253.6</v>
      </c>
      <c r="S7" s="22" t="n">
        <f aca="false">Inputs!$C$31*Inputs!$C$17*Inputs!$C$18*Inputs!$C$20*C7*MIN(P7,0)</f>
        <v>-0</v>
      </c>
      <c r="T7" s="22" t="n">
        <f aca="false">D7*Inputs!$C$8+L7*Inputs!$C$9</f>
        <v>74320268</v>
      </c>
      <c r="U7" s="23" t="n">
        <f aca="false">I7+J7+Q7+R7</f>
        <v>81752294.8</v>
      </c>
    </row>
    <row r="8" customFormat="false" ht="15" hidden="false" customHeight="false" outlineLevel="0" collapsed="false">
      <c r="A8" s="21" t="n">
        <f aca="false">Pricing!A8</f>
        <v>4</v>
      </c>
      <c r="B8" s="22" t="n">
        <f aca="false">DAY(Pricing!B8)</f>
        <v>30</v>
      </c>
      <c r="C8" s="22" t="n">
        <f aca="false">Inputs!$C$33*MAX(0,MIN(Pricing!B8,(Inputs!$C$27+Inputs!$C$26-1))-MAX(DATE(2027,A8,1),Inputs!$C$27)+1)</f>
        <v>0</v>
      </c>
      <c r="D8" s="22" t="n">
        <f aca="false">Inputs!$C$17*Inputs!$C$18*Inputs!$C$19*B8</f>
        <v>1188000</v>
      </c>
      <c r="E8" s="22" t="n">
        <f aca="false">Inputs!$C$17*Inputs!$C$18*Inputs!$C$19*(B8-C8)</f>
        <v>1188000</v>
      </c>
      <c r="F8" s="22" t="n">
        <f aca="false">Inputs!$C$31*D8</f>
        <v>950400</v>
      </c>
      <c r="G8" s="5" t="n">
        <f aca="false">Inputs!$C$8*(1+Inputs!$C$32)</f>
        <v>52</v>
      </c>
      <c r="H8" s="5" t="n">
        <f aca="false">MAX(Pricing!$E$5-G8,0)-MAX(G8-Pricing!$F$5,0)</f>
        <v>-10</v>
      </c>
      <c r="I8" s="23" t="n">
        <f aca="false">E8*G8</f>
        <v>61776000</v>
      </c>
      <c r="J8" s="23" t="n">
        <f aca="false">F8*H8</f>
        <v>-9504000</v>
      </c>
      <c r="K8" s="22" t="n">
        <f aca="false">Inputs!$C$31*Inputs!$C$17*Inputs!$C$18*Inputs!$C$19*C8*MIN(H8,0)</f>
        <v>-0</v>
      </c>
      <c r="L8" s="22" t="n">
        <f aca="false">Inputs!$C$17*Inputs!$C$18*Inputs!$C$20*B8</f>
        <v>924000</v>
      </c>
      <c r="M8" s="22" t="n">
        <f aca="false">Inputs!$C$17*Inputs!$C$18*Inputs!$C$20*(B8-C8)</f>
        <v>924000</v>
      </c>
      <c r="N8" s="22" t="n">
        <f aca="false">Inputs!$C$31*L8</f>
        <v>739200</v>
      </c>
      <c r="O8" s="5" t="n">
        <f aca="false">Inputs!$C$9*(1+Inputs!$C$32)</f>
        <v>34.333</v>
      </c>
      <c r="P8" s="5" t="n">
        <f aca="false">MAX(Pricing!$Q$5-O8,0)-MAX(O8-Pricing!$R$5,0)</f>
        <v>-6.6025</v>
      </c>
      <c r="Q8" s="23" t="n">
        <f aca="false">M8*O8</f>
        <v>31723692</v>
      </c>
      <c r="R8" s="23" t="n">
        <f aca="false">N8*P8</f>
        <v>-4880568</v>
      </c>
      <c r="S8" s="22" t="n">
        <f aca="false">Inputs!$C$31*Inputs!$C$17*Inputs!$C$18*Inputs!$C$20*C8*MIN(P8,0)</f>
        <v>-0</v>
      </c>
      <c r="T8" s="22" t="n">
        <f aca="false">D8*Inputs!$C$8+L8*Inputs!$C$9</f>
        <v>71922840</v>
      </c>
      <c r="U8" s="23" t="n">
        <f aca="false">I8+J8+Q8+R8</f>
        <v>79115124</v>
      </c>
    </row>
    <row r="9" customFormat="false" ht="15" hidden="false" customHeight="false" outlineLevel="0" collapsed="false">
      <c r="A9" s="21" t="n">
        <f aca="false">Pricing!A9</f>
        <v>5</v>
      </c>
      <c r="B9" s="22" t="n">
        <f aca="false">DAY(Pricing!B9)</f>
        <v>31</v>
      </c>
      <c r="C9" s="22" t="n">
        <f aca="false">Inputs!$C$33*MAX(0,MIN(Pricing!B9,(Inputs!$C$27+Inputs!$C$26-1))-MAX(DATE(2027,A9,1),Inputs!$C$27)+1)</f>
        <v>0</v>
      </c>
      <c r="D9" s="22" t="n">
        <f aca="false">Inputs!$C$17*Inputs!$C$18*Inputs!$C$19*B9</f>
        <v>1227600</v>
      </c>
      <c r="E9" s="22" t="n">
        <f aca="false">Inputs!$C$17*Inputs!$C$18*Inputs!$C$19*(B9-C9)</f>
        <v>1227600</v>
      </c>
      <c r="F9" s="22" t="n">
        <f aca="false">Inputs!$C$31*D9</f>
        <v>982080</v>
      </c>
      <c r="G9" s="5" t="n">
        <f aca="false">Inputs!$C$8*(1+Inputs!$C$32)</f>
        <v>52</v>
      </c>
      <c r="H9" s="5" t="n">
        <f aca="false">MAX(Pricing!$E$5-G9,0)-MAX(G9-Pricing!$F$5,0)</f>
        <v>-10</v>
      </c>
      <c r="I9" s="23" t="n">
        <f aca="false">E9*G9</f>
        <v>63835200</v>
      </c>
      <c r="J9" s="23" t="n">
        <f aca="false">F9*H9</f>
        <v>-9820800</v>
      </c>
      <c r="K9" s="22" t="n">
        <f aca="false">Inputs!$C$31*Inputs!$C$17*Inputs!$C$18*Inputs!$C$19*C9*MIN(H9,0)</f>
        <v>-0</v>
      </c>
      <c r="L9" s="22" t="n">
        <f aca="false">Inputs!$C$17*Inputs!$C$18*Inputs!$C$20*B9</f>
        <v>954800</v>
      </c>
      <c r="M9" s="22" t="n">
        <f aca="false">Inputs!$C$17*Inputs!$C$18*Inputs!$C$20*(B9-C9)</f>
        <v>954800</v>
      </c>
      <c r="N9" s="22" t="n">
        <f aca="false">Inputs!$C$31*L9</f>
        <v>763840</v>
      </c>
      <c r="O9" s="5" t="n">
        <f aca="false">Inputs!$C$9*(1+Inputs!$C$32)</f>
        <v>34.333</v>
      </c>
      <c r="P9" s="5" t="n">
        <f aca="false">MAX(Pricing!$Q$5-O9,0)-MAX(O9-Pricing!$R$5,0)</f>
        <v>-6.6025</v>
      </c>
      <c r="Q9" s="23" t="n">
        <f aca="false">M9*O9</f>
        <v>32781148.4</v>
      </c>
      <c r="R9" s="23" t="n">
        <f aca="false">N9*P9</f>
        <v>-5043253.6</v>
      </c>
      <c r="S9" s="22" t="n">
        <f aca="false">Inputs!$C$31*Inputs!$C$17*Inputs!$C$18*Inputs!$C$20*C9*MIN(P9,0)</f>
        <v>-0</v>
      </c>
      <c r="T9" s="22" t="n">
        <f aca="false">D9*Inputs!$C$8+L9*Inputs!$C$9</f>
        <v>74320268</v>
      </c>
      <c r="U9" s="23" t="n">
        <f aca="false">I9+J9+Q9+R9</f>
        <v>81752294.8</v>
      </c>
    </row>
    <row r="10" customFormat="false" ht="15" hidden="false" customHeight="false" outlineLevel="0" collapsed="false">
      <c r="A10" s="21" t="n">
        <f aca="false">Pricing!A10</f>
        <v>6</v>
      </c>
      <c r="B10" s="22" t="n">
        <f aca="false">DAY(Pricing!B10)</f>
        <v>30</v>
      </c>
      <c r="C10" s="22" t="n">
        <f aca="false">Inputs!$C$33*MAX(0,MIN(Pricing!B10,(Inputs!$C$27+Inputs!$C$26-1))-MAX(DATE(2027,A10,1),Inputs!$C$27)+1)</f>
        <v>0</v>
      </c>
      <c r="D10" s="22" t="n">
        <f aca="false">Inputs!$C$17*Inputs!$C$18*Inputs!$C$19*B10</f>
        <v>1188000</v>
      </c>
      <c r="E10" s="22" t="n">
        <f aca="false">Inputs!$C$17*Inputs!$C$18*Inputs!$C$19*(B10-C10)</f>
        <v>1188000</v>
      </c>
      <c r="F10" s="22" t="n">
        <f aca="false">Inputs!$C$31*D10</f>
        <v>950400</v>
      </c>
      <c r="G10" s="5" t="n">
        <f aca="false">Inputs!$C$8*(1+Inputs!$C$32)</f>
        <v>52</v>
      </c>
      <c r="H10" s="5" t="n">
        <f aca="false">MAX(Pricing!$E$5-G10,0)-MAX(G10-Pricing!$F$5,0)</f>
        <v>-10</v>
      </c>
      <c r="I10" s="23" t="n">
        <f aca="false">E10*G10</f>
        <v>61776000</v>
      </c>
      <c r="J10" s="23" t="n">
        <f aca="false">F10*H10</f>
        <v>-9504000</v>
      </c>
      <c r="K10" s="22" t="n">
        <f aca="false">Inputs!$C$31*Inputs!$C$17*Inputs!$C$18*Inputs!$C$19*C10*MIN(H10,0)</f>
        <v>-0</v>
      </c>
      <c r="L10" s="22" t="n">
        <f aca="false">Inputs!$C$17*Inputs!$C$18*Inputs!$C$20*B10</f>
        <v>924000</v>
      </c>
      <c r="M10" s="22" t="n">
        <f aca="false">Inputs!$C$17*Inputs!$C$18*Inputs!$C$20*(B10-C10)</f>
        <v>924000</v>
      </c>
      <c r="N10" s="22" t="n">
        <f aca="false">Inputs!$C$31*L10</f>
        <v>739200</v>
      </c>
      <c r="O10" s="5" t="n">
        <f aca="false">Inputs!$C$9*(1+Inputs!$C$32)</f>
        <v>34.333</v>
      </c>
      <c r="P10" s="5" t="n">
        <f aca="false">MAX(Pricing!$Q$5-O10,0)-MAX(O10-Pricing!$R$5,0)</f>
        <v>-6.6025</v>
      </c>
      <c r="Q10" s="23" t="n">
        <f aca="false">M10*O10</f>
        <v>31723692</v>
      </c>
      <c r="R10" s="23" t="n">
        <f aca="false">N10*P10</f>
        <v>-4880568</v>
      </c>
      <c r="S10" s="22" t="n">
        <f aca="false">Inputs!$C$31*Inputs!$C$17*Inputs!$C$18*Inputs!$C$20*C10*MIN(P10,0)</f>
        <v>-0</v>
      </c>
      <c r="T10" s="22" t="n">
        <f aca="false">D10*Inputs!$C$8+L10*Inputs!$C$9</f>
        <v>71922840</v>
      </c>
      <c r="U10" s="23" t="n">
        <f aca="false">I10+J10+Q10+R10</f>
        <v>79115124</v>
      </c>
    </row>
    <row r="11" customFormat="false" ht="15" hidden="false" customHeight="false" outlineLevel="0" collapsed="false">
      <c r="A11" s="21" t="n">
        <f aca="false">Pricing!A11</f>
        <v>7</v>
      </c>
      <c r="B11" s="22" t="n">
        <f aca="false">DAY(Pricing!B11)</f>
        <v>31</v>
      </c>
      <c r="C11" s="22" t="n">
        <f aca="false">Inputs!$C$33*MAX(0,MIN(Pricing!B11,(Inputs!$C$27+Inputs!$C$26-1))-MAX(DATE(2027,A11,1),Inputs!$C$27)+1)</f>
        <v>31</v>
      </c>
      <c r="D11" s="22" t="n">
        <f aca="false">Inputs!$C$17*Inputs!$C$18*Inputs!$C$19*B11</f>
        <v>1227600</v>
      </c>
      <c r="E11" s="22" t="n">
        <f aca="false">Inputs!$C$17*Inputs!$C$18*Inputs!$C$19*(B11-C11)</f>
        <v>0</v>
      </c>
      <c r="F11" s="22" t="n">
        <f aca="false">Inputs!$C$31*D11</f>
        <v>982080</v>
      </c>
      <c r="G11" s="5" t="n">
        <f aca="false">Inputs!$C$8*(1+Inputs!$C$32)</f>
        <v>52</v>
      </c>
      <c r="H11" s="5" t="n">
        <f aca="false">MAX(Pricing!$E$5-G11,0)-MAX(G11-Pricing!$F$5,0)</f>
        <v>-10</v>
      </c>
      <c r="I11" s="23" t="n">
        <f aca="false">E11*G11</f>
        <v>0</v>
      </c>
      <c r="J11" s="23" t="n">
        <f aca="false">F11*H11</f>
        <v>-9820800</v>
      </c>
      <c r="K11" s="22" t="n">
        <f aca="false">Inputs!$C$31*Inputs!$C$17*Inputs!$C$18*Inputs!$C$19*C11*MIN(H11,0)</f>
        <v>-9820800</v>
      </c>
      <c r="L11" s="22" t="n">
        <f aca="false">Inputs!$C$17*Inputs!$C$18*Inputs!$C$20*B11</f>
        <v>954800</v>
      </c>
      <c r="M11" s="22" t="n">
        <f aca="false">Inputs!$C$17*Inputs!$C$18*Inputs!$C$20*(B11-C11)</f>
        <v>0</v>
      </c>
      <c r="N11" s="22" t="n">
        <f aca="false">Inputs!$C$31*L11</f>
        <v>763840</v>
      </c>
      <c r="O11" s="5" t="n">
        <f aca="false">Inputs!$C$9*(1+Inputs!$C$32)</f>
        <v>34.333</v>
      </c>
      <c r="P11" s="5" t="n">
        <f aca="false">MAX(Pricing!$Q$5-O11,0)-MAX(O11-Pricing!$R$5,0)</f>
        <v>-6.6025</v>
      </c>
      <c r="Q11" s="23" t="n">
        <f aca="false">M11*O11</f>
        <v>0</v>
      </c>
      <c r="R11" s="23" t="n">
        <f aca="false">N11*P11</f>
        <v>-5043253.6</v>
      </c>
      <c r="S11" s="22" t="n">
        <f aca="false">Inputs!$C$31*Inputs!$C$17*Inputs!$C$18*Inputs!$C$20*C11*MIN(P11,0)</f>
        <v>-5043253.6</v>
      </c>
      <c r="T11" s="22" t="n">
        <f aca="false">D11*Inputs!$C$8+L11*Inputs!$C$9</f>
        <v>74320268</v>
      </c>
      <c r="U11" s="23" t="n">
        <f aca="false">I11+J11+Q11+R11</f>
        <v>-14864053.6</v>
      </c>
    </row>
    <row r="12" customFormat="false" ht="15" hidden="false" customHeight="false" outlineLevel="0" collapsed="false">
      <c r="A12" s="21" t="n">
        <f aca="false">Pricing!A12</f>
        <v>8</v>
      </c>
      <c r="B12" s="22" t="n">
        <f aca="false">DAY(Pricing!B12)</f>
        <v>31</v>
      </c>
      <c r="C12" s="22" t="n">
        <f aca="false">Inputs!$C$33*MAX(0,MIN(Pricing!B12,(Inputs!$C$27+Inputs!$C$26-1))-MAX(DATE(2027,A12,1),Inputs!$C$27)+1)</f>
        <v>11</v>
      </c>
      <c r="D12" s="22" t="n">
        <f aca="false">Inputs!$C$17*Inputs!$C$18*Inputs!$C$19*B12</f>
        <v>1227600</v>
      </c>
      <c r="E12" s="22" t="n">
        <f aca="false">Inputs!$C$17*Inputs!$C$18*Inputs!$C$19*(B12-C12)</f>
        <v>792000</v>
      </c>
      <c r="F12" s="22" t="n">
        <f aca="false">Inputs!$C$31*D12</f>
        <v>982080</v>
      </c>
      <c r="G12" s="5" t="n">
        <f aca="false">Inputs!$C$8*(1+Inputs!$C$32)</f>
        <v>52</v>
      </c>
      <c r="H12" s="5" t="n">
        <f aca="false">MAX(Pricing!$E$5-G12,0)-MAX(G12-Pricing!$F$5,0)</f>
        <v>-10</v>
      </c>
      <c r="I12" s="23" t="n">
        <f aca="false">E12*G12</f>
        <v>41184000</v>
      </c>
      <c r="J12" s="23" t="n">
        <f aca="false">F12*H12</f>
        <v>-9820800</v>
      </c>
      <c r="K12" s="22" t="n">
        <f aca="false">Inputs!$C$31*Inputs!$C$17*Inputs!$C$18*Inputs!$C$19*C12*MIN(H12,0)</f>
        <v>-3484800</v>
      </c>
      <c r="L12" s="22" t="n">
        <f aca="false">Inputs!$C$17*Inputs!$C$18*Inputs!$C$20*B12</f>
        <v>954800</v>
      </c>
      <c r="M12" s="22" t="n">
        <f aca="false">Inputs!$C$17*Inputs!$C$18*Inputs!$C$20*(B12-C12)</f>
        <v>616000</v>
      </c>
      <c r="N12" s="22" t="n">
        <f aca="false">Inputs!$C$31*L12</f>
        <v>763840</v>
      </c>
      <c r="O12" s="5" t="n">
        <f aca="false">Inputs!$C$9*(1+Inputs!$C$32)</f>
        <v>34.333</v>
      </c>
      <c r="P12" s="5" t="n">
        <f aca="false">MAX(Pricing!$Q$5-O12,0)-MAX(O12-Pricing!$R$5,0)</f>
        <v>-6.6025</v>
      </c>
      <c r="Q12" s="23" t="n">
        <f aca="false">M12*O12</f>
        <v>21149128</v>
      </c>
      <c r="R12" s="23" t="n">
        <f aca="false">N12*P12</f>
        <v>-5043253.6</v>
      </c>
      <c r="S12" s="22" t="n">
        <f aca="false">Inputs!$C$31*Inputs!$C$17*Inputs!$C$18*Inputs!$C$20*C12*MIN(P12,0)</f>
        <v>-1789541.6</v>
      </c>
      <c r="T12" s="22" t="n">
        <f aca="false">D12*Inputs!$C$8+L12*Inputs!$C$9</f>
        <v>74320268</v>
      </c>
      <c r="U12" s="23" t="n">
        <f aca="false">I12+J12+Q12+R12</f>
        <v>47469074.4</v>
      </c>
    </row>
    <row r="13" customFormat="false" ht="15" hidden="false" customHeight="false" outlineLevel="0" collapsed="false">
      <c r="A13" s="21" t="n">
        <f aca="false">Pricing!A13</f>
        <v>9</v>
      </c>
      <c r="B13" s="22" t="n">
        <f aca="false">DAY(Pricing!B13)</f>
        <v>30</v>
      </c>
      <c r="C13" s="22" t="n">
        <f aca="false">Inputs!$C$33*MAX(0,MIN(Pricing!B13,(Inputs!$C$27+Inputs!$C$26-1))-MAX(DATE(2027,A13,1),Inputs!$C$27)+1)</f>
        <v>0</v>
      </c>
      <c r="D13" s="22" t="n">
        <f aca="false">Inputs!$C$17*Inputs!$C$18*Inputs!$C$19*B13</f>
        <v>1188000</v>
      </c>
      <c r="E13" s="22" t="n">
        <f aca="false">Inputs!$C$17*Inputs!$C$18*Inputs!$C$19*(B13-C13)</f>
        <v>1188000</v>
      </c>
      <c r="F13" s="22" t="n">
        <f aca="false">Inputs!$C$31*D13</f>
        <v>950400</v>
      </c>
      <c r="G13" s="5" t="n">
        <f aca="false">Inputs!$C$8*(1+Inputs!$C$32)</f>
        <v>52</v>
      </c>
      <c r="H13" s="5" t="n">
        <f aca="false">MAX(Pricing!$E$5-G13,0)-MAX(G13-Pricing!$F$5,0)</f>
        <v>-10</v>
      </c>
      <c r="I13" s="23" t="n">
        <f aca="false">E13*G13</f>
        <v>61776000</v>
      </c>
      <c r="J13" s="23" t="n">
        <f aca="false">F13*H13</f>
        <v>-9504000</v>
      </c>
      <c r="K13" s="22" t="n">
        <f aca="false">Inputs!$C$31*Inputs!$C$17*Inputs!$C$18*Inputs!$C$19*C13*MIN(H13,0)</f>
        <v>-0</v>
      </c>
      <c r="L13" s="22" t="n">
        <f aca="false">Inputs!$C$17*Inputs!$C$18*Inputs!$C$20*B13</f>
        <v>924000</v>
      </c>
      <c r="M13" s="22" t="n">
        <f aca="false">Inputs!$C$17*Inputs!$C$18*Inputs!$C$20*(B13-C13)</f>
        <v>924000</v>
      </c>
      <c r="N13" s="22" t="n">
        <f aca="false">Inputs!$C$31*L13</f>
        <v>739200</v>
      </c>
      <c r="O13" s="5" t="n">
        <f aca="false">Inputs!$C$9*(1+Inputs!$C$32)</f>
        <v>34.333</v>
      </c>
      <c r="P13" s="5" t="n">
        <f aca="false">MAX(Pricing!$Q$5-O13,0)-MAX(O13-Pricing!$R$5,0)</f>
        <v>-6.6025</v>
      </c>
      <c r="Q13" s="23" t="n">
        <f aca="false">M13*O13</f>
        <v>31723692</v>
      </c>
      <c r="R13" s="23" t="n">
        <f aca="false">N13*P13</f>
        <v>-4880568</v>
      </c>
      <c r="S13" s="22" t="n">
        <f aca="false">Inputs!$C$31*Inputs!$C$17*Inputs!$C$18*Inputs!$C$20*C13*MIN(P13,0)</f>
        <v>-0</v>
      </c>
      <c r="T13" s="22" t="n">
        <f aca="false">D13*Inputs!$C$8+L13*Inputs!$C$9</f>
        <v>71922840</v>
      </c>
      <c r="U13" s="23" t="n">
        <f aca="false">I13+J13+Q13+R13</f>
        <v>79115124</v>
      </c>
    </row>
    <row r="14" customFormat="false" ht="15" hidden="false" customHeight="false" outlineLevel="0" collapsed="false">
      <c r="A14" s="21" t="n">
        <f aca="false">Pricing!A14</f>
        <v>10</v>
      </c>
      <c r="B14" s="22" t="n">
        <f aca="false">DAY(Pricing!B14)</f>
        <v>31</v>
      </c>
      <c r="C14" s="22" t="n">
        <f aca="false">Inputs!$C$33*MAX(0,MIN(Pricing!B14,(Inputs!$C$27+Inputs!$C$26-1))-MAX(DATE(2027,A14,1),Inputs!$C$27)+1)</f>
        <v>0</v>
      </c>
      <c r="D14" s="22" t="n">
        <f aca="false">Inputs!$C$17*Inputs!$C$18*Inputs!$C$19*B14</f>
        <v>1227600</v>
      </c>
      <c r="E14" s="22" t="n">
        <f aca="false">Inputs!$C$17*Inputs!$C$18*Inputs!$C$19*(B14-C14)</f>
        <v>1227600</v>
      </c>
      <c r="F14" s="22" t="n">
        <f aca="false">Inputs!$C$31*D14</f>
        <v>982080</v>
      </c>
      <c r="G14" s="5" t="n">
        <f aca="false">Inputs!$C$8*(1+Inputs!$C$32)</f>
        <v>52</v>
      </c>
      <c r="H14" s="5" t="n">
        <f aca="false">MAX(Pricing!$E$5-G14,0)-MAX(G14-Pricing!$F$5,0)</f>
        <v>-10</v>
      </c>
      <c r="I14" s="23" t="n">
        <f aca="false">E14*G14</f>
        <v>63835200</v>
      </c>
      <c r="J14" s="23" t="n">
        <f aca="false">F14*H14</f>
        <v>-9820800</v>
      </c>
      <c r="K14" s="22" t="n">
        <f aca="false">Inputs!$C$31*Inputs!$C$17*Inputs!$C$18*Inputs!$C$19*C14*MIN(H14,0)</f>
        <v>-0</v>
      </c>
      <c r="L14" s="22" t="n">
        <f aca="false">Inputs!$C$17*Inputs!$C$18*Inputs!$C$20*B14</f>
        <v>954800</v>
      </c>
      <c r="M14" s="22" t="n">
        <f aca="false">Inputs!$C$17*Inputs!$C$18*Inputs!$C$20*(B14-C14)</f>
        <v>954800</v>
      </c>
      <c r="N14" s="22" t="n">
        <f aca="false">Inputs!$C$31*L14</f>
        <v>763840</v>
      </c>
      <c r="O14" s="5" t="n">
        <f aca="false">Inputs!$C$9*(1+Inputs!$C$32)</f>
        <v>34.333</v>
      </c>
      <c r="P14" s="5" t="n">
        <f aca="false">MAX(Pricing!$Q$5-O14,0)-MAX(O14-Pricing!$R$5,0)</f>
        <v>-6.6025</v>
      </c>
      <c r="Q14" s="23" t="n">
        <f aca="false">M14*O14</f>
        <v>32781148.4</v>
      </c>
      <c r="R14" s="23" t="n">
        <f aca="false">N14*P14</f>
        <v>-5043253.6</v>
      </c>
      <c r="S14" s="22" t="n">
        <f aca="false">Inputs!$C$31*Inputs!$C$17*Inputs!$C$18*Inputs!$C$20*C14*MIN(P14,0)</f>
        <v>-0</v>
      </c>
      <c r="T14" s="22" t="n">
        <f aca="false">D14*Inputs!$C$8+L14*Inputs!$C$9</f>
        <v>74320268</v>
      </c>
      <c r="U14" s="23" t="n">
        <f aca="false">I14+J14+Q14+R14</f>
        <v>81752294.8</v>
      </c>
    </row>
    <row r="15" customFormat="false" ht="15" hidden="false" customHeight="false" outlineLevel="0" collapsed="false">
      <c r="A15" s="21" t="n">
        <f aca="false">Pricing!A15</f>
        <v>11</v>
      </c>
      <c r="B15" s="22" t="n">
        <f aca="false">DAY(Pricing!B15)</f>
        <v>30</v>
      </c>
      <c r="C15" s="22" t="n">
        <f aca="false">Inputs!$C$33*MAX(0,MIN(Pricing!B15,(Inputs!$C$27+Inputs!$C$26-1))-MAX(DATE(2027,A15,1),Inputs!$C$27)+1)</f>
        <v>0</v>
      </c>
      <c r="D15" s="22" t="n">
        <f aca="false">Inputs!$C$17*Inputs!$C$18*Inputs!$C$19*B15</f>
        <v>1188000</v>
      </c>
      <c r="E15" s="22" t="n">
        <f aca="false">Inputs!$C$17*Inputs!$C$18*Inputs!$C$19*(B15-C15)</f>
        <v>1188000</v>
      </c>
      <c r="F15" s="22" t="n">
        <f aca="false">Inputs!$C$31*D15</f>
        <v>950400</v>
      </c>
      <c r="G15" s="5" t="n">
        <f aca="false">Inputs!$C$8*(1+Inputs!$C$32)</f>
        <v>52</v>
      </c>
      <c r="H15" s="5" t="n">
        <f aca="false">MAX(Pricing!$E$5-G15,0)-MAX(G15-Pricing!$F$5,0)</f>
        <v>-10</v>
      </c>
      <c r="I15" s="23" t="n">
        <f aca="false">E15*G15</f>
        <v>61776000</v>
      </c>
      <c r="J15" s="23" t="n">
        <f aca="false">F15*H15</f>
        <v>-9504000</v>
      </c>
      <c r="K15" s="22" t="n">
        <f aca="false">Inputs!$C$31*Inputs!$C$17*Inputs!$C$18*Inputs!$C$19*C15*MIN(H15,0)</f>
        <v>-0</v>
      </c>
      <c r="L15" s="22" t="n">
        <f aca="false">Inputs!$C$17*Inputs!$C$18*Inputs!$C$20*B15</f>
        <v>924000</v>
      </c>
      <c r="M15" s="22" t="n">
        <f aca="false">Inputs!$C$17*Inputs!$C$18*Inputs!$C$20*(B15-C15)</f>
        <v>924000</v>
      </c>
      <c r="N15" s="22" t="n">
        <f aca="false">Inputs!$C$31*L15</f>
        <v>739200</v>
      </c>
      <c r="O15" s="5" t="n">
        <f aca="false">Inputs!$C$9*(1+Inputs!$C$32)</f>
        <v>34.333</v>
      </c>
      <c r="P15" s="5" t="n">
        <f aca="false">MAX(Pricing!$Q$5-O15,0)-MAX(O15-Pricing!$R$5,0)</f>
        <v>-6.6025</v>
      </c>
      <c r="Q15" s="23" t="n">
        <f aca="false">M15*O15</f>
        <v>31723692</v>
      </c>
      <c r="R15" s="23" t="n">
        <f aca="false">N15*P15</f>
        <v>-4880568</v>
      </c>
      <c r="S15" s="22" t="n">
        <f aca="false">Inputs!$C$31*Inputs!$C$17*Inputs!$C$18*Inputs!$C$20*C15*MIN(P15,0)</f>
        <v>-0</v>
      </c>
      <c r="T15" s="22" t="n">
        <f aca="false">D15*Inputs!$C$8+L15*Inputs!$C$9</f>
        <v>71922840</v>
      </c>
      <c r="U15" s="23" t="n">
        <f aca="false">I15+J15+Q15+R15</f>
        <v>79115124</v>
      </c>
    </row>
    <row r="16" customFormat="false" ht="15" hidden="false" customHeight="false" outlineLevel="0" collapsed="false">
      <c r="A16" s="21" t="n">
        <f aca="false">Pricing!A16</f>
        <v>12</v>
      </c>
      <c r="B16" s="22" t="n">
        <f aca="false">DAY(Pricing!B16)</f>
        <v>31</v>
      </c>
      <c r="C16" s="22" t="n">
        <f aca="false">Inputs!$C$33*MAX(0,MIN(Pricing!B16,(Inputs!$C$27+Inputs!$C$26-1))-MAX(DATE(2027,A16,1),Inputs!$C$27)+1)</f>
        <v>0</v>
      </c>
      <c r="D16" s="22" t="n">
        <f aca="false">Inputs!$C$17*Inputs!$C$18*Inputs!$C$19*B16</f>
        <v>1227600</v>
      </c>
      <c r="E16" s="22" t="n">
        <f aca="false">Inputs!$C$17*Inputs!$C$18*Inputs!$C$19*(B16-C16)</f>
        <v>1227600</v>
      </c>
      <c r="F16" s="22" t="n">
        <f aca="false">Inputs!$C$31*D16</f>
        <v>982080</v>
      </c>
      <c r="G16" s="5" t="n">
        <f aca="false">Inputs!$C$8*(1+Inputs!$C$32)</f>
        <v>52</v>
      </c>
      <c r="H16" s="5" t="n">
        <f aca="false">MAX(Pricing!$E$5-G16,0)-MAX(G16-Pricing!$F$5,0)</f>
        <v>-10</v>
      </c>
      <c r="I16" s="23" t="n">
        <f aca="false">E16*G16</f>
        <v>63835200</v>
      </c>
      <c r="J16" s="23" t="n">
        <f aca="false">F16*H16</f>
        <v>-9820800</v>
      </c>
      <c r="K16" s="22" t="n">
        <f aca="false">Inputs!$C$31*Inputs!$C$17*Inputs!$C$18*Inputs!$C$19*C16*MIN(H16,0)</f>
        <v>-0</v>
      </c>
      <c r="L16" s="22" t="n">
        <f aca="false">Inputs!$C$17*Inputs!$C$18*Inputs!$C$20*B16</f>
        <v>954800</v>
      </c>
      <c r="M16" s="22" t="n">
        <f aca="false">Inputs!$C$17*Inputs!$C$18*Inputs!$C$20*(B16-C16)</f>
        <v>954800</v>
      </c>
      <c r="N16" s="22" t="n">
        <f aca="false">Inputs!$C$31*L16</f>
        <v>763840</v>
      </c>
      <c r="O16" s="5" t="n">
        <f aca="false">Inputs!$C$9*(1+Inputs!$C$32)</f>
        <v>34.333</v>
      </c>
      <c r="P16" s="5" t="n">
        <f aca="false">MAX(Pricing!$Q$5-O16,0)-MAX(O16-Pricing!$R$5,0)</f>
        <v>-6.6025</v>
      </c>
      <c r="Q16" s="23" t="n">
        <f aca="false">M16*O16</f>
        <v>32781148.4</v>
      </c>
      <c r="R16" s="23" t="n">
        <f aca="false">N16*P16</f>
        <v>-5043253.6</v>
      </c>
      <c r="S16" s="22" t="n">
        <f aca="false">Inputs!$C$31*Inputs!$C$17*Inputs!$C$18*Inputs!$C$20*C16*MIN(P16,0)</f>
        <v>-0</v>
      </c>
      <c r="T16" s="22" t="n">
        <f aca="false">D16*Inputs!$C$8+L16*Inputs!$C$9</f>
        <v>74320268</v>
      </c>
      <c r="U16" s="23" t="n">
        <f aca="false">I16+J16+Q16+R16</f>
        <v>81752294.8</v>
      </c>
    </row>
    <row r="17" customFormat="false" ht="15" hidden="false" customHeight="false" outlineLevel="0" collapsed="false">
      <c r="A17" s="7" t="s">
        <v>136</v>
      </c>
      <c r="B17" s="24" t="n">
        <f aca="false">SUM(B5:B16)</f>
        <v>365</v>
      </c>
      <c r="C17" s="24" t="n">
        <f aca="false">SUM(C5:C16)</f>
        <v>42</v>
      </c>
      <c r="D17" s="24" t="n">
        <f aca="false">SUM(D5:D16)</f>
        <v>14454000</v>
      </c>
      <c r="E17" s="24" t="n">
        <f aca="false">SUM(E5:E16)</f>
        <v>12790800</v>
      </c>
      <c r="F17" s="24" t="n">
        <f aca="false">SUM(F5:F16)</f>
        <v>11563200</v>
      </c>
      <c r="I17" s="24" t="n">
        <f aca="false">SUM(I5:I16)</f>
        <v>665121600</v>
      </c>
      <c r="J17" s="24" t="n">
        <f aca="false">SUM(J5:J16)</f>
        <v>-115632000</v>
      </c>
      <c r="K17" s="24" t="n">
        <f aca="false">SUM(K5:K16)</f>
        <v>-13305600</v>
      </c>
      <c r="L17" s="24" t="n">
        <f aca="false">SUM(L5:L16)</f>
        <v>11242000</v>
      </c>
      <c r="M17" s="24" t="n">
        <f aca="false">SUM(M5:M16)</f>
        <v>9948400</v>
      </c>
      <c r="N17" s="24" t="n">
        <f aca="false">SUM(N5:N16)</f>
        <v>8993600</v>
      </c>
      <c r="Q17" s="24" t="n">
        <f aca="false">SUM(Q5:Q16)</f>
        <v>341558417.2</v>
      </c>
      <c r="R17" s="24" t="n">
        <f aca="false">SUM(R5:R16)</f>
        <v>-59380244</v>
      </c>
      <c r="S17" s="24" t="n">
        <f aca="false">SUM(S5:S16)</f>
        <v>-6832795.2</v>
      </c>
      <c r="T17" s="24" t="n">
        <f aca="false">SUM(T5:T16)</f>
        <v>875061220</v>
      </c>
      <c r="U17" s="24" t="n">
        <f aca="false">SUM(U5:U16)</f>
        <v>831667773.2</v>
      </c>
    </row>
    <row r="19" customFormat="false" ht="15" hidden="false" customHeight="false" outlineLevel="0" collapsed="false">
      <c r="A19" s="7" t="s">
        <v>137</v>
      </c>
      <c r="C19" s="25" t="n">
        <f aca="false">U17/T17-1</f>
        <v>-0.0495890410958905</v>
      </c>
    </row>
    <row r="20" customFormat="false" ht="15" hidden="false" customHeight="false" outlineLevel="0" collapsed="false">
      <c r="A20" s="7" t="s">
        <v>138</v>
      </c>
      <c r="C20" s="25" t="n">
        <f aca="false">-(K17+S17)/T17</f>
        <v>0.023013698630137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1" t="s">
        <v>139</v>
      </c>
    </row>
    <row r="2" customFormat="false" ht="15" hidden="false" customHeight="false" outlineLevel="0" collapsed="false">
      <c r="A2" s="0" t="s">
        <v>140</v>
      </c>
    </row>
    <row r="4" customFormat="false" ht="15" hidden="false" customHeight="false" outlineLevel="0" collapsed="false">
      <c r="A4" s="7" t="s">
        <v>141</v>
      </c>
      <c r="C4" s="4" t="n">
        <f aca="false">Inputs!$C$19*Inputs!$C$8/(Inputs!$C$19*Inputs!$C$8+Inputs!$C$20*Inputs!$C$9)</f>
        <v>0.660708058803017</v>
      </c>
    </row>
    <row r="5" customFormat="false" ht="15" hidden="false" customHeight="false" outlineLevel="0" collapsed="false">
      <c r="A5" s="7" t="s">
        <v>142</v>
      </c>
      <c r="C5" s="26" t="n">
        <f aca="false">1-C4</f>
        <v>0.339291941196983</v>
      </c>
    </row>
    <row r="7" customFormat="false" ht="15" hidden="false" customHeight="false" outlineLevel="0" collapsed="false">
      <c r="A7" s="2" t="s">
        <v>143</v>
      </c>
      <c r="B7" s="27" t="n">
        <v>-0.3</v>
      </c>
      <c r="C7" s="27" t="n">
        <v>-0.15</v>
      </c>
      <c r="D7" s="27" t="n">
        <v>0</v>
      </c>
      <c r="E7" s="27" t="n">
        <v>0.15</v>
      </c>
      <c r="F7" s="27" t="n">
        <v>0.3</v>
      </c>
    </row>
    <row r="8" customFormat="false" ht="15" hidden="false" customHeight="false" outlineLevel="0" collapsed="false">
      <c r="A8" s="8" t="n">
        <v>0</v>
      </c>
      <c r="B8" s="4" t="n">
        <f aca="false">B$7+$A8*($C$4*(MAX(Pricing!$E$5-Inputs!$C$8*(1+B$7),0)-MAX(Inputs!$C$8*(1+B$7)-Pricing!$F$5,0))/Inputs!$C$8+$C$5*(MAX(Pricing!$Q$5-Inputs!$C$9*(1+B$7),0)-MAX(Inputs!$C$9*(1+B$7)-Pricing!$R$5,0))/Inputs!$C$9)</f>
        <v>-0.3</v>
      </c>
      <c r="C8" s="4" t="n">
        <f aca="false">C$7+$A8*($C$4*(MAX(Pricing!$E$5-Inputs!$C$8*(1+C$7),0)-MAX(Inputs!$C$8*(1+C$7)-Pricing!$F$5,0))/Inputs!$C$8+$C$5*(MAX(Pricing!$Q$5-Inputs!$C$9*(1+C$7),0)-MAX(Inputs!$C$9*(1+C$7)-Pricing!$R$5,0))/Inputs!$C$9)</f>
        <v>-0.15</v>
      </c>
      <c r="D8" s="4" t="n">
        <f aca="false">D$7+$A8*($C$4*(MAX(Pricing!$E$5-Inputs!$C$8*(1+D$7),0)-MAX(Inputs!$C$8*(1+D$7)-Pricing!$F$5,0))/Inputs!$C$8+$C$5*(MAX(Pricing!$Q$5-Inputs!$C$9*(1+D$7),0)-MAX(Inputs!$C$9*(1+D$7)-Pricing!$R$5,0))/Inputs!$C$9)</f>
        <v>0</v>
      </c>
      <c r="E8" s="4" t="n">
        <f aca="false">E$7+$A8*($C$4*(MAX(Pricing!$E$5-Inputs!$C$8*(1+E$7),0)-MAX(Inputs!$C$8*(1+E$7)-Pricing!$F$5,0))/Inputs!$C$8+$C$5*(MAX(Pricing!$Q$5-Inputs!$C$9*(1+E$7),0)-MAX(Inputs!$C$9*(1+E$7)-Pricing!$R$5,0))/Inputs!$C$9)</f>
        <v>0.15</v>
      </c>
      <c r="F8" s="4" t="n">
        <f aca="false">F$7+$A8*($C$4*(MAX(Pricing!$E$5-Inputs!$C$8*(1+F$7),0)-MAX(Inputs!$C$8*(1+F$7)-Pricing!$F$5,0))/Inputs!$C$8+$C$5*(MAX(Pricing!$Q$5-Inputs!$C$9*(1+F$7),0)-MAX(Inputs!$C$9*(1+F$7)-Pricing!$R$5,0))/Inputs!$C$9)</f>
        <v>0.3</v>
      </c>
    </row>
    <row r="9" customFormat="false" ht="15" hidden="false" customHeight="false" outlineLevel="0" collapsed="false">
      <c r="A9" s="8" t="n">
        <v>0.5</v>
      </c>
      <c r="B9" s="4" t="n">
        <f aca="false">B$7+$A9*($C$4*(MAX(Pricing!$E$5-Inputs!$C$8*(1+B$7),0)-MAX(Inputs!$C$8*(1+B$7)-Pricing!$F$5,0))/Inputs!$C$8+$C$5*(MAX(Pricing!$Q$5-Inputs!$C$9*(1+B$7),0)-MAX(Inputs!$C$9*(1+B$7)-Pricing!$R$5,0))/Inputs!$C$9)</f>
        <v>-0.175</v>
      </c>
      <c r="C9" s="4" t="n">
        <f aca="false">C$7+$A9*($C$4*(MAX(Pricing!$E$5-Inputs!$C$8*(1+C$7),0)-MAX(Inputs!$C$8*(1+C$7)-Pricing!$F$5,0))/Inputs!$C$8+$C$5*(MAX(Pricing!$Q$5-Inputs!$C$9*(1+C$7),0)-MAX(Inputs!$C$9*(1+C$7)-Pricing!$R$5,0))/Inputs!$C$9)</f>
        <v>-0.1</v>
      </c>
      <c r="D9" s="4" t="n">
        <f aca="false">D$7+$A9*($C$4*(MAX(Pricing!$E$5-Inputs!$C$8*(1+D$7),0)-MAX(Inputs!$C$8*(1+D$7)-Pricing!$F$5,0))/Inputs!$C$8+$C$5*(MAX(Pricing!$Q$5-Inputs!$C$9*(1+D$7),0)-MAX(Inputs!$C$9*(1+D$7)-Pricing!$R$5,0))/Inputs!$C$9)</f>
        <v>0</v>
      </c>
      <c r="E9" s="4" t="n">
        <f aca="false">E$7+$A9*($C$4*(MAX(Pricing!$E$5-Inputs!$C$8*(1+E$7),0)-MAX(Inputs!$C$8*(1+E$7)-Pricing!$F$5,0))/Inputs!$C$8+$C$5*(MAX(Pricing!$Q$5-Inputs!$C$9*(1+E$7),0)-MAX(Inputs!$C$9*(1+E$7)-Pricing!$R$5,0))/Inputs!$C$9)</f>
        <v>0.1</v>
      </c>
      <c r="F9" s="4" t="n">
        <f aca="false">F$7+$A9*($C$4*(MAX(Pricing!$E$5-Inputs!$C$8*(1+F$7),0)-MAX(Inputs!$C$8*(1+F$7)-Pricing!$F$5,0))/Inputs!$C$8+$C$5*(MAX(Pricing!$Q$5-Inputs!$C$9*(1+F$7),0)-MAX(Inputs!$C$9*(1+F$7)-Pricing!$R$5,0))/Inputs!$C$9)</f>
        <v>0.175</v>
      </c>
    </row>
    <row r="10" customFormat="false" ht="15" hidden="false" customHeight="false" outlineLevel="0" collapsed="false">
      <c r="A10" s="8" t="n">
        <v>0.7</v>
      </c>
      <c r="B10" s="4" t="n">
        <f aca="false">B$7+$A10*($C$4*(MAX(Pricing!$E$5-Inputs!$C$8*(1+B$7),0)-MAX(Inputs!$C$8*(1+B$7)-Pricing!$F$5,0))/Inputs!$C$8+$C$5*(MAX(Pricing!$Q$5-Inputs!$C$9*(1+B$7),0)-MAX(Inputs!$C$9*(1+B$7)-Pricing!$R$5,0))/Inputs!$C$9)</f>
        <v>-0.125</v>
      </c>
      <c r="C10" s="4" t="n">
        <f aca="false">C$7+$A10*($C$4*(MAX(Pricing!$E$5-Inputs!$C$8*(1+C$7),0)-MAX(Inputs!$C$8*(1+C$7)-Pricing!$F$5,0))/Inputs!$C$8+$C$5*(MAX(Pricing!$Q$5-Inputs!$C$9*(1+C$7),0)-MAX(Inputs!$C$9*(1+C$7)-Pricing!$R$5,0))/Inputs!$C$9)</f>
        <v>-0.08</v>
      </c>
      <c r="D10" s="4" t="n">
        <f aca="false">D$7+$A10*($C$4*(MAX(Pricing!$E$5-Inputs!$C$8*(1+D$7),0)-MAX(Inputs!$C$8*(1+D$7)-Pricing!$F$5,0))/Inputs!$C$8+$C$5*(MAX(Pricing!$Q$5-Inputs!$C$9*(1+D$7),0)-MAX(Inputs!$C$9*(1+D$7)-Pricing!$R$5,0))/Inputs!$C$9)</f>
        <v>0</v>
      </c>
      <c r="E10" s="4" t="n">
        <f aca="false">E$7+$A10*($C$4*(MAX(Pricing!$E$5-Inputs!$C$8*(1+E$7),0)-MAX(Inputs!$C$8*(1+E$7)-Pricing!$F$5,0))/Inputs!$C$8+$C$5*(MAX(Pricing!$Q$5-Inputs!$C$9*(1+E$7),0)-MAX(Inputs!$C$9*(1+E$7)-Pricing!$R$5,0))/Inputs!$C$9)</f>
        <v>0.08</v>
      </c>
      <c r="F10" s="4" t="n">
        <f aca="false">F$7+$A10*($C$4*(MAX(Pricing!$E$5-Inputs!$C$8*(1+F$7),0)-MAX(Inputs!$C$8*(1+F$7)-Pricing!$F$5,0))/Inputs!$C$8+$C$5*(MAX(Pricing!$Q$5-Inputs!$C$9*(1+F$7),0)-MAX(Inputs!$C$9*(1+F$7)-Pricing!$R$5,0))/Inputs!$C$9)</f>
        <v>0.125</v>
      </c>
    </row>
    <row r="11" customFormat="false" ht="15" hidden="false" customHeight="false" outlineLevel="0" collapsed="false">
      <c r="A11" s="8" t="n">
        <v>0.8</v>
      </c>
      <c r="B11" s="4" t="n">
        <f aca="false">B$7+$A11*($C$4*(MAX(Pricing!$E$5-Inputs!$C$8*(1+B$7),0)-MAX(Inputs!$C$8*(1+B$7)-Pricing!$F$5,0))/Inputs!$C$8+$C$5*(MAX(Pricing!$Q$5-Inputs!$C$9*(1+B$7),0)-MAX(Inputs!$C$9*(1+B$7)-Pricing!$R$5,0))/Inputs!$C$9)</f>
        <v>-0.1</v>
      </c>
      <c r="C11" s="4" t="n">
        <f aca="false">C$7+$A11*($C$4*(MAX(Pricing!$E$5-Inputs!$C$8*(1+C$7),0)-MAX(Inputs!$C$8*(1+C$7)-Pricing!$F$5,0))/Inputs!$C$8+$C$5*(MAX(Pricing!$Q$5-Inputs!$C$9*(1+C$7),0)-MAX(Inputs!$C$9*(1+C$7)-Pricing!$R$5,0))/Inputs!$C$9)</f>
        <v>-0.07</v>
      </c>
      <c r="D11" s="4" t="n">
        <f aca="false">D$7+$A11*($C$4*(MAX(Pricing!$E$5-Inputs!$C$8*(1+D$7),0)-MAX(Inputs!$C$8*(1+D$7)-Pricing!$F$5,0))/Inputs!$C$8+$C$5*(MAX(Pricing!$Q$5-Inputs!$C$9*(1+D$7),0)-MAX(Inputs!$C$9*(1+D$7)-Pricing!$R$5,0))/Inputs!$C$9)</f>
        <v>0</v>
      </c>
      <c r="E11" s="4" t="n">
        <f aca="false">E$7+$A11*($C$4*(MAX(Pricing!$E$5-Inputs!$C$8*(1+E$7),0)-MAX(Inputs!$C$8*(1+E$7)-Pricing!$F$5,0))/Inputs!$C$8+$C$5*(MAX(Pricing!$Q$5-Inputs!$C$9*(1+E$7),0)-MAX(Inputs!$C$9*(1+E$7)-Pricing!$R$5,0))/Inputs!$C$9)</f>
        <v>0.07</v>
      </c>
      <c r="F11" s="4" t="n">
        <f aca="false">F$7+$A11*($C$4*(MAX(Pricing!$E$5-Inputs!$C$8*(1+F$7),0)-MAX(Inputs!$C$8*(1+F$7)-Pricing!$F$5,0))/Inputs!$C$8+$C$5*(MAX(Pricing!$Q$5-Inputs!$C$9*(1+F$7),0)-MAX(Inputs!$C$9*(1+F$7)-Pricing!$R$5,0))/Inputs!$C$9)</f>
        <v>0.1</v>
      </c>
    </row>
    <row r="12" customFormat="false" ht="15" hidden="false" customHeight="false" outlineLevel="0" collapsed="false">
      <c r="A12" s="8" t="n">
        <v>0.9</v>
      </c>
      <c r="B12" s="4" t="n">
        <f aca="false">B$7+$A12*($C$4*(MAX(Pricing!$E$5-Inputs!$C$8*(1+B$7),0)-MAX(Inputs!$C$8*(1+B$7)-Pricing!$F$5,0))/Inputs!$C$8+$C$5*(MAX(Pricing!$Q$5-Inputs!$C$9*(1+B$7),0)-MAX(Inputs!$C$9*(1+B$7)-Pricing!$R$5,0))/Inputs!$C$9)</f>
        <v>-0.075</v>
      </c>
      <c r="C12" s="4" t="n">
        <f aca="false">C$7+$A12*($C$4*(MAX(Pricing!$E$5-Inputs!$C$8*(1+C$7),0)-MAX(Inputs!$C$8*(1+C$7)-Pricing!$F$5,0))/Inputs!$C$8+$C$5*(MAX(Pricing!$Q$5-Inputs!$C$9*(1+C$7),0)-MAX(Inputs!$C$9*(1+C$7)-Pricing!$R$5,0))/Inputs!$C$9)</f>
        <v>-0.06</v>
      </c>
      <c r="D12" s="4" t="n">
        <f aca="false">D$7+$A12*($C$4*(MAX(Pricing!$E$5-Inputs!$C$8*(1+D$7),0)-MAX(Inputs!$C$8*(1+D$7)-Pricing!$F$5,0))/Inputs!$C$8+$C$5*(MAX(Pricing!$Q$5-Inputs!$C$9*(1+D$7),0)-MAX(Inputs!$C$9*(1+D$7)-Pricing!$R$5,0))/Inputs!$C$9)</f>
        <v>0</v>
      </c>
      <c r="E12" s="4" t="n">
        <f aca="false">E$7+$A12*($C$4*(MAX(Pricing!$E$5-Inputs!$C$8*(1+E$7),0)-MAX(Inputs!$C$8*(1+E$7)-Pricing!$F$5,0))/Inputs!$C$8+$C$5*(MAX(Pricing!$Q$5-Inputs!$C$9*(1+E$7),0)-MAX(Inputs!$C$9*(1+E$7)-Pricing!$R$5,0))/Inputs!$C$9)</f>
        <v>0.0600000000000001</v>
      </c>
      <c r="F12" s="4" t="n">
        <f aca="false">F$7+$A12*($C$4*(MAX(Pricing!$E$5-Inputs!$C$8*(1+F$7),0)-MAX(Inputs!$C$8*(1+F$7)-Pricing!$F$5,0))/Inputs!$C$8+$C$5*(MAX(Pricing!$Q$5-Inputs!$C$9*(1+F$7),0)-MAX(Inputs!$C$9*(1+F$7)-Pricing!$R$5,0))/Inputs!$C$9)</f>
        <v>0.075</v>
      </c>
    </row>
    <row r="15" customFormat="false" ht="15" hidden="false" customHeight="false" outlineLevel="0" collapsed="false">
      <c r="A15" s="2" t="s">
        <v>144</v>
      </c>
      <c r="B15" s="2" t="s">
        <v>145</v>
      </c>
      <c r="C15" s="2" t="s">
        <v>146</v>
      </c>
      <c r="D15" s="2" t="s">
        <v>147</v>
      </c>
      <c r="E15" s="2" t="s">
        <v>148</v>
      </c>
    </row>
    <row r="16" customFormat="false" ht="15" hidden="false" customHeight="false" outlineLevel="0" collapsed="false">
      <c r="A16" s="8" t="n">
        <v>0.5</v>
      </c>
      <c r="B16" s="4" t="n">
        <f aca="false">-0.3+$A16*($C$4*(MAX(Pricing!$E$5-Inputs!$C$8*(1+-0.3),0)-MAX(Inputs!$C$8*(1+-0.3)-Pricing!$F$5,0))/Inputs!$C$8+$C$5*(MAX(Pricing!$Q$5-Inputs!$C$9*(1+-0.3),0)-MAX(Inputs!$C$9*(1+-0.3)-Pricing!$R$5,0))/Inputs!$C$9)</f>
        <v>-0.175</v>
      </c>
      <c r="C16" s="4" t="n">
        <f aca="false">-$A16*Inputs!$C$26/365*($C$4*MIN(MAX(Pricing!$E$5-Inputs!$C$8*(1+Inputs!$C$28),0)-MAX(Inputs!$C$8*(1+Inputs!$C$28)-Pricing!$F$5,0),0)/Inputs!$C$8+$C$5*MIN(MAX(Pricing!$Q$5-Inputs!$C$9*(1+Inputs!$C$28),0)-MAX(Inputs!$C$9*(1+Inputs!$C$28)-Pricing!$R$5,0),0)/Inputs!$C$9)</f>
        <v>0.0143835616438356</v>
      </c>
      <c r="D16" s="4" t="n">
        <f aca="false">(1+Inputs!$C$28)*(1-Inputs!$C$26/365)+$A16*($C$4*(MAX(Pricing!$E$5-Inputs!$C$8*(1+Inputs!$C$28),0)-MAX(Inputs!$C$8*(1+Inputs!$C$28)-Pricing!$F$5,0))/Inputs!$C$8+$C$5*(MAX(Pricing!$Q$5-Inputs!$C$9*(1+Inputs!$C$28),0)-MAX(Inputs!$C$9*(1+Inputs!$C$28)-Pricing!$R$5,0))/Inputs!$C$9)-1</f>
        <v>0.0254109589041096</v>
      </c>
      <c r="E16" s="22" t="n">
        <f aca="false">IF(C16&lt;=Inputs!$C$25,1,0)</f>
        <v>1</v>
      </c>
    </row>
    <row r="17" customFormat="false" ht="15" hidden="false" customHeight="false" outlineLevel="0" collapsed="false">
      <c r="A17" s="8" t="n">
        <v>0.7</v>
      </c>
      <c r="B17" s="4" t="n">
        <f aca="false">-0.3+$A17*($C$4*(MAX(Pricing!$E$5-Inputs!$C$8*(1+-0.3),0)-MAX(Inputs!$C$8*(1+-0.3)-Pricing!$F$5,0))/Inputs!$C$8+$C$5*(MAX(Pricing!$Q$5-Inputs!$C$9*(1+-0.3),0)-MAX(Inputs!$C$9*(1+-0.3)-Pricing!$R$5,0))/Inputs!$C$9)</f>
        <v>-0.125</v>
      </c>
      <c r="C17" s="4" t="n">
        <f aca="false">-$A17*Inputs!$C$26/365*($C$4*MIN(MAX(Pricing!$E$5-Inputs!$C$8*(1+Inputs!$C$28),0)-MAX(Inputs!$C$8*(1+Inputs!$C$28)-Pricing!$F$5,0),0)/Inputs!$C$8+$C$5*MIN(MAX(Pricing!$Q$5-Inputs!$C$9*(1+Inputs!$C$28),0)-MAX(Inputs!$C$9*(1+Inputs!$C$28)-Pricing!$R$5,0),0)/Inputs!$C$9)</f>
        <v>0.0201369863013699</v>
      </c>
      <c r="D17" s="4" t="n">
        <f aca="false">(1+Inputs!$C$28)*(1-Inputs!$C$26/365)+$A17*($C$4*(MAX(Pricing!$E$5-Inputs!$C$8*(1+Inputs!$C$28),0)-MAX(Inputs!$C$8*(1+Inputs!$C$28)-Pricing!$F$5,0))/Inputs!$C$8+$C$5*(MAX(Pricing!$Q$5-Inputs!$C$9*(1+Inputs!$C$28),0)-MAX(Inputs!$C$9*(1+Inputs!$C$28)-Pricing!$R$5,0))/Inputs!$C$9)-1</f>
        <v>-0.0245890410958903</v>
      </c>
      <c r="E17" s="22" t="n">
        <f aca="false">IF(C17&lt;=Inputs!$C$25,1,0)</f>
        <v>1</v>
      </c>
    </row>
    <row r="18" customFormat="false" ht="15" hidden="false" customHeight="false" outlineLevel="0" collapsed="false">
      <c r="A18" s="8" t="n">
        <v>0.8</v>
      </c>
      <c r="B18" s="4" t="n">
        <f aca="false">-0.3+$A18*($C$4*(MAX(Pricing!$E$5-Inputs!$C$8*(1+-0.3),0)-MAX(Inputs!$C$8*(1+-0.3)-Pricing!$F$5,0))/Inputs!$C$8+$C$5*(MAX(Pricing!$Q$5-Inputs!$C$9*(1+-0.3),0)-MAX(Inputs!$C$9*(1+-0.3)-Pricing!$R$5,0))/Inputs!$C$9)</f>
        <v>-0.1</v>
      </c>
      <c r="C18" s="4" t="n">
        <f aca="false">-$A18*Inputs!$C$26/365*($C$4*MIN(MAX(Pricing!$E$5-Inputs!$C$8*(1+Inputs!$C$28),0)-MAX(Inputs!$C$8*(1+Inputs!$C$28)-Pricing!$F$5,0),0)/Inputs!$C$8+$C$5*MIN(MAX(Pricing!$Q$5-Inputs!$C$9*(1+Inputs!$C$28),0)-MAX(Inputs!$C$9*(1+Inputs!$C$28)-Pricing!$R$5,0),0)/Inputs!$C$9)</f>
        <v>0.023013698630137</v>
      </c>
      <c r="D18" s="4" t="n">
        <f aca="false">(1+Inputs!$C$28)*(1-Inputs!$C$26/365)+$A18*($C$4*(MAX(Pricing!$E$5-Inputs!$C$8*(1+Inputs!$C$28),0)-MAX(Inputs!$C$8*(1+Inputs!$C$28)-Pricing!$F$5,0))/Inputs!$C$8+$C$5*(MAX(Pricing!$Q$5-Inputs!$C$9*(1+Inputs!$C$28),0)-MAX(Inputs!$C$9*(1+Inputs!$C$28)-Pricing!$R$5,0))/Inputs!$C$9)-1</f>
        <v>-0.0495890410958904</v>
      </c>
      <c r="E18" s="22" t="n">
        <f aca="false">IF(C18&lt;=Inputs!$C$25,1,0)</f>
        <v>1</v>
      </c>
    </row>
    <row r="19" customFormat="false" ht="15" hidden="false" customHeight="false" outlineLevel="0" collapsed="false">
      <c r="A19" s="8" t="n">
        <v>0.9</v>
      </c>
      <c r="B19" s="4" t="n">
        <f aca="false">-0.3+$A19*($C$4*(MAX(Pricing!$E$5-Inputs!$C$8*(1+-0.3),0)-MAX(Inputs!$C$8*(1+-0.3)-Pricing!$F$5,0))/Inputs!$C$8+$C$5*(MAX(Pricing!$Q$5-Inputs!$C$9*(1+-0.3),0)-MAX(Inputs!$C$9*(1+-0.3)-Pricing!$R$5,0))/Inputs!$C$9)</f>
        <v>-0.075</v>
      </c>
      <c r="C19" s="4" t="n">
        <f aca="false">-$A19*Inputs!$C$26/365*($C$4*MIN(MAX(Pricing!$E$5-Inputs!$C$8*(1+Inputs!$C$28),0)-MAX(Inputs!$C$8*(1+Inputs!$C$28)-Pricing!$F$5,0),0)/Inputs!$C$8+$C$5*MIN(MAX(Pricing!$Q$5-Inputs!$C$9*(1+Inputs!$C$28),0)-MAX(Inputs!$C$9*(1+Inputs!$C$28)-Pricing!$R$5,0),0)/Inputs!$C$9)</f>
        <v>0.0258904109589041</v>
      </c>
      <c r="D19" s="4" t="n">
        <f aca="false">(1+Inputs!$C$28)*(1-Inputs!$C$26/365)+$A19*($C$4*(MAX(Pricing!$E$5-Inputs!$C$8*(1+Inputs!$C$28),0)-MAX(Inputs!$C$8*(1+Inputs!$C$28)-Pricing!$F$5,0))/Inputs!$C$8+$C$5*(MAX(Pricing!$Q$5-Inputs!$C$9*(1+Inputs!$C$28),0)-MAX(Inputs!$C$9*(1+Inputs!$C$28)-Pricing!$R$5,0))/Inputs!$C$9)-1</f>
        <v>-0.0745890410958904</v>
      </c>
      <c r="E19" s="22" t="n">
        <f aca="false">IF(C19&lt;=Inputs!$C$25,1,0)</f>
        <v>0</v>
      </c>
    </row>
    <row r="21" customFormat="false" ht="15" hidden="false" customHeight="false" outlineLevel="0" collapsed="false">
      <c r="A21" s="7" t="s">
        <v>149</v>
      </c>
      <c r="D21" s="25" t="n">
        <f aca="false">_xlfn.MAXIFS(A16:A19,E16:E19,1)</f>
        <v>0.8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2" min="1" style="0" width="15"/>
  </cols>
  <sheetData>
    <row r="1" customFormat="false" ht="17.35" hidden="false" customHeight="false" outlineLevel="0" collapsed="false">
      <c r="A1" s="1" t="s">
        <v>150</v>
      </c>
    </row>
    <row r="2" customFormat="false" ht="15" hidden="false" customHeight="false" outlineLevel="0" collapsed="false">
      <c r="A2" s="0" t="s">
        <v>151</v>
      </c>
    </row>
    <row r="4" customFormat="false" ht="15" hidden="false" customHeight="false" outlineLevel="0" collapsed="false">
      <c r="A4" s="2" t="s">
        <v>87</v>
      </c>
      <c r="B4" s="2" t="s">
        <v>89</v>
      </c>
      <c r="C4" s="2" t="s">
        <v>152</v>
      </c>
      <c r="D4" s="2" t="s">
        <v>153</v>
      </c>
      <c r="E4" s="2" t="s">
        <v>154</v>
      </c>
      <c r="F4" s="2" t="s">
        <v>155</v>
      </c>
      <c r="G4" s="2" t="s">
        <v>156</v>
      </c>
      <c r="H4" s="2" t="s">
        <v>157</v>
      </c>
      <c r="I4" s="2" t="s">
        <v>158</v>
      </c>
      <c r="J4" s="2" t="s">
        <v>159</v>
      </c>
      <c r="K4" s="2" t="s">
        <v>160</v>
      </c>
      <c r="L4" s="2" t="s">
        <v>161</v>
      </c>
    </row>
    <row r="5" customFormat="false" ht="15" hidden="false" customHeight="false" outlineLevel="0" collapsed="false">
      <c r="A5" s="21" t="n">
        <f aca="false">Pricing!A5</f>
        <v>1</v>
      </c>
      <c r="B5" s="17" t="n">
        <f aca="false">Pricing!C5</f>
        <v>0.263013698630137</v>
      </c>
      <c r="C5" s="19" t="n">
        <f aca="false">Inputs!$C$14*((1+Inputs!$C$13)/(1+Inputs!$C$12))^B5</f>
        <v>16.7811214523034</v>
      </c>
      <c r="D5" s="3" t="n">
        <f aca="false">(Monthly!D5*Inputs!$C$8+Monthly!L5*Inputs!$C$9)/1000000</f>
        <v>74.320268</v>
      </c>
      <c r="E5" s="3" t="n">
        <f aca="false">Inputs!$C$17*Inputs!$C$18*Monthly!B5*Inputs!$C$21/1000000</f>
        <v>272.8</v>
      </c>
      <c r="F5" s="28" t="n">
        <f aca="false">E5/C5</f>
        <v>16.2563628882238</v>
      </c>
      <c r="G5" s="28" t="n">
        <f aca="false">D5*C5*(1+-0.15)-E5</f>
        <v>787.300827124374</v>
      </c>
      <c r="H5" s="28" t="n">
        <f aca="false">(D5-F5)*C5*(1+-0.15)+F5*C5-E5</f>
        <v>828.220827124375</v>
      </c>
      <c r="I5" s="28" t="n">
        <f aca="false">D5*C5*(1+0)-E5</f>
        <v>974.377443675735</v>
      </c>
      <c r="J5" s="28" t="n">
        <f aca="false">(D5-F5)*C5*(1+0)+F5*C5-E5</f>
        <v>974.377443675735</v>
      </c>
      <c r="K5" s="28" t="n">
        <f aca="false">D5*C5*(1+0.15)-E5</f>
        <v>1161.45406022709</v>
      </c>
      <c r="L5" s="28" t="n">
        <f aca="false">(D5-F5)*C5*(1+0.15)+F5*C5-E5</f>
        <v>1120.53406022709</v>
      </c>
    </row>
    <row r="6" customFormat="false" ht="15" hidden="false" customHeight="false" outlineLevel="0" collapsed="false">
      <c r="A6" s="21" t="n">
        <f aca="false">Pricing!A6</f>
        <v>2</v>
      </c>
      <c r="B6" s="17" t="n">
        <f aca="false">Pricing!C6</f>
        <v>0.33972602739726</v>
      </c>
      <c r="C6" s="19" t="n">
        <f aca="false">Inputs!$C$14*((1+Inputs!$C$13)/(1+Inputs!$C$12))^B6</f>
        <v>16.8222709855716</v>
      </c>
      <c r="D6" s="3" t="n">
        <f aca="false">(Monthly!D6*Inputs!$C$8+Monthly!L6*Inputs!$C$9)/1000000</f>
        <v>67.127984</v>
      </c>
      <c r="E6" s="3" t="n">
        <f aca="false">Inputs!$C$17*Inputs!$C$18*Monthly!B6*Inputs!$C$21/1000000</f>
        <v>246.4</v>
      </c>
      <c r="F6" s="28" t="n">
        <f aca="false">E6/C6</f>
        <v>14.6472494832199</v>
      </c>
      <c r="G6" s="28" t="n">
        <f aca="false">D6*C6*(1+-0.15)-E6</f>
        <v>713.458366928649</v>
      </c>
      <c r="H6" s="28" t="n">
        <f aca="false">(D6-F6)*C6*(1+-0.15)+F6*C6-E6</f>
        <v>750.418366928649</v>
      </c>
      <c r="I6" s="28" t="n">
        <f aca="false">D6*C6*(1+0)-E6</f>
        <v>882.845137563117</v>
      </c>
      <c r="J6" s="28" t="n">
        <f aca="false">(D6-F6)*C6*(1+0)+F6*C6-E6</f>
        <v>882.845137563117</v>
      </c>
      <c r="K6" s="28" t="n">
        <f aca="false">D6*C6*(1+0.15)-E6</f>
        <v>1052.23190819758</v>
      </c>
      <c r="L6" s="28" t="n">
        <f aca="false">(D6-F6)*C6*(1+0.15)+F6*C6-E6</f>
        <v>1015.27190819758</v>
      </c>
    </row>
    <row r="7" customFormat="false" ht="15" hidden="false" customHeight="false" outlineLevel="0" collapsed="false">
      <c r="A7" s="21" t="n">
        <f aca="false">Pricing!A7</f>
        <v>3</v>
      </c>
      <c r="B7" s="17" t="n">
        <f aca="false">Pricing!C7</f>
        <v>0.424657534246575</v>
      </c>
      <c r="C7" s="19" t="n">
        <f aca="false">Inputs!$C$14*((1+Inputs!$C$13)/(1+Inputs!$C$12))^B7</f>
        <v>16.8679471077149</v>
      </c>
      <c r="D7" s="3" t="n">
        <f aca="false">(Monthly!D7*Inputs!$C$8+Monthly!L7*Inputs!$C$9)/1000000</f>
        <v>74.320268</v>
      </c>
      <c r="E7" s="3" t="n">
        <f aca="false">Inputs!$C$17*Inputs!$C$18*Monthly!B7*Inputs!$C$21/1000000</f>
        <v>272.8</v>
      </c>
      <c r="F7" s="28" t="n">
        <f aca="false">E7/C7</f>
        <v>16.1726852863577</v>
      </c>
      <c r="G7" s="28" t="n">
        <f aca="false">D7*C7*(1+-0.15)-E7</f>
        <v>792.785797206914</v>
      </c>
      <c r="H7" s="28" t="n">
        <f aca="false">(D7-F7)*C7*(1+-0.15)+F7*C7-E7</f>
        <v>833.705797206914</v>
      </c>
      <c r="I7" s="28" t="n">
        <f aca="false">D7*C7*(1+0)-E7</f>
        <v>980.830349655194</v>
      </c>
      <c r="J7" s="28" t="n">
        <f aca="false">(D7-F7)*C7*(1+0)+F7*C7-E7</f>
        <v>980.830349655194</v>
      </c>
      <c r="K7" s="28" t="n">
        <f aca="false">D7*C7*(1+0.15)-E7</f>
        <v>1168.87490210347</v>
      </c>
      <c r="L7" s="28" t="n">
        <f aca="false">(D7-F7)*C7*(1+0.15)+F7*C7-E7</f>
        <v>1127.95490210347</v>
      </c>
    </row>
    <row r="8" customFormat="false" ht="15" hidden="false" customHeight="false" outlineLevel="0" collapsed="false">
      <c r="A8" s="21" t="n">
        <f aca="false">Pricing!A8</f>
        <v>4</v>
      </c>
      <c r="B8" s="17" t="n">
        <f aca="false">Pricing!C8</f>
        <v>0.506849315068493</v>
      </c>
      <c r="C8" s="19" t="n">
        <f aca="false">Inputs!$C$14*((1+Inputs!$C$13)/(1+Inputs!$C$12))^B8</f>
        <v>16.9122678872477</v>
      </c>
      <c r="D8" s="3" t="n">
        <f aca="false">(Monthly!D8*Inputs!$C$8+Monthly!L8*Inputs!$C$9)/1000000</f>
        <v>71.92284</v>
      </c>
      <c r="E8" s="3" t="n">
        <f aca="false">Inputs!$C$17*Inputs!$C$18*Monthly!B8*Inputs!$C$21/1000000</f>
        <v>264</v>
      </c>
      <c r="F8" s="28" t="n">
        <f aca="false">E8/C8</f>
        <v>15.6099703339647</v>
      </c>
      <c r="G8" s="28" t="n">
        <f aca="false">D8*C8*(1+-0.15)-E8</f>
        <v>769.921586697904</v>
      </c>
      <c r="H8" s="28" t="n">
        <f aca="false">(D8-F8)*C8*(1+-0.15)+F8*C8-E8</f>
        <v>809.521586697904</v>
      </c>
      <c r="I8" s="28" t="n">
        <f aca="false">D8*C8*(1+0)-E8</f>
        <v>952.378337291652</v>
      </c>
      <c r="J8" s="28" t="n">
        <f aca="false">(D8-F8)*C8*(1+0)+F8*C8-E8</f>
        <v>952.378337291652</v>
      </c>
      <c r="K8" s="28" t="n">
        <f aca="false">D8*C8*(1+0.15)-E8</f>
        <v>1134.8350878854</v>
      </c>
      <c r="L8" s="28" t="n">
        <f aca="false">(D8-F8)*C8*(1+0.15)+F8*C8-E8</f>
        <v>1095.2350878854</v>
      </c>
    </row>
    <row r="9" customFormat="false" ht="15" hidden="false" customHeight="false" outlineLevel="0" collapsed="false">
      <c r="A9" s="21" t="n">
        <f aca="false">Pricing!A9</f>
        <v>5</v>
      </c>
      <c r="B9" s="17" t="n">
        <f aca="false">Pricing!C9</f>
        <v>0.591780821917808</v>
      </c>
      <c r="C9" s="19" t="n">
        <f aca="false">Inputs!$C$14*((1+Inputs!$C$13)/(1+Inputs!$C$12))^B9</f>
        <v>16.9581883705403</v>
      </c>
      <c r="D9" s="3" t="n">
        <f aca="false">(Monthly!D9*Inputs!$C$8+Monthly!L9*Inputs!$C$9)/1000000</f>
        <v>74.320268</v>
      </c>
      <c r="E9" s="3" t="n">
        <f aca="false">Inputs!$C$17*Inputs!$C$18*Monthly!B9*Inputs!$C$21/1000000</f>
        <v>272.8</v>
      </c>
      <c r="F9" s="28" t="n">
        <f aca="false">E9/C9</f>
        <v>16.086623997756</v>
      </c>
      <c r="G9" s="28" t="n">
        <f aca="false">D9*C9*(1+-0.15)-E9</f>
        <v>798.486538819082</v>
      </c>
      <c r="H9" s="28" t="n">
        <f aca="false">(D9-F9)*C9*(1+-0.15)+F9*C9-E9</f>
        <v>839.406538819082</v>
      </c>
      <c r="I9" s="28" t="n">
        <f aca="false">D9*C9*(1+0)-E9</f>
        <v>987.537104493038</v>
      </c>
      <c r="J9" s="28" t="n">
        <f aca="false">(D9-F9)*C9*(1+0)+F9*C9-E9</f>
        <v>987.537104493038</v>
      </c>
      <c r="K9" s="28" t="n">
        <f aca="false">D9*C9*(1+0.15)-E9</f>
        <v>1176.58767016699</v>
      </c>
      <c r="L9" s="28" t="n">
        <f aca="false">(D9-F9)*C9*(1+0.15)+F9*C9-E9</f>
        <v>1135.66767016699</v>
      </c>
    </row>
    <row r="10" customFormat="false" ht="15" hidden="false" customHeight="false" outlineLevel="0" collapsed="false">
      <c r="A10" s="21" t="n">
        <f aca="false">Pricing!A10</f>
        <v>6</v>
      </c>
      <c r="B10" s="17" t="n">
        <f aca="false">Pricing!C10</f>
        <v>0.673972602739726</v>
      </c>
      <c r="C10" s="19" t="n">
        <f aca="false">Inputs!$C$14*((1+Inputs!$C$13)/(1+Inputs!$C$12))^B10</f>
        <v>17.0027462603207</v>
      </c>
      <c r="D10" s="3" t="n">
        <f aca="false">(Monthly!D10*Inputs!$C$8+Monthly!L10*Inputs!$C$9)/1000000</f>
        <v>71.92284</v>
      </c>
      <c r="E10" s="3" t="n">
        <f aca="false">Inputs!$C$17*Inputs!$C$18*Monthly!B10*Inputs!$C$21/1000000</f>
        <v>264</v>
      </c>
      <c r="F10" s="28" t="n">
        <f aca="false">E10/C10</f>
        <v>15.5269034753578</v>
      </c>
      <c r="G10" s="28" t="n">
        <f aca="false">D10*C10*(1+-0.15)-E10</f>
        <v>775.452929015394</v>
      </c>
      <c r="H10" s="28" t="n">
        <f aca="false">(D10-F10)*C10*(1+-0.15)+F10*C10-E10</f>
        <v>815.052929015395</v>
      </c>
      <c r="I10" s="28" t="n">
        <f aca="false">D10*C10*(1+0)-E10</f>
        <v>958.885798841641</v>
      </c>
      <c r="J10" s="28" t="n">
        <f aca="false">(D10-F10)*C10*(1+0)+F10*C10-E10</f>
        <v>958.885798841641</v>
      </c>
      <c r="K10" s="28" t="n">
        <f aca="false">D10*C10*(1+0.15)-E10</f>
        <v>1142.31866866789</v>
      </c>
      <c r="L10" s="28" t="n">
        <f aca="false">(D10-F10)*C10*(1+0.15)+F10*C10-E10</f>
        <v>1102.71866866789</v>
      </c>
    </row>
    <row r="11" customFormat="false" ht="15" hidden="false" customHeight="false" outlineLevel="0" collapsed="false">
      <c r="A11" s="21" t="n">
        <f aca="false">Pricing!A11</f>
        <v>7</v>
      </c>
      <c r="B11" s="17" t="n">
        <f aca="false">Pricing!C11</f>
        <v>0.758904109589041</v>
      </c>
      <c r="C11" s="19" t="n">
        <f aca="false">Inputs!$C$14*((1+Inputs!$C$13)/(1+Inputs!$C$12))^B11</f>
        <v>17.0489124120622</v>
      </c>
      <c r="D11" s="3" t="n">
        <f aca="false">(Monthly!D11*Inputs!$C$8+Monthly!L11*Inputs!$C$9)/1000000</f>
        <v>74.320268</v>
      </c>
      <c r="E11" s="3" t="n">
        <f aca="false">Inputs!$C$17*Inputs!$C$18*Monthly!B11*Inputs!$C$21/1000000</f>
        <v>272.8</v>
      </c>
      <c r="F11" s="28" t="n">
        <f aca="false">E11/C11</f>
        <v>16.0010206754886</v>
      </c>
      <c r="G11" s="28" t="n">
        <f aca="false">D11*C11*(1+-0.15)-E11</f>
        <v>804.217778637038</v>
      </c>
      <c r="H11" s="28" t="n">
        <f aca="false">(D11-F11)*C11*(1+-0.15)+F11*C11-E11</f>
        <v>845.137778637038</v>
      </c>
      <c r="I11" s="28" t="n">
        <f aca="false">D11*C11*(1+0)-E11</f>
        <v>994.279739572986</v>
      </c>
      <c r="J11" s="28" t="n">
        <f aca="false">(D11-F11)*C11*(1+0)+F11*C11-E11</f>
        <v>994.279739572986</v>
      </c>
      <c r="K11" s="28" t="n">
        <f aca="false">D11*C11*(1+0.15)-E11</f>
        <v>1184.34170050893</v>
      </c>
      <c r="L11" s="28" t="n">
        <f aca="false">(D11-F11)*C11*(1+0.15)+F11*C11-E11</f>
        <v>1143.42170050893</v>
      </c>
    </row>
    <row r="12" customFormat="false" ht="15" hidden="false" customHeight="false" outlineLevel="0" collapsed="false">
      <c r="A12" s="21" t="n">
        <f aca="false">Pricing!A12</f>
        <v>8</v>
      </c>
      <c r="B12" s="17" t="n">
        <f aca="false">Pricing!C12</f>
        <v>0.843835616438356</v>
      </c>
      <c r="C12" s="19" t="n">
        <f aca="false">Inputs!$C$14*((1+Inputs!$C$13)/(1+Inputs!$C$12))^B12</f>
        <v>17.0952039149401</v>
      </c>
      <c r="D12" s="3" t="n">
        <f aca="false">(Monthly!D12*Inputs!$C$8+Monthly!L12*Inputs!$C$9)/1000000</f>
        <v>74.320268</v>
      </c>
      <c r="E12" s="3" t="n">
        <f aca="false">Inputs!$C$17*Inputs!$C$18*Monthly!B12*Inputs!$C$21/1000000</f>
        <v>272.8</v>
      </c>
      <c r="F12" s="28" t="n">
        <f aca="false">E12/C12</f>
        <v>15.9576920730141</v>
      </c>
      <c r="G12" s="28" t="n">
        <f aca="false">D12*C12*(1+-0.15)-E12</f>
        <v>807.14211600205</v>
      </c>
      <c r="H12" s="28" t="n">
        <f aca="false">(D12-F12)*C12*(1+-0.15)+F12*C12-E12</f>
        <v>848.06211600205</v>
      </c>
      <c r="I12" s="28" t="n">
        <f aca="false">D12*C12*(1+0)-E12</f>
        <v>997.720136473</v>
      </c>
      <c r="J12" s="28" t="n">
        <f aca="false">(D12-F12)*C12*(1+0)+F12*C12-E12</f>
        <v>997.720136473</v>
      </c>
      <c r="K12" s="28" t="n">
        <f aca="false">D12*C12*(1+0.15)-E12</f>
        <v>1188.29815694395</v>
      </c>
      <c r="L12" s="28" t="n">
        <f aca="false">(D12-F12)*C12*(1+0.15)+F12*C12-E12</f>
        <v>1147.37815694395</v>
      </c>
    </row>
    <row r="13" customFormat="false" ht="15" hidden="false" customHeight="false" outlineLevel="0" collapsed="false">
      <c r="A13" s="21" t="n">
        <f aca="false">Pricing!A13</f>
        <v>9</v>
      </c>
      <c r="B13" s="17" t="n">
        <f aca="false">Pricing!C13</f>
        <v>0.926027397260274</v>
      </c>
      <c r="C13" s="19" t="n">
        <f aca="false">Inputs!$C$14*((1+Inputs!$C$13)/(1+Inputs!$C$12))^B13</f>
        <v>17.140121815082</v>
      </c>
      <c r="D13" s="3" t="n">
        <f aca="false">(Monthly!D13*Inputs!$C$8+Monthly!L13*Inputs!$C$9)/1000000</f>
        <v>71.92284</v>
      </c>
      <c r="E13" s="3" t="n">
        <f aca="false">Inputs!$C$17*Inputs!$C$18*Monthly!B13*Inputs!$C$21/1000000</f>
        <v>264</v>
      </c>
      <c r="F13" s="28" t="n">
        <f aca="false">E13/C13</f>
        <v>15.4024576282591</v>
      </c>
      <c r="G13" s="28" t="n">
        <f aca="false">D13*C13*(1+-0.15)-E13</f>
        <v>783.851303053653</v>
      </c>
      <c r="H13" s="28" t="n">
        <f aca="false">(D13-F13)*C13*(1+-0.15)+F13*C13-E13</f>
        <v>823.451303053653</v>
      </c>
      <c r="I13" s="28" t="n">
        <f aca="false">D13*C13*(1+0)-E13</f>
        <v>968.766238886651</v>
      </c>
      <c r="J13" s="28" t="n">
        <f aca="false">(D13-F13)*C13*(1+0)+F13*C13-E13</f>
        <v>968.766238886651</v>
      </c>
      <c r="K13" s="28" t="n">
        <f aca="false">D13*C13*(1+0.15)-E13</f>
        <v>1153.68117471965</v>
      </c>
      <c r="L13" s="28" t="n">
        <f aca="false">(D13-F13)*C13*(1+0.15)+F13*C13-E13</f>
        <v>1114.08117471965</v>
      </c>
    </row>
    <row r="14" customFormat="false" ht="15" hidden="false" customHeight="false" outlineLevel="0" collapsed="false">
      <c r="A14" s="21" t="n">
        <f aca="false">Pricing!A14</f>
        <v>10</v>
      </c>
      <c r="B14" s="17" t="n">
        <f aca="false">Pricing!C14</f>
        <v>1.01095890410959</v>
      </c>
      <c r="C14" s="19" t="n">
        <f aca="false">Inputs!$C$14*((1+Inputs!$C$13)/(1+Inputs!$C$12))^B14</f>
        <v>17.186660971314</v>
      </c>
      <c r="D14" s="3" t="n">
        <f aca="false">(Monthly!D14*Inputs!$C$8+Monthly!L14*Inputs!$C$9)/1000000</f>
        <v>74.320268</v>
      </c>
      <c r="E14" s="3" t="n">
        <f aca="false">Inputs!$C$17*Inputs!$C$18*Monthly!B14*Inputs!$C$21/1000000</f>
        <v>272.8</v>
      </c>
      <c r="F14" s="28" t="n">
        <f aca="false">E14/C14</f>
        <v>15.872774848781</v>
      </c>
      <c r="G14" s="28" t="n">
        <f aca="false">D14*C14*(1+-0.15)-E14</f>
        <v>812.91966200122</v>
      </c>
      <c r="H14" s="28" t="n">
        <f aca="false">(D14-F14)*C14*(1+-0.15)+F14*C14-E14</f>
        <v>853.83966200122</v>
      </c>
      <c r="I14" s="28" t="n">
        <f aca="false">D14*C14*(1+0)-E14</f>
        <v>1004.5172494132</v>
      </c>
      <c r="J14" s="28" t="n">
        <f aca="false">(D14-F14)*C14*(1+0)+F14*C14-E14</f>
        <v>1004.5172494132</v>
      </c>
      <c r="K14" s="28" t="n">
        <f aca="false">D14*C14*(1+0.15)-E14</f>
        <v>1196.11483682518</v>
      </c>
      <c r="L14" s="28" t="n">
        <f aca="false">(D14-F14)*C14*(1+0.15)+F14*C14-E14</f>
        <v>1155.19483682518</v>
      </c>
    </row>
    <row r="15" customFormat="false" ht="15" hidden="false" customHeight="false" outlineLevel="0" collapsed="false">
      <c r="A15" s="21" t="n">
        <f aca="false">Pricing!A15</f>
        <v>11</v>
      </c>
      <c r="B15" s="17" t="n">
        <f aca="false">Pricing!C15</f>
        <v>1.09315068493151</v>
      </c>
      <c r="C15" s="19" t="n">
        <f aca="false">Inputs!$C$14*((1+Inputs!$C$13)/(1+Inputs!$C$12))^B15</f>
        <v>17.2318191762189</v>
      </c>
      <c r="D15" s="3" t="n">
        <f aca="false">(Monthly!D15*Inputs!$C$8+Monthly!L15*Inputs!$C$9)/1000000</f>
        <v>71.92284</v>
      </c>
      <c r="E15" s="3" t="n">
        <f aca="false">Inputs!$C$17*Inputs!$C$18*Monthly!B15*Inputs!$C$21/1000000</f>
        <v>264</v>
      </c>
      <c r="F15" s="28" t="n">
        <f aca="false">E15/C15</f>
        <v>15.3204950272655</v>
      </c>
      <c r="G15" s="28" t="n">
        <f aca="false">D15*C15*(1+-0.15)-E15</f>
        <v>789.457167492106</v>
      </c>
      <c r="H15" s="28" t="n">
        <f aca="false">(D15-F15)*C15*(1+-0.15)+F15*C15-E15</f>
        <v>829.057167492106</v>
      </c>
      <c r="I15" s="28" t="n">
        <f aca="false">D15*C15*(1+0)-E15</f>
        <v>975.361373520124</v>
      </c>
      <c r="J15" s="28" t="n">
        <f aca="false">(D15-F15)*C15*(1+0)+F15*C15-E15</f>
        <v>975.361373520124</v>
      </c>
      <c r="K15" s="28" t="n">
        <f aca="false">D15*C15*(1+0.15)-E15</f>
        <v>1161.26557954814</v>
      </c>
      <c r="L15" s="28" t="n">
        <f aca="false">(D15-F15)*C15*(1+0.15)+F15*C15-E15</f>
        <v>1121.66557954814</v>
      </c>
    </row>
    <row r="16" customFormat="false" ht="15" hidden="false" customHeight="false" outlineLevel="0" collapsed="false">
      <c r="A16" s="21" t="n">
        <f aca="false">Pricing!A16</f>
        <v>12</v>
      </c>
      <c r="B16" s="17" t="n">
        <f aca="false">Pricing!C16</f>
        <v>1.17808219178082</v>
      </c>
      <c r="C16" s="19" t="n">
        <f aca="false">Inputs!$C$14*((1+Inputs!$C$13)/(1+Inputs!$C$12))^B16</f>
        <v>17.2786073107174</v>
      </c>
      <c r="D16" s="3" t="n">
        <f aca="false">(Monthly!D16*Inputs!$C$8+Monthly!L16*Inputs!$C$9)/1000000</f>
        <v>74.320268</v>
      </c>
      <c r="E16" s="3" t="n">
        <f aca="false">Inputs!$C$17*Inputs!$C$18*Monthly!B16*Inputs!$C$21/1000000</f>
        <v>272.8</v>
      </c>
      <c r="F16" s="28" t="n">
        <f aca="false">E16/C16</f>
        <v>15.7883095028608</v>
      </c>
      <c r="G16" s="28" t="n">
        <f aca="false">D16*C16*(1+-0.15)-E16</f>
        <v>818.728117099385</v>
      </c>
      <c r="H16" s="28" t="n">
        <f aca="false">(D16-F16)*C16*(1+-0.15)+F16*C16-E16</f>
        <v>859.648117099385</v>
      </c>
      <c r="I16" s="28" t="n">
        <f aca="false">D16*C16*(1+0)-E16</f>
        <v>1011.35072599928</v>
      </c>
      <c r="J16" s="28" t="n">
        <f aca="false">(D16-F16)*C16*(1+0)+F16*C16-E16</f>
        <v>1011.35072599928</v>
      </c>
      <c r="K16" s="28" t="n">
        <f aca="false">D16*C16*(1+0.15)-E16</f>
        <v>1203.97333489917</v>
      </c>
      <c r="L16" s="28" t="n">
        <f aca="false">(D16-F16)*C16*(1+0.15)+F16*C16-E16</f>
        <v>1163.05333489917</v>
      </c>
    </row>
    <row r="17" customFormat="false" ht="15" hidden="false" customHeight="false" outlineLevel="0" collapsed="false">
      <c r="A17" s="7" t="s">
        <v>136</v>
      </c>
      <c r="D17" s="29" t="n">
        <f aca="false">SUM(D5:D16)</f>
        <v>875.06122</v>
      </c>
      <c r="E17" s="29" t="n">
        <f aca="false">SUM(E5:E16)</f>
        <v>3212</v>
      </c>
      <c r="F17" s="29" t="n">
        <f aca="false">SUM(F5:F16)</f>
        <v>188.642545220549</v>
      </c>
      <c r="G17" s="29" t="n">
        <f aca="false">SUM(G5:G16)</f>
        <v>9453.72219007777</v>
      </c>
      <c r="H17" s="29" t="n">
        <f aca="false">SUM(H5:H16)</f>
        <v>9935.52219007777</v>
      </c>
      <c r="I17" s="29" t="n">
        <f aca="false">SUM(I5:I16)</f>
        <v>11688.8496353856</v>
      </c>
      <c r="J17" s="29" t="n">
        <f aca="false">SUM(J5:J16)</f>
        <v>11688.8496353856</v>
      </c>
      <c r="K17" s="29" t="n">
        <f aca="false">SUM(K5:K16)</f>
        <v>13923.9770806935</v>
      </c>
      <c r="L17" s="29" t="n">
        <f aca="false">SUM(L5:L16)</f>
        <v>13442.1770806935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10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162</v>
      </c>
    </row>
    <row r="2" customFormat="false" ht="15" hidden="false" customHeight="false" outlineLevel="0" collapsed="false">
      <c r="A2" s="0" t="s">
        <v>163</v>
      </c>
    </row>
    <row r="4" customFormat="false" ht="15" hidden="false" customHeight="false" outlineLevel="0" collapsed="false">
      <c r="A4" s="2" t="s">
        <v>164</v>
      </c>
      <c r="B4" s="2" t="s">
        <v>165</v>
      </c>
      <c r="C4" s="2" t="s">
        <v>166</v>
      </c>
    </row>
    <row r="5" customFormat="false" ht="15" hidden="false" customHeight="false" outlineLevel="0" collapsed="false">
      <c r="A5" s="0" t="s">
        <v>167</v>
      </c>
      <c r="B5" s="0" t="s">
        <v>168</v>
      </c>
      <c r="C5" s="0" t="s">
        <v>169</v>
      </c>
    </row>
    <row r="6" customFormat="false" ht="15" hidden="false" customHeight="false" outlineLevel="0" collapsed="false">
      <c r="A6" s="0" t="s">
        <v>170</v>
      </c>
      <c r="B6" s="0" t="s">
        <v>171</v>
      </c>
      <c r="C6" s="0" t="s">
        <v>172</v>
      </c>
    </row>
    <row r="7" customFormat="false" ht="15" hidden="false" customHeight="false" outlineLevel="0" collapsed="false">
      <c r="A7" s="0" t="s">
        <v>173</v>
      </c>
      <c r="B7" s="0" t="s">
        <v>174</v>
      </c>
      <c r="C7" s="0" t="s">
        <v>175</v>
      </c>
    </row>
    <row r="8" customFormat="false" ht="15" hidden="false" customHeight="false" outlineLevel="0" collapsed="false">
      <c r="A8" s="0" t="s">
        <v>176</v>
      </c>
      <c r="B8" s="0" t="s">
        <v>177</v>
      </c>
      <c r="C8" s="0" t="s">
        <v>178</v>
      </c>
    </row>
    <row r="9" customFormat="false" ht="15" hidden="false" customHeight="false" outlineLevel="0" collapsed="false">
      <c r="A9" s="0" t="s">
        <v>179</v>
      </c>
      <c r="B9" s="0" t="s">
        <v>180</v>
      </c>
      <c r="C9" s="0" t="s">
        <v>181</v>
      </c>
    </row>
    <row r="10" customFormat="false" ht="15" hidden="false" customHeight="false" outlineLevel="0" collapsed="false">
      <c r="A10" s="0" t="s">
        <v>182</v>
      </c>
      <c r="B10" s="0" t="s">
        <v>183</v>
      </c>
      <c r="C10" s="0" t="s">
        <v>184</v>
      </c>
    </row>
    <row r="11" customFormat="false" ht="15" hidden="false" customHeight="false" outlineLevel="0" collapsed="false">
      <c r="A11" s="0" t="s">
        <v>185</v>
      </c>
      <c r="B11" s="0" t="s">
        <v>186</v>
      </c>
      <c r="C11" s="0" t="s">
        <v>187</v>
      </c>
    </row>
    <row r="12" customFormat="false" ht="15" hidden="false" customHeight="false" outlineLevel="0" collapsed="false">
      <c r="A12" s="0" t="s">
        <v>188</v>
      </c>
      <c r="B12" s="0" t="s">
        <v>189</v>
      </c>
      <c r="C12" s="0" t="s">
        <v>190</v>
      </c>
    </row>
    <row r="13" customFormat="false" ht="15" hidden="false" customHeight="false" outlineLevel="0" collapsed="false">
      <c r="A13" s="0" t="s">
        <v>191</v>
      </c>
      <c r="B13" s="0" t="s">
        <v>192</v>
      </c>
      <c r="C13" s="0" t="s">
        <v>193</v>
      </c>
    </row>
    <row r="14" customFormat="false" ht="15" hidden="false" customHeight="false" outlineLevel="0" collapsed="false">
      <c r="A14" s="0" t="s">
        <v>194</v>
      </c>
      <c r="B14" s="0" t="s">
        <v>195</v>
      </c>
      <c r="C14" s="0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2026-10-27T19:22:04Z</dcterms:created>
  <dc:creator>openpyxl</dc:creator>
  <dc:description/>
  <dc:language>en-GB</dc:language>
  <cp:lastModifiedBy/>
  <dcterms:modified xsi:type="dcterms:W3CDTF">2026-10-27T19:22:04Z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