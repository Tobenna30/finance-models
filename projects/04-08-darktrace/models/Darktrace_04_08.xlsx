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History" sheetId="3" state="visible" r:id="rId5"/>
    <sheet name="Offer" sheetId="4" state="visible" r:id="rId6"/>
    <sheet name="DCF" sheetId="5" state="visible" r:id="rId7"/>
    <sheet name="Comps" sheetId="6" state="visible" r:id="rId8"/>
    <sheet name="Precedents" sheetId="7" state="visible" r:id="rId9"/>
    <sheet name="Football field" sheetId="8" state="visible" r:id="rId10"/>
    <sheet name="Rival bid" sheetId="9" state="visible" r:id="rId11"/>
    <sheet name="LBO" sheetId="10" state="visible" r:id="rId12"/>
    <sheet name="Downside" sheetId="11" state="visible" r:id="rId13"/>
    <sheet name="LBO grid" sheetId="12" state="visible" r:id="rId14"/>
    <sheet name="Ability to pay" sheetId="13" state="visible" r:id="rId15"/>
    <sheet name="Sourc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<sst xmlns="http://schemas.openxmlformats.org/spreadsheetml/2006/main" count="1172" uniqueCount="583">
  <si>
    <t xml:space="preserve">Darktrace plc / Thoma Bravo take-private (2024)</t>
  </si>
  <si>
    <t xml:space="preserve">Project 04: sell-side fairness view. Project 08: LBO and IC case. Retrospective analysis: April market inputs, July FY24 update; not an April information set.</t>
  </si>
  <si>
    <t xml:space="preserve">Tobenna Agubuche | github.com/Tobenna30/finance-models | Not investment advice</t>
  </si>
  <si>
    <t xml:space="preserve">Offer price (p)</t>
  </si>
  <si>
    <t xml:space="preserve">Premium to undisturbed close</t>
  </si>
  <si>
    <t xml:space="preserve">Premium to 3-month VWAP</t>
  </si>
  <si>
    <t xml:space="preserve">Offer EV / LTM revenue</t>
  </si>
  <si>
    <t xml:space="preserve">Offer EV / NTM revenue</t>
  </si>
  <si>
    <t xml:space="preserve">DCF value per share (p)</t>
  </si>
  <si>
    <t xml:space="preserve">Peer median EV/NTM value (p)</t>
  </si>
  <si>
    <t xml:space="preserve">Precedent median EV/LTM value (p)</t>
  </si>
  <si>
    <t xml:space="preserve">Precedent median premium value (p)</t>
  </si>
  <si>
    <t xml:space="preserve">LBO ability to pay at 20% IRR (p)</t>
  </si>
  <si>
    <t xml:space="preserve">Strategic maximum (p)</t>
  </si>
  <si>
    <t xml:space="preserve">LBO base IRR</t>
  </si>
  <si>
    <t xml:space="preserve">LBO base MOIC</t>
  </si>
  <si>
    <t xml:space="preserve">LBO downside IRR</t>
  </si>
  <si>
    <t xml:space="preserve">LBO downside MOIC</t>
  </si>
  <si>
    <t xml:space="preserve">Sponsor equity cheque ($m)</t>
  </si>
  <si>
    <t xml:space="preserve">Debt / LTM EBITDA at close</t>
  </si>
  <si>
    <t xml:space="preserve">Base liquidity low point ($m)</t>
  </si>
  <si>
    <t xml:space="preserve">Base shortfall to operating cash minimum ($m)</t>
  </si>
  <si>
    <t xml:space="preserve">Downside liquidity low point ($m)</t>
  </si>
  <si>
    <t xml:space="preserve">Downside shortfall to operating cash minimum ($m)</t>
  </si>
  <si>
    <t xml:space="preserve">Bridge check (should be 0)</t>
  </si>
  <si>
    <t xml:space="preserve">Inputs</t>
  </si>
  <si>
    <t xml:space="preserve">Blue = hard-coded input. Tag: S = sourced, A = assumption, D = derived. $m unless stated. Series columns F onwards = FY25 onwards.</t>
  </si>
  <si>
    <t xml:space="preserve">Input</t>
  </si>
  <si>
    <t xml:space="preserve">Unit</t>
  </si>
  <si>
    <t xml:space="preserve">Value</t>
  </si>
  <si>
    <t xml:space="preserve">Tag</t>
  </si>
  <si>
    <t xml:space="preserve">Source / note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</si>
  <si>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</si>
  <si>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</si>
  <si>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</si>
  <si>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</si>
  <si>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</si>
  <si>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</si>
  <si>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</si>
  <si>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Offer terms (Rule 2.7 announcement, 26 Apr 2024)</t>
  </si>
  <si>
    <t xml:space="preserve">Offer price per share</t>
  </si>
  <si>
    <t xml:space="preserve">$</t>
  </si>
  <si>
    <t xml:space="preserve">S</t>
  </si>
  <si>
    <t xml:space="preserve">R27: Rule 2.7 announcement, Recommended Cash Acquisition of Darktrace plc, 26 Apr 2024</t>
  </si>
  <si>
    <t xml:space="preserve">Offer price, GBP equivalent at announcement</t>
  </si>
  <si>
    <t xml:space="preserve">p</t>
  </si>
  <si>
    <t xml:space="preserve">Equity value, fully diluted</t>
  </si>
  <si>
    <t xml:space="preserve">$m</t>
  </si>
  <si>
    <t xml:space="preserve">Enterprise value</t>
  </si>
  <si>
    <t xml:space="preserve">LTM revenue (12m to 31 Dec 2023)</t>
  </si>
  <si>
    <t xml:space="preserve">LTM adjusted EBITDA (12m to 31 Dec 2023)</t>
  </si>
  <si>
    <t xml:space="preserve">Stated EV / LTM revenue</t>
  </si>
  <si>
    <t xml:space="preserve">x</t>
  </si>
  <si>
    <t xml:space="preserve">Stated EV / LTM adjusted EBITDA</t>
  </si>
  <si>
    <t xml:space="preserve">Undisturbed close, 25 Apr 2024</t>
  </si>
  <si>
    <t xml:space="preserve">3-month VWAP to 25 Apr 2024</t>
  </si>
  <si>
    <t xml:space="preserve">12-month high close</t>
  </si>
  <si>
    <t xml:space="preserve">Secondary placing price, 21 Mar 2024</t>
  </si>
  <si>
    <t xml:space="preserve">IPO price, 30 Apr 2021</t>
  </si>
  <si>
    <t xml:space="preserve">Stated premium to undisturbed close</t>
  </si>
  <si>
    <t xml:space="preserve">%</t>
  </si>
  <si>
    <t xml:space="preserve">Stated premium to 3-month VWAP</t>
  </si>
  <si>
    <t xml:space="preserve">Irrevocable undertakings (binding if a higher offer is made)</t>
  </si>
  <si>
    <t xml:space="preserve">% ISC</t>
  </si>
  <si>
    <t xml:space="preserve">SCH: Scheme document, 23 May 2024, pp. 15, 19, 28 and 87 (offer, undertakings, interim financing)</t>
  </si>
  <si>
    <t xml:space="preserve">Court Meeting: Scheme Shares voted in favour</t>
  </si>
  <si>
    <t xml:space="preserve">VOTE: Results of Court Meeting and General Meeting, 18 Jun 2024</t>
  </si>
  <si>
    <t xml:space="preserve">Court Meeting: Scheme Shares voted / issued capital</t>
  </si>
  <si>
    <t xml:space="preserve">Cash and equivalents, 31 Dec 2023</t>
  </si>
  <si>
    <t xml:space="preserve">H124: Darktrace half-year results to 31 Dec 2023, 7 Mar 2024</t>
  </si>
  <si>
    <t xml:space="preserve">Lease liabilities, 31 Dec 2023</t>
  </si>
  <si>
    <t xml:space="preserve">History (FY to 30 June)</t>
  </si>
  <si>
    <t xml:space="preserve">Revenue FY22 (FY23 less reported $129.9m increase)</t>
  </si>
  <si>
    <t xml:space="preserve">D</t>
  </si>
  <si>
    <t xml:space="preserve">FY23: Darktrace FY 2023 final results, 6 Sep 2023</t>
  </si>
  <si>
    <t xml:space="preserve">Revenue FY23</t>
  </si>
  <si>
    <t xml:space="preserve">Revenue FY24 ('at least', unaudited)</t>
  </si>
  <si>
    <t xml:space="preserve">Q424: Darktrace Q4 FY 2024 trading update, 18 Jul 2024</t>
  </si>
  <si>
    <t xml:space="preserve">ARR FY23, constant currency</t>
  </si>
  <si>
    <t xml:space="preserve">ARR FY24, constant currency</t>
  </si>
  <si>
    <t xml:space="preserve">Net ARR retention FY24</t>
  </si>
  <si>
    <t xml:space="preserve">Gross ARR churn FY24</t>
  </si>
  <si>
    <t xml:space="preserve">Revenue H1 FY24</t>
  </si>
  <si>
    <t xml:space="preserve">Revenue H1 FY23</t>
  </si>
  <si>
    <t xml:space="preserve">Adjusted EBITDA H1 FY24</t>
  </si>
  <si>
    <t xml:space="preserve">Adjusted EBITDA H1 FY23 (restated definition)</t>
  </si>
  <si>
    <t xml:space="preserve">Adjusted EBIT H1 FY24</t>
  </si>
  <si>
    <t xml:space="preserve">Share-based payment charge H1 FY24</t>
  </si>
  <si>
    <t xml:space="preserve">Capex H1 FY24 (PPE $7.0m + capitalised development $1.0m)</t>
  </si>
  <si>
    <t xml:space="preserve">FY24 adjusted EBITDA margin</t>
  </si>
  <si>
    <t xml:space="preserve">A</t>
  </si>
  <si>
    <t xml:space="preserve">Guide was at least 21% (H124); H1 delivered 25.6%</t>
  </si>
  <si>
    <t xml:space="preserve">UK corporation tax rate</t>
  </si>
  <si>
    <t xml:space="preserve">UKTAX: UK corporation tax main rate 25% from 1 Apr 2023; corporate interest restriction 30% of tax-EBITDA</t>
  </si>
  <si>
    <t xml:space="preserve">Corporate interest restriction: cap as % of tax-EBITDA</t>
  </si>
  <si>
    <t xml:space="preserve">Working capital inflow, % of revenue increase</t>
  </si>
  <si>
    <t xml:space="preserve">Deferred revenue builds with billings</t>
  </si>
  <si>
    <t xml:space="preserve">Project 04: standalone DCF (valuation at 1 Jul 2024, mid-year discounting)</t>
  </si>
  <si>
    <t xml:space="preserve">Revenue growth</t>
  </si>
  <si>
    <t xml:space="preserve">FY24 +26%, ARR +22.7%; net ARR added flat y/y, so growth fades</t>
  </si>
  <si>
    <t xml:space="preserve">Adjusted EBITDA margin</t>
  </si>
  <si>
    <t xml:space="preserve">Steady-state adj EBIT target 'mid-20%s' (FY23) plus D&amp;A of c.4%</t>
  </si>
  <si>
    <t xml:space="preserve">Share-based payments, % revenue (treated as a cost)</t>
  </si>
  <si>
    <t xml:space="preserve">H1 FY24 6.9% of revenue</t>
  </si>
  <si>
    <t xml:space="preserve">Risk-free rate: US 10-year, Apr 2024 average</t>
  </si>
  <si>
    <t xml:space="preserve">UST: US 10-year Treasury yield, monthly average, via Alpha Vantage TREASURY_YIELD (Federal Reserve H.15)</t>
  </si>
  <si>
    <t xml:space="preserve">Equity beta</t>
  </si>
  <si>
    <t xml:space="preserve">No debt; listed cyber peers trade above market beta</t>
  </si>
  <si>
    <t xml:space="preserve">Equity risk premium</t>
  </si>
  <si>
    <t xml:space="preserve">Terminal growth</t>
  </si>
  <si>
    <t xml:space="preserve">Deduct SBP in free cash flow (1 = yes, 0 = no)</t>
  </si>
  <si>
    <t xml:space="preserve">1/0</t>
  </si>
  <si>
    <t xml:space="preserve">Set 0 to see the value with SBP added back</t>
  </si>
  <si>
    <t xml:space="preserve">Project 04: rival bid screen</t>
  </si>
  <si>
    <t xml:space="preserve">Strategic cost synergies, % FY25E revenue</t>
  </si>
  <si>
    <t xml:space="preserve">Sales and G&amp;A overlap</t>
  </si>
  <si>
    <t xml:space="preserve">Multiple on after-tax synergies</t>
  </si>
  <si>
    <t xml:space="preserve">One-off integration cost, x run-rate synergies</t>
  </si>
  <si>
    <t xml:space="preserve">Share of synergy value paid away to win</t>
  </si>
  <si>
    <t xml:space="preserve">Rival sponsor IRR hurdle</t>
  </si>
  <si>
    <t xml:space="preserve">Project 08: debt financing at close</t>
  </si>
  <si>
    <t xml:space="preserve">First-lien term loan</t>
  </si>
  <si>
    <t xml:space="preserve">PB: PitchBook LCD, Darktrace wraps loan package backing Thoma Bravo's buyout, 2024 (interim facility at announcement: $1,685m)</t>
  </si>
  <si>
    <t xml:space="preserve">First-lien margin over SOFR</t>
  </si>
  <si>
    <t xml:space="preserve">PB: PitchBook LCD, Darktrace wraps loan package backing Thoma Bravo's buyout, 2024</t>
  </si>
  <si>
    <t xml:space="preserve">First-lien OID (price)</t>
  </si>
  <si>
    <t xml:space="preserve">price</t>
  </si>
  <si>
    <t xml:space="preserve">First-lien tenor</t>
  </si>
  <si>
    <t xml:space="preserve">years</t>
  </si>
  <si>
    <t xml:space="preserve">First-lien amortisation, % of original face p.a.</t>
  </si>
  <si>
    <t xml:space="preserve">Market norm for a US term loan B</t>
  </si>
  <si>
    <t xml:space="preserve">Second-lien term loan</t>
  </si>
  <si>
    <t xml:space="preserve">PB: PitchBook LCD, Darktrace wraps loan package backing Thoma Bravo's buyout, 2024 (interim: $460m)</t>
  </si>
  <si>
    <t xml:space="preserve">Second-lien margin over SOFR</t>
  </si>
  <si>
    <t xml:space="preserve">Second-lien OID (price)</t>
  </si>
  <si>
    <t xml:space="preserve">Second-lien tenor</t>
  </si>
  <si>
    <t xml:space="preserve">SOFR path FY25-FY29</t>
  </si>
  <si>
    <t xml:space="preserve">From c.4.85% at close, easing</t>
  </si>
  <si>
    <t xml:space="preserve">Financing fees, % of debt</t>
  </si>
  <si>
    <t xml:space="preserve">Advisory and other deal fees, % of EV</t>
  </si>
  <si>
    <t xml:space="preserve">Target cash at close (31 Dec 2023 balance as proxy)</t>
  </si>
  <si>
    <t xml:space="preserve">Last published balance</t>
  </si>
  <si>
    <t xml:space="preserve">Minimum operating cash</t>
  </si>
  <si>
    <t xml:space="preserve">Excess cash swept to first-lien</t>
  </si>
  <si>
    <t xml:space="preserve">Annual lease cash payments</t>
  </si>
  <si>
    <t xml:space="preserve">Leases $60m at Dec 2023</t>
  </si>
  <si>
    <t xml:space="preserve">Management incentive plan, % of exit equity</t>
  </si>
  <si>
    <t xml:space="preserve">Lease liabilities deducted at exit (held flat)</t>
  </si>
  <si>
    <t xml:space="preserve">Same treatment as the entry EV bridge</t>
  </si>
  <si>
    <t xml:space="preserve">FY25 months under sponsor ownership / 12</t>
  </si>
  <si>
    <t xml:space="preserve">Effective 1 Oct 2024 (EFF)</t>
  </si>
  <si>
    <t xml:space="preserve">Holding period to 30 Jun 2029</t>
  </si>
  <si>
    <t xml:space="preserve">Project 08: Base operating case (FY25-FY29)</t>
  </si>
  <si>
    <t xml:space="preserve">Sponsor cost programme</t>
  </si>
  <si>
    <t xml:space="preserve">Exit EV / LTM EBITDA</t>
  </si>
  <si>
    <t xml:space="preserve">Project 08: Downside operating case (FY25-FY29)</t>
  </si>
  <si>
    <t xml:space="preserve">Limited cost take-out, slower growth</t>
  </si>
  <si>
    <t xml:space="preserve">Derived</t>
  </si>
  <si>
    <t xml:space="preserve">Implied USD per GBP ($7.75 / 620p)</t>
  </si>
  <si>
    <t xml:space="preserve">$/GBP</t>
  </si>
  <si>
    <t xml:space="preserve">Fully diluted shares (equity value / offer price)</t>
  </si>
  <si>
    <t xml:space="preserve">m</t>
  </si>
  <si>
    <t xml:space="preserve">Net cash in EV bridge (equity value less EV)</t>
  </si>
  <si>
    <t xml:space="preserve">Equals cash $383.2m less leases $60.2m at 31 Dec 2023</t>
  </si>
  <si>
    <t xml:space="preserve">Capex, % revenue (H1 FY24)</t>
  </si>
  <si>
    <t xml:space="preserve">D&amp;A below adjusted EBITDA, % revenue (H1 FY24)</t>
  </si>
  <si>
    <t xml:space="preserve">Cost of equity = WACC (no debt)</t>
  </si>
  <si>
    <t xml:space="preserve">NTM weight on FY24 at 25 Apr 2024</t>
  </si>
  <si>
    <t xml:space="preserve">May-Jun 2024 = 2 of 12 months</t>
  </si>
  <si>
    <t xml:space="preserve">Darktrace history (FY to 30 June) and LTM bridge</t>
  </si>
  <si>
    <t xml:space="preserve">FY22</t>
  </si>
  <si>
    <t xml:space="preserve">FY23</t>
  </si>
  <si>
    <t xml:space="preserve">FY24</t>
  </si>
  <si>
    <t xml:space="preserve">Revenue</t>
  </si>
  <si>
    <t xml:space="preserve">Growth</t>
  </si>
  <si>
    <t xml:space="preserve">ARR (constant currency)</t>
  </si>
  <si>
    <t xml:space="preserve">ARR growth</t>
  </si>
  <si>
    <t xml:space="preserve">Adjusted EBITDA (FY23 derived on the new definition; FY24 assumed margin)</t>
  </si>
  <si>
    <t xml:space="preserve">Margin</t>
  </si>
  <si>
    <t xml:space="preserve">LTM to 31 Dec 2023</t>
  </si>
  <si>
    <t xml:space="preserve">Revenue: FY23 + H1 FY24 - H1 FY23</t>
  </si>
  <si>
    <t xml:space="preserve">Stated in the Rule 2.7 announcement</t>
  </si>
  <si>
    <t xml:space="preserve">SBP as % revenue, H1 FY24</t>
  </si>
  <si>
    <t xml:space="preserve">Adjusted EBITDA margin, H1 FY24</t>
  </si>
  <si>
    <t xml:space="preserve">Net ARR retention FY24 / gross churn FY24</t>
  </si>
  <si>
    <t xml:space="preserve">Offer analysis: what Thoma Bravo paid</t>
  </si>
  <si>
    <t xml:space="preserve">All figures recomputed from inputs and checked against the stated numbers</t>
  </si>
  <si>
    <t xml:space="preserve">Offer price ($)</t>
  </si>
  <si>
    <t xml:space="preserve">Implied FX ($ per GBP)</t>
  </si>
  <si>
    <t xml:space="preserve">Fully diluted shares (m)</t>
  </si>
  <si>
    <t xml:space="preserve">Equity value ($m)</t>
  </si>
  <si>
    <t xml:space="preserve">Net cash ($m)</t>
  </si>
  <si>
    <t xml:space="preserve">Enterprise value ($m)</t>
  </si>
  <si>
    <t xml:space="preserve">EV / LTM revenue</t>
  </si>
  <si>
    <t xml:space="preserve">EV / LTM adjusted EBITDA</t>
  </si>
  <si>
    <t xml:space="preserve">Stated EV / LTM EBITDA</t>
  </si>
  <si>
    <t xml:space="preserve">EV / FY24 ARR</t>
  </si>
  <si>
    <t xml:space="preserve">Premium to undisturbed close (517p)</t>
  </si>
  <si>
    <t xml:space="preserve">Stated premium to close</t>
  </si>
  <si>
    <t xml:space="preserve">Premium to 3-month VWAP (429.9p)</t>
  </si>
  <si>
    <t xml:space="preserve">Stated premium to VWAP</t>
  </si>
  <si>
    <t xml:space="preserve">Premium to 12-month high (518.6p)</t>
  </si>
  <si>
    <t xml:space="preserve">Premium to March 2024 placing (425p)</t>
  </si>
  <si>
    <t xml:space="preserve">Multiple of IPO price (250p)</t>
  </si>
  <si>
    <t xml:space="preserve">Run-up: undisturbed close vs 3-month VWAP</t>
  </si>
  <si>
    <t xml:space="preserve">Irrevocables (% of issued capital)</t>
  </si>
  <si>
    <t xml:space="preserve">Court Meeting: % of Scheme Shares voted in favour</t>
  </si>
  <si>
    <t xml:space="preserve">Court Meeting: turnout (% of issued capital)</t>
  </si>
  <si>
    <t xml:space="preserve">Timetable</t>
  </si>
  <si>
    <t xml:space="preserve">Announcement (Rule 2.7)</t>
  </si>
  <si>
    <t xml:space="preserve">26 Apr 2024</t>
  </si>
  <si>
    <t xml:space="preserve">Scheme Document</t>
  </si>
  <si>
    <t xml:space="preserve">23 May 2024</t>
  </si>
  <si>
    <t xml:space="preserve">Court Meeting and General Meeting</t>
  </si>
  <si>
    <t xml:space="preserve">18 Jun 2024</t>
  </si>
  <si>
    <t xml:space="preserve">Regulatory conditions satisfied</t>
  </si>
  <si>
    <t xml:space="preserve">16 Sep 2024</t>
  </si>
  <si>
    <t xml:space="preserve">Court sanction</t>
  </si>
  <si>
    <t xml:space="preserve">24 Sep 2024</t>
  </si>
  <si>
    <t xml:space="preserve">Effective; delisted next day</t>
  </si>
  <si>
    <t xml:space="preserve">1 Oct 2024</t>
  </si>
  <si>
    <t xml:space="preserve">Long stop date</t>
  </si>
  <si>
    <t xml:space="preserve">27 Jan 2025</t>
  </si>
  <si>
    <t xml:space="preserve">Rule 3 advisers to the board</t>
  </si>
  <si>
    <t xml:space="preserve">Jefferies and Qatalyst Partners</t>
  </si>
  <si>
    <t xml:space="preserve">Bidco financial adviser</t>
  </si>
  <si>
    <t xml:space="preserve">Goldman Sachs International</t>
  </si>
  <si>
    <t xml:space="preserve">Standalone DCF (public-company case, before any bid)</t>
  </si>
  <si>
    <t xml:space="preserve">$m. Mid-year discounting from 1 Jul 2024. SBP is treated as a cost.</t>
  </si>
  <si>
    <t xml:space="preserve">FY24A</t>
  </si>
  <si>
    <t xml:space="preserve">FY25E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</si>
  <si>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</si>
  <si>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</si>
  <si>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</si>
  <si>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</si>
  <si>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</si>
  <si>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</si>
  <si>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Adjusted EBITDA</t>
  </si>
  <si>
    <t xml:space="preserve">Share-based payments</t>
  </si>
  <si>
    <t xml:space="preserve">D&amp;A</t>
  </si>
  <si>
    <t xml:space="preserve">EBIT after SBP</t>
  </si>
  <si>
    <t xml:space="preserve">Tax</t>
  </si>
  <si>
    <t xml:space="preserve">Capex</t>
  </si>
  <si>
    <t xml:space="preserve">Working capital inflow</t>
  </si>
  <si>
    <t xml:space="preserve">Unlevered free cash flow</t>
  </si>
  <si>
    <t xml:space="preserve">Discount period (mid-year)</t>
  </si>
  <si>
    <t xml:space="preserve">Discount factor</t>
  </si>
  <si>
    <t xml:space="preserve">PV of UFCF</t>
  </si>
  <si>
    <t xml:space="preserve">WACC</t>
  </si>
  <si>
    <t xml:space="preserve">Sum of PV of UFCF</t>
  </si>
  <si>
    <t xml:space="preserve">Terminal value (Gordon growth)</t>
  </si>
  <si>
    <t xml:space="preserve">PV of terminal value</t>
  </si>
  <si>
    <t xml:space="preserve">Net cash</t>
  </si>
  <si>
    <t xml:space="preserve">Equity value</t>
  </si>
  <si>
    <t xml:space="preserve">Value per share ($)</t>
  </si>
  <si>
    <t xml:space="preserve">Value per share (p)</t>
  </si>
  <si>
    <t xml:space="preserve">vs offer 620p</t>
  </si>
  <si>
    <t xml:space="preserve">vs undisturbed 517p</t>
  </si>
  <si>
    <t xml:space="preserve">Terminal value as % of EV</t>
  </si>
  <si>
    <t xml:space="preserve">Implied terminal EV / EBITDA</t>
  </si>
  <si>
    <t xml:space="preserve">Offer EV / FY25E EBITDA</t>
  </si>
  <si>
    <t xml:space="preserve">Value per share (p): WACC (rows) x terminal growth (columns)</t>
  </si>
  <si>
    <t xml:space="preserve">Listed cybersecurity peers at the undisturbed date</t>
  </si>
  <si>
    <t xml:space="preserve">Prices: week ending 19 Apr 2024 (PX). Balance sheets and guidance: latest release before 25 Apr 2024. NTM = next-FY guidance midpoint.</t>
  </si>
  <si>
    <t xml:space="preserve">Company</t>
  </si>
  <si>
    <t xml:space="preserve">Ticker</t>
  </si>
  <si>
    <t xml:space="preserve">Price $</t>
  </si>
  <si>
    <t xml:space="preserve">Diluted shares m</t>
  </si>
  <si>
    <t xml:space="preserve">Cash &amp; inv. $m</t>
  </si>
  <si>
    <t xml:space="preserve">Debt $m</t>
  </si>
  <si>
    <t xml:space="preserve">NTM revenue $m</t>
  </si>
  <si>
    <t xml:space="preserve">Last FY revenue $m</t>
  </si>
  <si>
    <t xml:space="preserve">Guide year</t>
  </si>
  <si>
    <t xml:space="preserve">Market cap $m</t>
  </si>
  <si>
    <t xml:space="preserve">EV $m</t>
  </si>
  <si>
    <t xml:space="preserve">EV / NTM revenue</t>
  </si>
  <si>
    <t xml:space="preserve">NTM growth</t>
  </si>
  <si>
    <t xml:space="preserve">Source</t>
  </si>
  <si>
    <t xml:space="preserve">CrowdStrike</t>
  </si>
  <si>
    <t xml:space="preserve">CRWD</t>
  </si>
  <si>
    <t xml:space="preserve">FY Jan-25</t>
  </si>
  <si>
    <t xml:space="preserve">CRWD: CrowdStrike Q4 FY2024 results (8-K), 5 Mar 2024</t>
  </si>
  <si>
    <t xml:space="preserve">Palo Alto Networks</t>
  </si>
  <si>
    <t xml:space="preserve">PANW</t>
  </si>
  <si>
    <t xml:space="preserve">FY Jul-24</t>
  </si>
  <si>
    <t xml:space="preserve">PANW: Palo Alto Networks Q2 FY2024 results (8-K), 20 Feb 2024</t>
  </si>
  <si>
    <t xml:space="preserve">Fortinet</t>
  </si>
  <si>
    <t xml:space="preserve">FTNT</t>
  </si>
  <si>
    <t xml:space="preserve">FY Dec-24</t>
  </si>
  <si>
    <t xml:space="preserve">FTNT: Fortinet Q4 2023 results (8-K), 6 Feb 2024</t>
  </si>
  <si>
    <t xml:space="preserve">Zscaler</t>
  </si>
  <si>
    <t xml:space="preserve">ZS</t>
  </si>
  <si>
    <t xml:space="preserve">ZS: Zscaler Q2 FY2024 results (8-K), 29 Feb 2024</t>
  </si>
  <si>
    <t xml:space="preserve">SentinelOne</t>
  </si>
  <si>
    <t xml:space="preserve">S: SentinelOne Q4 FY2024 results (8-K), 13 Mar 2024</t>
  </si>
  <si>
    <t xml:space="preserve">Rapid7</t>
  </si>
  <si>
    <t xml:space="preserve">RPD</t>
  </si>
  <si>
    <t xml:space="preserve">RPD: Rapid7 Q4 2023 results (8-K), 7 Feb 2024</t>
  </si>
  <si>
    <t xml:space="preserve">Tenable</t>
  </si>
  <si>
    <t xml:space="preserve">TENB</t>
  </si>
  <si>
    <t xml:space="preserve">TENB: Tenable Q4 2023 results (8-K), 7 Feb 2024</t>
  </si>
  <si>
    <t xml:space="preserve">25th percentile</t>
  </si>
  <si>
    <t xml:space="preserve">Median</t>
  </si>
  <si>
    <t xml:space="preserve">75th percentile</t>
  </si>
  <si>
    <t xml:space="preserve">Regression slope (multiple per unit of growth)</t>
  </si>
  <si>
    <t xml:space="preserve">Regression intercept</t>
  </si>
  <si>
    <t xml:space="preserve">R-squared</t>
  </si>
  <si>
    <t xml:space="preserve">Applied to Darktrace</t>
  </si>
  <si>
    <t xml:space="preserve">Darktrace FY25E revenue (DCF case)</t>
  </si>
  <si>
    <t xml:space="preserve">Darktrace NTM revenue at 25 Apr 2024</t>
  </si>
  <si>
    <t xml:space="preserve">Darktrace NTM growth (FY25E)</t>
  </si>
  <si>
    <t xml:space="preserve">Regression-implied multiple</t>
  </si>
  <si>
    <t xml:space="preserve">Value per share at 25th pct (p)</t>
  </si>
  <si>
    <t xml:space="preserve">Value per share at median (p)</t>
  </si>
  <si>
    <t xml:space="preserve">Value per share at 75th pct (p)</t>
  </si>
  <si>
    <t xml:space="preserve">Regression value, multiple -1x (p)</t>
  </si>
  <si>
    <t xml:space="preserve">Regression value, multiple +1x (p)</t>
  </si>
  <si>
    <t xml:space="preserve">Precedent cybersecurity take-privates</t>
  </si>
  <si>
    <t xml:space="preserve">EV / last full fiscal-year revenue before announcement. Premium on the basis stated by each party.</t>
  </si>
  <si>
    <t xml:space="preserve">Target</t>
  </si>
  <si>
    <t xml:space="preserve">Buyer</t>
  </si>
  <si>
    <t xml:space="preserve">Announced</t>
  </si>
  <si>
    <t xml:space="preserve">EV / revenue</t>
  </si>
  <si>
    <t xml:space="preserve">Premium</t>
  </si>
  <si>
    <t xml:space="preserve">Premium basis</t>
  </si>
  <si>
    <t xml:space="preserve">Deal source</t>
  </si>
  <si>
    <t xml:space="preserve">Revenue source</t>
  </si>
  <si>
    <t xml:space="preserve">Sophos</t>
  </si>
  <si>
    <t xml:space="preserve">Thoma Bravo</t>
  </si>
  <si>
    <t xml:space="preserve">Oct 2019</t>
  </si>
  <si>
    <t xml:space="preserve">to close 11 Oct 2019</t>
  </si>
  <si>
    <t xml:space="preserve">SOPH: Thoma Bravo, Recommended cash offer for Sophos Group plc, 14 Oct 2019</t>
  </si>
  <si>
    <t xml:space="preserve">Proofpoint</t>
  </si>
  <si>
    <t xml:space="preserve">Apr 2021</t>
  </si>
  <si>
    <t xml:space="preserve">to close 23 Apr 2021</t>
  </si>
  <si>
    <t xml:space="preserve">PFPT: Help Net Security, Thoma Bravo to acquire Proofpoint, 27 Apr 2021</t>
  </si>
  <si>
    <t xml:space="preserve">PFPT20: Proofpoint Q4 and FY2020 results, Feb 2021</t>
  </si>
  <si>
    <t xml:space="preserve">Mimecast</t>
  </si>
  <si>
    <t xml:space="preserve">Permira</t>
  </si>
  <si>
    <t xml:space="preserve">Dec 2021</t>
  </si>
  <si>
    <t xml:space="preserve">to unaffected close 27 Oct 2021</t>
  </si>
  <si>
    <t xml:space="preserve">MIME: Mimecast / Permira transaction press release (8-K), 7 Dec 2021</t>
  </si>
  <si>
    <t xml:space="preserve">MIME21: Mimecast Q4 and FY2021 results, May 2021</t>
  </si>
  <si>
    <t xml:space="preserve">SailPoint</t>
  </si>
  <si>
    <t xml:space="preserve">Apr 2022</t>
  </si>
  <si>
    <t xml:space="preserve">to 90-day VWAP</t>
  </si>
  <si>
    <t xml:space="preserve">ICON: ICON Corporate Finance, Cybersecurity sector update, Oct 2022 (SailPoint deal EV)</t>
  </si>
  <si>
    <t xml:space="preserve">SAIL21: SailPoint Q4 and FY2021 results, 28 Feb 2022</t>
  </si>
  <si>
    <t xml:space="preserve">Ping Identity</t>
  </si>
  <si>
    <t xml:space="preserve">Aug 2022</t>
  </si>
  <si>
    <t xml:space="preserve">to close 2 Aug 2022</t>
  </si>
  <si>
    <t xml:space="preserve">PING: Ping Identity / Thoma Bravo press release, 3 Aug 2022</t>
  </si>
  <si>
    <t xml:space="preserve">PING21: Ping Identity Q4 and FY2021 results (8-K), 24 Feb 2022</t>
  </si>
  <si>
    <t xml:space="preserve">ForgeRock</t>
  </si>
  <si>
    <t xml:space="preserve">Oct 2022</t>
  </si>
  <si>
    <t xml:space="preserve">to close 10 Oct 2022</t>
  </si>
  <si>
    <t xml:space="preserve">FORG: ForgeRock / Thoma Bravo press release (8-K), 11 Oct 2022</t>
  </si>
  <si>
    <t xml:space="preserve">FORG21: ForgeRock Q4 and FY2021 results, 1 Mar 2022</t>
  </si>
  <si>
    <t xml:space="preserve">KnowBe4</t>
  </si>
  <si>
    <t xml:space="preserve">Vista</t>
  </si>
  <si>
    <t xml:space="preserve">to unaffected close 16 Sep 2022</t>
  </si>
  <si>
    <t xml:space="preserve">KNBE: KnowBe4 / Vista press release (8-K), 11 Oct 2022</t>
  </si>
  <si>
    <t xml:space="preserve">KNBE21: KnowBe4 Q4 and FY2021 results, Feb 2022</t>
  </si>
  <si>
    <t xml:space="preserve">Darktrace (Thoma Bravo)</t>
  </si>
  <si>
    <t xml:space="preserve">LTM revenue to Dec 2023; premium to close 25 Apr 2024</t>
  </si>
  <si>
    <t xml:space="preserve">EV/revenue on LTM revenue, 25th pct (p)</t>
  </si>
  <si>
    <t xml:space="preserve">EV/revenue on LTM revenue, median (p)</t>
  </si>
  <si>
    <t xml:space="preserve">EV/revenue on LTM revenue, 75th pct (p)</t>
  </si>
  <si>
    <t xml:space="preserve">Premium on undisturbed 517p, 25th pct (p)</t>
  </si>
  <si>
    <t xml:space="preserve">Premium on undisturbed 517p, median (p)</t>
  </si>
  <si>
    <t xml:space="preserve">Premium on undisturbed 517p, 75th pct (p)</t>
  </si>
  <si>
    <t xml:space="preserve">Premium on 3-month VWAP 429.9p, median (p)</t>
  </si>
  <si>
    <t xml:space="preserve">Valuation football field (pence per share)</t>
  </si>
  <si>
    <t xml:space="preserve">Offer 620p. Undisturbed close 517p.</t>
  </si>
  <si>
    <t xml:space="preserve">Method</t>
  </si>
  <si>
    <t xml:space="preserve">Low</t>
  </si>
  <si>
    <t xml:space="preserve">High</t>
  </si>
  <si>
    <t xml:space="preserve">Width</t>
  </si>
  <si>
    <t xml:space="preserve">Offer</t>
  </si>
  <si>
    <t xml:space="preserve">March placing to 12-month high</t>
  </si>
  <si>
    <t xml:space="preserve">DCF (WACC +/-1%, g +/-0.5%)</t>
  </si>
  <si>
    <t xml:space="preserve">Trading comps EV/NTM revenue (Q1-Q3)</t>
  </si>
  <si>
    <t xml:space="preserve">Growth-adjusted comps (regression +/-1x)</t>
  </si>
  <si>
    <t xml:space="preserve">Precedent take-privates EV/LTM revenue (Q1-Q3)</t>
  </si>
  <si>
    <t xml:space="preserve">Precedent premiums on undisturbed 517p (Q1-Q3)</t>
  </si>
  <si>
    <t xml:space="preserve">LBO ability to pay (25% to 20% IRR)</t>
  </si>
  <si>
    <t xml:space="preserve">Would a rival bid make sense?</t>
  </si>
  <si>
    <t xml:space="preserve">Strategic: FY25E revenue ($m)</t>
  </si>
  <si>
    <t xml:space="preserve">Run-rate cost synergies ($m)</t>
  </si>
  <si>
    <t xml:space="preserve">Capitalised after-tax synergies less integration cost ($m)</t>
  </si>
  <si>
    <t xml:space="preserve">Standalone DCF EV ($m)</t>
  </si>
  <si>
    <t xml:space="preserve">EV with share of synergies paid away ($m)</t>
  </si>
  <si>
    <t xml:space="preserve">Strategic maximum value per share (p)</t>
  </si>
  <si>
    <t xml:space="preserve">Rival sponsor at its IRR hurdle, same plan and debt (p)</t>
  </si>
  <si>
    <t xml:space="preserve">Offer (p)</t>
  </si>
  <si>
    <t xml:space="preserve">Strategic headroom vs offer</t>
  </si>
  <si>
    <t xml:space="preserve">Sponsor headroom vs offer</t>
  </si>
  <si>
    <t xml:space="preserve">Share of capital not bound by irrevocables</t>
  </si>
  <si>
    <t xml:space="preserve">Irrevocables from directors, KKR DA and Summit Partners stay binding if a higher competing offer is made (R27). A scheme needs 75% by value of shares voted, so 14.7% committed to Thoma Bravo is a large block against an interloper.</t>
  </si>
  <si>
    <t xml:space="preserve">LBO: Base case</t>
  </si>
  <si>
    <t xml:space="preserve">Thoma Bravo's actual financing; operating case is an assumption. Interest on opening balances (no circularity).</t>
  </si>
  <si>
    <t xml:space="preserve">Actual debt at close ($m)</t>
  </si>
  <si>
    <t xml:space="preserve">Base case</t>
  </si>
  <si>
    <t xml:space="preserve">Exit multiples for the table</t>
  </si>
  <si>
    <t xml:space="preserve">Total debt at close</t>
  </si>
  <si>
    <t xml:space="preserve">Equity purchase price</t>
  </si>
  <si>
    <t xml:space="preserve">Entry enterprise value</t>
  </si>
  <si>
    <t xml:space="preserve">OID</t>
  </si>
  <si>
    <t xml:space="preserve">Financing fees</t>
  </si>
  <si>
    <t xml:space="preserve">Advisory and deal fees</t>
  </si>
  <si>
    <t xml:space="preserve">Total uses</t>
  </si>
  <si>
    <t xml:space="preserve">Target balance sheet cash used</t>
  </si>
  <si>
    <t xml:space="preserve">Sponsor equity (plug)</t>
  </si>
  <si>
    <t xml:space="preserve">Sponsor equity % of uses</t>
  </si>
  <si>
    <t xml:space="preserve">Debt / LTM adjusted EBITDA (Dec 2023)</t>
  </si>
  <si>
    <t xml:space="preserve">Debt / FY24 ARR</t>
  </si>
  <si>
    <t xml:space="preserve">D&amp;A (tax)</t>
  </si>
  <si>
    <t xml:space="preserve">Ownership fraction of year</t>
  </si>
  <si>
    <t xml:space="preserve">SOFR</t>
  </si>
  <si>
    <t xml:space="preserve">First lien: opening</t>
  </si>
  <si>
    <t xml:space="preserve">Interest: first lien</t>
  </si>
  <si>
    <t xml:space="preserve">Interest: second lien</t>
  </si>
  <si>
    <t xml:space="preserve">Total cash interest</t>
  </si>
  <si>
    <t xml:space="preserve">Deductible interest (30% of tax-EBITDA cap)</t>
  </si>
  <si>
    <t xml:space="preserve">Cash tax</t>
  </si>
  <si>
    <t xml:space="preserve">Free cash flow after interest and tax</t>
  </si>
  <si>
    <t xml:space="preserve">First lien: mandatory amortisation</t>
  </si>
  <si>
    <t xml:space="preserve">Opening cash</t>
  </si>
  <si>
    <t xml:space="preserve">Cash available after amortisation</t>
  </si>
  <si>
    <t xml:space="preserve">First lien: cash sweep</t>
  </si>
  <si>
    <t xml:space="preserve">First lien: closing</t>
  </si>
  <si>
    <t xml:space="preserve">Second lien: closing</t>
  </si>
  <si>
    <t xml:space="preserve">Closing cash</t>
  </si>
  <si>
    <t xml:space="preserve">Net debt</t>
  </si>
  <si>
    <t xml:space="preserve">Total debt / EBITDA</t>
  </si>
  <si>
    <t xml:space="preserve">EBITDA / cash interest</t>
  </si>
  <si>
    <t xml:space="preserve">Returns at exit (30 Jun 2029)</t>
  </si>
  <si>
    <t xml:space="preserve">Exit multiple</t>
  </si>
  <si>
    <t xml:space="preserve">Exit EV</t>
  </si>
  <si>
    <t xml:space="preserve">Net debt incl. leases</t>
  </si>
  <si>
    <t xml:space="preserve">Exit equity</t>
  </si>
  <si>
    <t xml:space="preserve">Sponsor share (after MIP)</t>
  </si>
  <si>
    <t xml:space="preserve">MOIC</t>
  </si>
  <si>
    <t xml:space="preserve">IRR</t>
  </si>
  <si>
    <t xml:space="preserve">Liquidity low point (minimum closing cash)</t>
  </si>
  <si>
    <t xml:space="preserve">Sponsor value bridge, Base case ($m)</t>
  </si>
  <si>
    <t xml:space="preserve">Sponsor equity in</t>
  </si>
  <si>
    <t xml:space="preserve">EBITDA growth at entry multiple</t>
  </si>
  <si>
    <t xml:space="preserve">Multiple change (34x LTM to exit)</t>
  </si>
  <si>
    <t xml:space="preserve">Net debt paid down</t>
  </si>
  <si>
    <t xml:space="preserve">Fees and OID</t>
  </si>
  <si>
    <t xml:space="preserve">Management incentive plan</t>
  </si>
  <si>
    <t xml:space="preserve">Sponsor exit proceeds</t>
  </si>
  <si>
    <t xml:space="preserve">Check vs returns table (should be 0)</t>
  </si>
  <si>
    <t xml:space="preserve">LBO: Downside case</t>
  </si>
  <si>
    <t xml:space="preserve">Same financing, slower growth and a weaker cost programme</t>
  </si>
  <si>
    <t xml:space="preserve">Downside case</t>
  </si>
  <si>
    <t xml:space="preserve">LBO grid: IRR by exit multiple and debt at close (Base case)</t>
  </si>
  <si>
    <t xml:space="preserve">Each column is a full re-run of the debt schedule (blocks below)</t>
  </si>
  <si>
    <t xml:space="preserve">Total debt at close ($m)</t>
  </si>
  <si>
    <t xml:space="preserve">Debt / LTM EBITDA</t>
  </si>
  <si>
    <t xml:space="preserve">IRR: exit multiple (rows) x debt (columns)</t>
  </si>
  <si>
    <t xml:space="preserve">Block 1: debt $1,500m</t>
  </si>
  <si>
    <t xml:space="preserve">Block 2: debt $1,800m</t>
  </si>
  <si>
    <t xml:space="preserve">Block 3: debt $2,145m</t>
  </si>
  <si>
    <t xml:space="preserve">Block 4: debt $2,400m</t>
  </si>
  <si>
    <t xml:space="preserve">Block 5: debt $2,700m</t>
  </si>
  <si>
    <t xml:space="preserve">LBO ability to pay</t>
  </si>
  <si>
    <t xml:space="preserve">Exit equity does not depend on the entry price, so the price is solved in closed form for each IRR hurdle</t>
  </si>
  <si>
    <t xml:space="preserve">Sponsor exit proceeds, Base case ($m)</t>
  </si>
  <si>
    <t xml:space="preserve">IRR hurdle</t>
  </si>
  <si>
    <t xml:space="preserve">Sponsor equity that clears the hurdle ($m)</t>
  </si>
  <si>
    <t xml:space="preserve">Maximum price per share ($)</t>
  </si>
  <si>
    <t xml:space="preserve">Maximum price per share (p)</t>
  </si>
  <si>
    <t xml:space="preserve">Base-case IRR at the offer price</t>
  </si>
  <si>
    <t xml:space="preserve">Sources</t>
  </si>
  <si>
    <t xml:space="preserve">Key</t>
  </si>
  <si>
    <t xml:space="preserve">Document</t>
  </si>
  <si>
    <t xml:space="preserve">URL</t>
  </si>
  <si>
    <t xml:space="preserve">R27</t>
  </si>
  <si>
    <t xml:space="preserve">Rule 2.7 announcement, Recommended Cash Acquisition of Darktrace plc, 26 Apr 2024</t>
  </si>
  <si>
    <t xml:space="preserve">https://ir.darktrace.com/regulatory-news/2024/4/26/1813465</t>
  </si>
  <si>
    <t xml:space="preserve">SCH</t>
  </si>
  <si>
    <t xml:space="preserve">Scheme document, 23 May 2024, pp. 15, 19, 28 and 87 (offer, undertakings, interim financing)</t>
  </si>
  <si>
    <t xml:space="preserve">https://data.fca.org.uk/artefacts/NSM/Portal/NI-000097497/NI-000097497.pdf</t>
  </si>
  <si>
    <t xml:space="preserve">VOTE</t>
  </si>
  <si>
    <t xml:space="preserve">Results of Court Meeting and General Meeting, 18 Jun 2024</t>
  </si>
  <si>
    <t xml:space="preserve">https://www.investegate.co.uk/announcement/rns/darktrace--dark/result-of-meeting/8266218</t>
  </si>
  <si>
    <t xml:space="preserve">REG</t>
  </si>
  <si>
    <t xml:space="preserve">Regulatory approval and timetable update, 16 Sep 2024</t>
  </si>
  <si>
    <t xml:space="preserve">https://www.lse.co.uk/rns/DARK/regulatory-approval-timetable-update-r7souzslq618lx3.html</t>
  </si>
  <si>
    <t xml:space="preserve">EFF</t>
  </si>
  <si>
    <t xml:space="preserve">Scheme Effective, 1 Oct 2024</t>
  </si>
  <si>
    <t xml:space="preserve">https://ir.darktrace.com/regulatory-news/2024/10/1/1870431</t>
  </si>
  <si>
    <t xml:space="preserve">Darktrace FY 2023 final results, 6 Sep 2023</t>
  </si>
  <si>
    <t xml:space="preserve">https://ir.darktrace.com/regulatory-news/2023/9/6/1713518</t>
  </si>
  <si>
    <t xml:space="preserve">H124</t>
  </si>
  <si>
    <t xml:space="preserve">Darktrace half-year results to 31 Dec 2023, 7 Mar 2024</t>
  </si>
  <si>
    <t xml:space="preserve">https://ir.darktrace.com/regulatory-news/2024/3/7/1796862</t>
  </si>
  <si>
    <t xml:space="preserve">Q424</t>
  </si>
  <si>
    <t xml:space="preserve">Darktrace Q4 FY 2024 trading update, 18 Jul 2024</t>
  </si>
  <si>
    <t xml:space="preserve">https://ir.darktrace.com/regulatory-news/2024/7/18/1843731</t>
  </si>
  <si>
    <t xml:space="preserve">BBG1</t>
  </si>
  <si>
    <t xml:space="preserve">Bloomberg Law, Thoma Bravo lines up $2 billion financing for Darktrace buyout, 26 Apr 2024</t>
  </si>
  <si>
    <t xml:space="preserve">https://news.bloomberglaw.com/private-equity/thoma-bravo-lines-up-2-billion-financing-for-darktrace-buyout</t>
  </si>
  <si>
    <t xml:space="preserve">BBG2</t>
  </si>
  <si>
    <t xml:space="preserve">Bloomberg Law, Banks kick off $2.1 billion loan package for Darktrace LBO, 13 Jun 2024</t>
  </si>
  <si>
    <t xml:space="preserve">https://news.bloomberglaw.com/private-equity/banks-kick-off-2-1-billion-loan-package-for-darktrace-buyout</t>
  </si>
  <si>
    <t xml:space="preserve">PB</t>
  </si>
  <si>
    <t xml:space="preserve">PitchBook LCD, Darktrace wraps loan package backing Thoma Bravo's buyout, 2024</t>
  </si>
  <si>
    <t xml:space="preserve">https://pitchbook.com/news/articles/darktrace-wraps-loan-package-backing-thoma-bravos-buyout</t>
  </si>
  <si>
    <t xml:space="preserve">UST</t>
  </si>
  <si>
    <t xml:space="preserve">US 10-year Treasury yield, monthly average, via Alpha Vantage TREASURY_YIELD (Federal Reserve H.15)</t>
  </si>
  <si>
    <t xml:space="preserve">https://www.federalreserve.gov/releases/h15/</t>
  </si>
  <si>
    <t xml:space="preserve">PX</t>
  </si>
  <si>
    <t xml:space="preserve">Weekly closing prices, week ending 19 Apr 2024, via Alpha Vantage TIME_SERIES_WEEKLY</t>
  </si>
  <si>
    <t xml:space="preserve">https://www.alphavantage.co/documentation/</t>
  </si>
  <si>
    <t xml:space="preserve">UKTAX</t>
  </si>
  <si>
    <t xml:space="preserve">UK corporation tax main rate 25% from 1 Apr 2023; corporate interest restriction 30% of tax-EBITDA</t>
  </si>
  <si>
    <t xml:space="preserve">https://www.gov.uk/government/publications/corporate-interest-restriction-guidance</t>
  </si>
  <si>
    <t xml:space="preserve">CrowdStrike Q4 FY2024 results (8-K), 5 Mar 2024</t>
  </si>
  <si>
    <t xml:space="preserve">https://www.sec.gov/Archives/edgar/data/1535527/000153552724000004/crwd-20240305xex991.htm</t>
  </si>
  <si>
    <t xml:space="preserve">Palo Alto Networks Q2 FY2024 results (8-K), 20 Feb 2024</t>
  </si>
  <si>
    <t xml:space="preserve">https://www.sec.gov/Archives/edgar/data/1327567/000132756724000003/ex991q224earningsrelease.htm</t>
  </si>
  <si>
    <t xml:space="preserve">PANW23</t>
  </si>
  <si>
    <t xml:space="preserve">Palo Alto Networks Q4 FY2023 results (8-K), Aug 2023</t>
  </si>
  <si>
    <t xml:space="preserve">https://www.sec.gov/Archives/edgar/data/1327567/000132756723000020/ex991q423earningsrelease.htm</t>
  </si>
  <si>
    <t xml:space="preserve">Fortinet Q4 2023 results (8-K), 6 Feb 2024</t>
  </si>
  <si>
    <t xml:space="preserve">https://www.sec.gov/Archives/edgar/data/1262039/000126203924000006/ftntq4-2023ex991.htm</t>
  </si>
  <si>
    <t xml:space="preserve">Zscaler Q2 FY2024 results (8-K), 29 Feb 2024</t>
  </si>
  <si>
    <t xml:space="preserve">https://www.sec.gov/Archives/edgar/data/1713683/000171368324000036/zs-01312024_991.htm</t>
  </si>
  <si>
    <t xml:space="preserve">ZS23</t>
  </si>
  <si>
    <t xml:space="preserve">Zscaler Q4 FY2023 results, Sep 2023</t>
  </si>
  <si>
    <t xml:space="preserve">https://ir.zscaler.com/node/12446</t>
  </si>
  <si>
    <t xml:space="preserve">SentinelOne Q4 FY2024 results (8-K), 13 Mar 2024</t>
  </si>
  <si>
    <t xml:space="preserve">https://www.sec.gov/Archives/edgar/data/1583708/000158370824000003/sentineloneq424exhibit991.htm</t>
  </si>
  <si>
    <t xml:space="preserve">Rapid7 Q4 2023 results (8-K), 7 Feb 2024</t>
  </si>
  <si>
    <t xml:space="preserve">https://www.sec.gov/Archives/edgar/data/1560327/000156032724000008/rapid720238-kex991.htm</t>
  </si>
  <si>
    <t xml:space="preserve">Tenable Q4 2023 results (8-K), 7 Feb 2024</t>
  </si>
  <si>
    <t xml:space="preserve">https://www.sec.gov/Archives/edgar/data/1660280/000166028024000007/q42023financialresults-ear.htm</t>
  </si>
  <si>
    <t xml:space="preserve">SOPH</t>
  </si>
  <si>
    <t xml:space="preserve">Thoma Bravo, Recommended cash offer for Sophos Group plc, 14 Oct 2019</t>
  </si>
  <si>
    <t xml:space="preserve">https://www.thomabravo.com/press-releases/thoma-bravo-announces-a-recommended-cash-offer-for-sophos-group-plc</t>
  </si>
  <si>
    <t xml:space="preserve">PFPT</t>
  </si>
  <si>
    <t xml:space="preserve">Help Net Security, Thoma Bravo to acquire Proofpoint, 27 Apr 2021</t>
  </si>
  <si>
    <t xml:space="preserve">https://www.helpnetsecurity.com/2021/04/27/proofpoint-thoma-bravo/</t>
  </si>
  <si>
    <t xml:space="preserve">PFPT20</t>
  </si>
  <si>
    <t xml:space="preserve">Proofpoint Q4 and FY2020 results, Feb 2021</t>
  </si>
  <si>
    <t xml:space="preserve">https://www.stocktitan.net/news/PFPT/proofpoint-announces-fourth-quarter-and-full-year-2020-financial-ctrg7ip5ik4h.html</t>
  </si>
  <si>
    <t xml:space="preserve">MIME</t>
  </si>
  <si>
    <t xml:space="preserve">Mimecast / Permira transaction press release (8-K), 7 Dec 2021</t>
  </si>
  <si>
    <t xml:space="preserve">https://www.sec.gov/Archives/edgar/data/1644675/000119312521349648/d262865dex991.htm</t>
  </si>
  <si>
    <t xml:space="preserve">MIME21</t>
  </si>
  <si>
    <t xml:space="preserve">Mimecast Q4 and FY2021 results, May 2021</t>
  </si>
  <si>
    <t xml:space="preserve">https://www.stocktitan.net/news/MIME/mimecast-announces-fourth-quarter-and-full-year-2021-financial-h24ibjmuzp7j.html</t>
  </si>
  <si>
    <t xml:space="preserve">SAIL</t>
  </si>
  <si>
    <t xml:space="preserve">SailPoint / Thoma Bravo press release (8-K), 11 Apr 2022</t>
  </si>
  <si>
    <t xml:space="preserve">https://www.sec.gov/Archives/edgar/data/1627857/000119312522100936/d248941dex991.htm</t>
  </si>
  <si>
    <t xml:space="preserve">SAIL21</t>
  </si>
  <si>
    <t xml:space="preserve">SailPoint Q4 and FY2021 results, 28 Feb 2022</t>
  </si>
  <si>
    <t xml:space="preserve">https://www.businesswire.com/news/home/20220228005991/en/SailPoint-Announces-Fourth-Quarter-and-Full-Year-2021-Financial-Results</t>
  </si>
  <si>
    <t xml:space="preserve">ICON</t>
  </si>
  <si>
    <t xml:space="preserve">ICON Corporate Finance, Cybersecurity sector update, Oct 2022 (SailPoint deal EV)</t>
  </si>
  <si>
    <t xml:space="preserve">https://www.iconcorpfin.com/wp-content/uploads/2025/06/ICON_Cybersecurity_Sector-Update_October-2022.pdf</t>
  </si>
  <si>
    <t xml:space="preserve">PING</t>
  </si>
  <si>
    <t xml:space="preserve">Ping Identity / Thoma Bravo press release, 3 Aug 2022</t>
  </si>
  <si>
    <t xml:space="preserve">https://press.pingidentity.com/2022-08-03-Ping-Identity-to-be-Acquired-by-Thoma-Bravo-for-2-8-Billion</t>
  </si>
  <si>
    <t xml:space="preserve">PING21</t>
  </si>
  <si>
    <t xml:space="preserve">Ping Identity Q4 and FY2021 results (8-K), 24 Feb 2022</t>
  </si>
  <si>
    <t xml:space="preserve">https://www.sec.gov/Archives/edgar/data/1679826/000155837022001937/ping-20220224xex99d1.htm</t>
  </si>
  <si>
    <t xml:space="preserve">FORG</t>
  </si>
  <si>
    <t xml:space="preserve">ForgeRock / Thoma Bravo press release (8-K), 11 Oct 2022</t>
  </si>
  <si>
    <t xml:space="preserve">https://www.sec.gov/Archives/edgar/data/1543916/000119312522260580/d399542dex991.htm</t>
  </si>
  <si>
    <t xml:space="preserve">FORG21</t>
  </si>
  <si>
    <t xml:space="preserve">ForgeRock Q4 and FY2021 results, 1 Mar 2022</t>
  </si>
  <si>
    <t xml:space="preserve">https://stocktitan.net/news/FORG/forge-rock-announces-strong-fourth-quarter-and-full-year-2021-6x6745nqyk22.html</t>
  </si>
  <si>
    <t xml:space="preserve">KNBE</t>
  </si>
  <si>
    <t xml:space="preserve">KnowBe4 / Vista press release (8-K), 11 Oct 2022</t>
  </si>
  <si>
    <t xml:space="preserve">https://www.sec.gov/Archives/edgar/data/1664998/000119312522261033/d409662dex991.htm</t>
  </si>
  <si>
    <t xml:space="preserve">KNBE21</t>
  </si>
  <si>
    <t xml:space="preserve">KnowBe4 Q4 and FY2021 results, Feb 2022</t>
  </si>
  <si>
    <t xml:space="preserve">https://www.stocktitan.net/news/KNBE/know-be4-announces-fourth-quarter-and-fiscal-year-2021-financial-k4oklarrxaz2.html</t>
  </si>
  <si>
    <t xml:space="preserve">Conventions: blue = input, black = formula, green = link to another sheet. Not investment advice.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</si>
</sst>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\p"/>
    <numFmt numFmtId="166" formatCode="0.0%;\(0.0%\);\-"/>
    <numFmt numFmtId="167" formatCode="0.0\x"/>
    <numFmt numFmtId="168" formatCode="#,##0;\(#,##0\);\-"/>
    <numFmt numFmtId="169" formatCode="#,##0.0;\(#,##0.0\);\-"/>
    <numFmt numFmtId="170" formatCode="\$0.00"/>
    <numFmt numFmtId="171" formatCode="0.0\p"/>
    <numFmt numFmtId="172" formatCode="0.00%"/>
    <numFmt numFmtId="173" formatCode="0.00"/>
    <numFmt numFmtId="174" formatCode="0"/>
    <numFmt numFmtId="175" formatCode="0.0%"/>
    <numFmt numFmtId="176" formatCode="0.0000"/>
    <numFmt numFmtId="177" formatCode="0.000"/>
    <numFmt numFmtId="17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Darktrace: value per share (p) vs 620p offer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'Football field'!B4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field'!$A$5:$A$11</c:f>
              <c:strCache>
                <c:ptCount val="7"/>
                <c:pt idx="0">
                  <c:v>March placing to 12-month high</c:v>
                </c:pt>
                <c:pt idx="1">
                  <c:v>DCF (WACC +/-1%, g +/-0.5%)</c:v>
                </c:pt>
                <c:pt idx="2">
                  <c:v>Trading comps EV/NTM revenue (Q1-Q3)</c:v>
                </c:pt>
                <c:pt idx="3">
                  <c:v>Growth-adjusted comps (regression +/-1x)</c:v>
                </c:pt>
                <c:pt idx="4">
                  <c:v>Precedent take-privates EV/LTM revenue (Q1-Q3)</c:v>
                </c:pt>
                <c:pt idx="5">
                  <c:v>Precedent premiums on undisturbed 517p (Q1-Q3)</c:v>
                </c:pt>
                <c:pt idx="6">
                  <c:v>LBO ability to pay (25% to 20% IRR)</c:v>
                </c:pt>
              </c:strCache>
            </c:strRef>
          </c:cat>
          <c:val>
            <c:numRef>
              <c:f>'Football field'!$B$5:$B$11</c:f>
              <c:numCache>
                <c:formatCode>#,##0\p</c:formatCode>
                <c:ptCount val="7"/>
                <c:pt idx="0">
                  <c:v>425</c:v>
                </c:pt>
                <c:pt idx="1">
                  <c:v>385.446879701523</c:v>
                </c:pt>
                <c:pt idx="2">
                  <c:v>591.147047315967</c:v>
                </c:pt>
                <c:pt idx="3">
                  <c:v>824.69025889493</c:v>
                </c:pt>
                <c:pt idx="4">
                  <c:v>789.289934305852</c:v>
                </c:pt>
                <c:pt idx="5">
                  <c:v>700.7935</c:v>
                </c:pt>
                <c:pt idx="6">
                  <c:v>593.00666931562</c:v>
                </c:pt>
              </c:numCache>
            </c:numRef>
          </c:val>
        </c:ser>
        <c:ser>
          <c:idx val="1"/>
          <c:order val="1"/>
          <c:tx>
            <c:strRef>
              <c:f>'Football field'!D4</c:f>
              <c:strCache>
                <c:ptCount val="1"/>
                <c:pt idx="0">
                  <c:v>Width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field'!$A$5:$A$11</c:f>
              <c:strCache>
                <c:ptCount val="7"/>
                <c:pt idx="0">
                  <c:v>March placing to 12-month high</c:v>
                </c:pt>
                <c:pt idx="1">
                  <c:v>DCF (WACC +/-1%, g +/-0.5%)</c:v>
                </c:pt>
                <c:pt idx="2">
                  <c:v>Trading comps EV/NTM revenue (Q1-Q3)</c:v>
                </c:pt>
                <c:pt idx="3">
                  <c:v>Growth-adjusted comps (regression +/-1x)</c:v>
                </c:pt>
                <c:pt idx="4">
                  <c:v>Precedent take-privates EV/LTM revenue (Q1-Q3)</c:v>
                </c:pt>
                <c:pt idx="5">
                  <c:v>Precedent premiums on undisturbed 517p (Q1-Q3)</c:v>
                </c:pt>
                <c:pt idx="6">
                  <c:v>LBO ability to pay (25% to 20% IRR)</c:v>
                </c:pt>
              </c:strCache>
            </c:strRef>
          </c:cat>
          <c:val>
            <c:numRef>
              <c:f>'Football field'!$D$5:$D$11</c:f>
              <c:numCache>
                <c:formatCode>#,##0\p</c:formatCode>
                <c:ptCount val="7"/>
                <c:pt idx="0">
                  <c:v>93.6</c:v>
                </c:pt>
                <c:pt idx="1">
                  <c:v>175.277926677079</c:v>
                </c:pt>
                <c:pt idx="2">
                  <c:v>515.150007532732</c:v>
                </c:pt>
                <c:pt idx="3">
                  <c:v>189.012511759172</c:v>
                </c:pt>
                <c:pt idx="4">
                  <c:v>292.601981815439</c:v>
                </c:pt>
                <c:pt idx="5">
                  <c:v>77.2914999999998</c:v>
                </c:pt>
                <c:pt idx="6">
                  <c:v>68.3920301044881</c:v>
                </c:pt>
              </c:numCache>
            </c:numRef>
          </c:val>
        </c:ser>
        <c:gapWidth val="150"/>
        <c:overlap val="100"/>
        <c:axId val="3484743"/>
        <c:axId val="43544524"/>
      </c:barChart>
      <c:catAx>
        <c:axId val="348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544524"/>
        <c:crosses val="autoZero"/>
        <c:auto val="1"/>
        <c:lblAlgn val="ctr"/>
        <c:lblOffset val="100"/>
        <c:noMultiLvlLbl val="0"/>
      </c:catAx>
      <c:valAx>
        <c:axId val="43544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p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474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364680</xdr:colOff>
      <xdr:row>20</xdr:row>
      <xdr:rowOff>1080</xdr:rowOff>
    </xdr:to>
    <xdr:graphicFrame>
      <xdr:nvGraphicFramePr>
        <xdr:cNvPr id="1" name="Chart 1"/>
        <xdr:cNvGraphicFramePr/>
      </xdr:nvGraphicFramePr>
      <xdr:xfrm>
        <a:off x="6581880" y="601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0" t="s">
        <v>3</v>
      </c>
      <c r="B5" s="2" t="n">
        <f aca="false">Inputs!$C$8</f>
        <v>620</v>
      </c>
    </row>
    <row r="6" customFormat="false" ht="15" hidden="false" customHeight="false" outlineLevel="0" collapsed="false">
      <c r="A6" s="0" t="s">
        <v>4</v>
      </c>
      <c r="B6" s="3" t="n">
        <f aca="false">Offer!$B$16</f>
        <v>0.199226305609284</v>
      </c>
    </row>
    <row r="7" customFormat="false" ht="15" hidden="false" customHeight="false" outlineLevel="0" collapsed="false">
      <c r="A7" s="0" t="s">
        <v>5</v>
      </c>
      <c r="B7" s="3" t="n">
        <f aca="false">Offer!$B$18</f>
        <v>0.44219585950221</v>
      </c>
    </row>
    <row r="8" customFormat="false" ht="15" hidden="false" customHeight="false" outlineLevel="0" collapsed="false">
      <c r="A8" s="0" t="s">
        <v>6</v>
      </c>
      <c r="B8" s="4" t="n">
        <f aca="false">Offer!$B$11</f>
        <v>8.1038961038961</v>
      </c>
    </row>
    <row r="9" customFormat="false" ht="15" hidden="false" customHeight="false" outlineLevel="0" collapsed="false">
      <c r="A9" s="0" t="s">
        <v>7</v>
      </c>
      <c r="B9" s="4" t="n">
        <f aca="false">Comps!$B$25</f>
        <v>6.16172681406508</v>
      </c>
    </row>
    <row r="10" customFormat="false" ht="15" hidden="false" customHeight="false" outlineLevel="0" collapsed="false">
      <c r="A10" s="0" t="s">
        <v>8</v>
      </c>
      <c r="B10" s="2" t="n">
        <f aca="false">DCF!$B$30</f>
        <v>455.094144744722</v>
      </c>
    </row>
    <row r="11" customFormat="false" ht="15" hidden="false" customHeight="false" outlineLevel="0" collapsed="false">
      <c r="A11" s="0" t="s">
        <v>9</v>
      </c>
      <c r="B11" s="2" t="n">
        <f aca="false">Comps!$B$28</f>
        <v>816.95275716716</v>
      </c>
    </row>
    <row r="12" customFormat="false" ht="15" hidden="false" customHeight="false" outlineLevel="0" collapsed="false">
      <c r="A12" s="0" t="s">
        <v>10</v>
      </c>
      <c r="B12" s="2" t="n">
        <f aca="false">Precedents!$B$20</f>
        <v>879.431796801505</v>
      </c>
    </row>
    <row r="13" customFormat="false" ht="15" hidden="false" customHeight="false" outlineLevel="0" collapsed="false">
      <c r="A13" s="0" t="s">
        <v>11</v>
      </c>
      <c r="B13" s="2" t="n">
        <f aca="false">Precedents!$B$23</f>
        <v>744.48</v>
      </c>
    </row>
    <row r="14" customFormat="false" ht="15" hidden="false" customHeight="false" outlineLevel="0" collapsed="false">
      <c r="A14" s="0" t="s">
        <v>12</v>
      </c>
      <c r="B14" s="2" t="n">
        <f aca="false">'Ability to pay'!$B$9</f>
        <v>661.398699420108</v>
      </c>
    </row>
    <row r="15" customFormat="false" ht="15" hidden="false" customHeight="false" outlineLevel="0" collapsed="false">
      <c r="A15" s="0" t="s">
        <v>13</v>
      </c>
      <c r="B15" s="2" t="n">
        <f aca="false">'Rival bid'!B9</f>
        <v>486.723578893359</v>
      </c>
    </row>
    <row r="16" customFormat="false" ht="15" hidden="false" customHeight="false" outlineLevel="0" collapsed="false">
      <c r="A16" s="0" t="s">
        <v>14</v>
      </c>
      <c r="B16" s="3" t="n">
        <f aca="false">LBO!$H$49</f>
        <v>0.228844889161838</v>
      </c>
    </row>
    <row r="17" customFormat="false" ht="15" hidden="false" customHeight="false" outlineLevel="0" collapsed="false">
      <c r="A17" s="0" t="s">
        <v>15</v>
      </c>
      <c r="B17" s="4" t="n">
        <f aca="false">LBO!$G$49</f>
        <v>2.66140562793656</v>
      </c>
    </row>
    <row r="18" customFormat="false" ht="15" hidden="false" customHeight="false" outlineLevel="0" collapsed="false">
      <c r="A18" s="0" t="s">
        <v>16</v>
      </c>
      <c r="B18" s="3" t="n">
        <f aca="false">Downside!$H$49</f>
        <v>-0.109551005192626</v>
      </c>
    </row>
    <row r="19" customFormat="false" ht="15" hidden="false" customHeight="false" outlineLevel="0" collapsed="false">
      <c r="A19" s="0" t="s">
        <v>17</v>
      </c>
      <c r="B19" s="4" t="n">
        <f aca="false">Downside!$G$49</f>
        <v>0.576292513721427</v>
      </c>
    </row>
    <row r="20" customFormat="false" ht="15" hidden="false" customHeight="false" outlineLevel="0" collapsed="false">
      <c r="A20" s="0" t="s">
        <v>18</v>
      </c>
      <c r="B20" s="5" t="n">
        <f aca="false">LBO!$B$15</f>
        <v>3001.07</v>
      </c>
    </row>
    <row r="21" customFormat="false" ht="15" hidden="false" customHeight="false" outlineLevel="0" collapsed="false">
      <c r="A21" s="0" t="s">
        <v>19</v>
      </c>
      <c r="B21" s="4" t="n">
        <f aca="false">LBO!$B$17</f>
        <v>14.6917808219178</v>
      </c>
    </row>
    <row r="22" customFormat="false" ht="15" hidden="false" customHeight="false" outlineLevel="0" collapsed="false">
      <c r="A22" s="0" t="s">
        <v>20</v>
      </c>
      <c r="B22" s="6" t="n">
        <f aca="false">LBO!$B$56</f>
        <v>77.8348235902022</v>
      </c>
    </row>
    <row r="23" customFormat="false" ht="15" hidden="false" customHeight="false" outlineLevel="0" collapsed="false">
      <c r="A23" s="0" t="s">
        <v>21</v>
      </c>
      <c r="B23" s="6" t="n">
        <f aca="false">MAX(0,Inputs!$C$79-LBO!$B$56)</f>
        <v>22.1651764097979</v>
      </c>
    </row>
    <row r="24" customFormat="false" ht="15" hidden="false" customHeight="false" outlineLevel="0" collapsed="false">
      <c r="A24" s="0" t="s">
        <v>22</v>
      </c>
      <c r="B24" s="6" t="n">
        <f aca="false">Downside!$B$52</f>
        <v>19.180054982674</v>
      </c>
    </row>
    <row r="25" customFormat="false" ht="15" hidden="false" customHeight="false" outlineLevel="0" collapsed="false">
      <c r="A25" s="0" t="s">
        <v>23</v>
      </c>
      <c r="B25" s="6" t="n">
        <f aca="false">MAX(0,Inputs!$C$79-Downside!$B$52)</f>
        <v>80.819945017326</v>
      </c>
    </row>
    <row r="26" customFormat="false" ht="15" hidden="false" customHeight="false" outlineLevel="0" collapsed="false">
      <c r="A26" s="0" t="s">
        <v>24</v>
      </c>
      <c r="B26" s="6" t="n">
        <f aca="false">LBO!$B$66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0" t="s">
        <v>26</v>
      </c>
    </row>
    <row r="4" customFormat="false" ht="1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</row>
    <row r="6" customFormat="false" ht="15" hidden="false" customHeight="false" outlineLevel="0" collapsed="false">
      <c r="A6" s="8" t="s">
        <v>39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5" hidden="false" customHeight="false" outlineLevel="0" collapsed="false">
      <c r="A7" s="0" t="s">
        <v>40</v>
      </c>
      <c r="B7" s="0" t="s">
        <v>41</v>
      </c>
      <c r="C7" s="10" t="n">
        <v>7.75</v>
      </c>
      <c r="D7" s="0" t="s">
        <v>42</v>
      </c>
      <c r="E7" s="0" t="s">
        <v>43</v>
      </c>
    </row>
    <row r="8" customFormat="false" ht="15" hidden="false" customHeight="false" outlineLevel="0" collapsed="false">
      <c r="A8" s="0" t="s">
        <v>44</v>
      </c>
      <c r="B8" s="0" t="s">
        <v>45</v>
      </c>
      <c r="C8" s="11" t="n">
        <v>620</v>
      </c>
      <c r="D8" s="0" t="s">
        <v>42</v>
      </c>
      <c r="E8" s="0" t="s">
        <v>43</v>
      </c>
    </row>
    <row r="9" customFormat="false" ht="15" hidden="false" customHeight="false" outlineLevel="0" collapsed="false">
      <c r="A9" s="0" t="s">
        <v>46</v>
      </c>
      <c r="B9" s="0" t="s">
        <v>47</v>
      </c>
      <c r="C9" s="12" t="n">
        <v>5315</v>
      </c>
      <c r="D9" s="0" t="s">
        <v>42</v>
      </c>
      <c r="E9" s="0" t="s">
        <v>43</v>
      </c>
    </row>
    <row r="10" customFormat="false" ht="15" hidden="false" customHeight="false" outlineLevel="0" collapsed="false">
      <c r="A10" s="0" t="s">
        <v>48</v>
      </c>
      <c r="B10" s="0" t="s">
        <v>47</v>
      </c>
      <c r="C10" s="12" t="n">
        <v>4992</v>
      </c>
      <c r="D10" s="0" t="s">
        <v>42</v>
      </c>
      <c r="E10" s="0" t="s">
        <v>43</v>
      </c>
    </row>
    <row r="11" customFormat="false" ht="15" hidden="false" customHeight="false" outlineLevel="0" collapsed="false">
      <c r="A11" s="0" t="s">
        <v>49</v>
      </c>
      <c r="B11" s="0" t="s">
        <v>47</v>
      </c>
      <c r="C11" s="12" t="n">
        <v>616</v>
      </c>
      <c r="D11" s="0" t="s">
        <v>42</v>
      </c>
      <c r="E11" s="0" t="s">
        <v>43</v>
      </c>
    </row>
    <row r="12" customFormat="false" ht="15" hidden="false" customHeight="false" outlineLevel="0" collapsed="false">
      <c r="A12" s="0" t="s">
        <v>50</v>
      </c>
      <c r="B12" s="0" t="s">
        <v>47</v>
      </c>
      <c r="C12" s="12" t="n">
        <v>146</v>
      </c>
      <c r="D12" s="0" t="s">
        <v>42</v>
      </c>
      <c r="E12" s="0" t="s">
        <v>43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13" t="n">
        <v>8.1</v>
      </c>
      <c r="D13" s="0" t="s">
        <v>42</v>
      </c>
      <c r="E13" s="0" t="s">
        <v>43</v>
      </c>
    </row>
    <row r="14" customFormat="false" ht="15" hidden="false" customHeight="false" outlineLevel="0" collapsed="false">
      <c r="A14" s="0" t="s">
        <v>53</v>
      </c>
      <c r="B14" s="0" t="s">
        <v>52</v>
      </c>
      <c r="C14" s="13" t="n">
        <v>34.2</v>
      </c>
      <c r="D14" s="0" t="s">
        <v>42</v>
      </c>
      <c r="E14" s="0" t="s">
        <v>43</v>
      </c>
    </row>
    <row r="15" customFormat="false" ht="15" hidden="false" customHeight="false" outlineLevel="0" collapsed="false">
      <c r="A15" s="0" t="s">
        <v>54</v>
      </c>
      <c r="B15" s="0" t="s">
        <v>45</v>
      </c>
      <c r="C15" s="11" t="n">
        <v>517</v>
      </c>
      <c r="D15" s="0" t="s">
        <v>42</v>
      </c>
      <c r="E15" s="0" t="s">
        <v>43</v>
      </c>
    </row>
    <row r="16" customFormat="false" ht="15" hidden="false" customHeight="false" outlineLevel="0" collapsed="false">
      <c r="A16" s="0" t="s">
        <v>55</v>
      </c>
      <c r="B16" s="0" t="s">
        <v>45</v>
      </c>
      <c r="C16" s="14" t="n">
        <v>429.9</v>
      </c>
      <c r="D16" s="0" t="s">
        <v>42</v>
      </c>
      <c r="E16" s="0" t="s">
        <v>43</v>
      </c>
    </row>
    <row r="17" customFormat="false" ht="15" hidden="false" customHeight="false" outlineLevel="0" collapsed="false">
      <c r="A17" s="0" t="s">
        <v>56</v>
      </c>
      <c r="B17" s="0" t="s">
        <v>45</v>
      </c>
      <c r="C17" s="14" t="n">
        <v>518.6</v>
      </c>
      <c r="D17" s="0" t="s">
        <v>42</v>
      </c>
      <c r="E17" s="0" t="s">
        <v>43</v>
      </c>
    </row>
    <row r="18" customFormat="false" ht="15" hidden="false" customHeight="false" outlineLevel="0" collapsed="false">
      <c r="A18" s="0" t="s">
        <v>57</v>
      </c>
      <c r="B18" s="0" t="s">
        <v>45</v>
      </c>
      <c r="C18" s="11" t="n">
        <v>425</v>
      </c>
      <c r="D18" s="0" t="s">
        <v>42</v>
      </c>
      <c r="E18" s="0" t="s">
        <v>43</v>
      </c>
    </row>
    <row r="19" customFormat="false" ht="15" hidden="false" customHeight="false" outlineLevel="0" collapsed="false">
      <c r="A19" s="0" t="s">
        <v>58</v>
      </c>
      <c r="B19" s="0" t="s">
        <v>45</v>
      </c>
      <c r="C19" s="11" t="n">
        <v>250</v>
      </c>
      <c r="D19" s="0" t="s">
        <v>42</v>
      </c>
      <c r="E19" s="0" t="s">
        <v>43</v>
      </c>
    </row>
    <row r="20" customFormat="false" ht="15" hidden="false" customHeight="false" outlineLevel="0" collapsed="false">
      <c r="A20" s="0" t="s">
        <v>59</v>
      </c>
      <c r="B20" s="0" t="s">
        <v>60</v>
      </c>
      <c r="C20" s="15" t="n">
        <v>0.2</v>
      </c>
      <c r="D20" s="0" t="s">
        <v>42</v>
      </c>
      <c r="E20" s="0" t="s">
        <v>43</v>
      </c>
    </row>
    <row r="21" customFormat="false" ht="15" hidden="false" customHeight="false" outlineLevel="0" collapsed="false">
      <c r="A21" s="0" t="s">
        <v>61</v>
      </c>
      <c r="B21" s="0" t="s">
        <v>60</v>
      </c>
      <c r="C21" s="15" t="n">
        <v>0.443</v>
      </c>
      <c r="D21" s="0" t="s">
        <v>42</v>
      </c>
      <c r="E21" s="0" t="s">
        <v>43</v>
      </c>
    </row>
    <row r="22" customFormat="false" ht="15" hidden="false" customHeight="false" outlineLevel="0" collapsed="false">
      <c r="A22" s="0" t="s">
        <v>62</v>
      </c>
      <c r="B22" s="0" t="s">
        <v>63</v>
      </c>
      <c r="C22" s="15" t="n">
        <v>0.1471</v>
      </c>
      <c r="D22" s="0" t="s">
        <v>42</v>
      </c>
      <c r="E22" s="0" t="s">
        <v>64</v>
      </c>
    </row>
    <row r="23" customFormat="false" ht="15" hidden="false" customHeight="false" outlineLevel="0" collapsed="false">
      <c r="A23" s="0" t="s">
        <v>65</v>
      </c>
      <c r="B23" s="0" t="s">
        <v>60</v>
      </c>
      <c r="C23" s="16" t="n">
        <v>0.9955</v>
      </c>
      <c r="D23" s="0" t="s">
        <v>42</v>
      </c>
      <c r="E23" s="0" t="s">
        <v>66</v>
      </c>
    </row>
    <row r="24" customFormat="false" ht="15" hidden="false" customHeight="false" outlineLevel="0" collapsed="false">
      <c r="A24" s="0" t="s">
        <v>67</v>
      </c>
      <c r="B24" s="0" t="s">
        <v>60</v>
      </c>
      <c r="C24" s="16" t="n">
        <v>0.6529</v>
      </c>
      <c r="D24" s="0" t="s">
        <v>42</v>
      </c>
      <c r="E24" s="0" t="s">
        <v>66</v>
      </c>
    </row>
    <row r="25" customFormat="false" ht="15" hidden="false" customHeight="false" outlineLevel="0" collapsed="false">
      <c r="A25" s="0" t="s">
        <v>68</v>
      </c>
      <c r="B25" s="0" t="s">
        <v>47</v>
      </c>
      <c r="C25" s="17" t="n">
        <v>383.2</v>
      </c>
      <c r="D25" s="0" t="s">
        <v>42</v>
      </c>
      <c r="E25" s="0" t="s">
        <v>69</v>
      </c>
    </row>
    <row r="26" customFormat="false" ht="15" hidden="false" customHeight="false" outlineLevel="0" collapsed="false">
      <c r="A26" s="0" t="s">
        <v>70</v>
      </c>
      <c r="B26" s="0" t="s">
        <v>47</v>
      </c>
      <c r="C26" s="17" t="n">
        <v>60.2</v>
      </c>
      <c r="D26" s="0" t="s">
        <v>42</v>
      </c>
      <c r="E26" s="0" t="s">
        <v>69</v>
      </c>
    </row>
    <row r="28" customFormat="false" ht="15" hidden="false" customHeight="false" outlineLevel="0" collapsed="false">
      <c r="A28" s="8" t="s">
        <v>71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A29" s="0" t="s">
        <v>72</v>
      </c>
      <c r="B29" s="0" t="s">
        <v>47</v>
      </c>
      <c r="C29" s="17" t="n">
        <v>415.5</v>
      </c>
      <c r="D29" s="0" t="s">
        <v>73</v>
      </c>
      <c r="E29" s="0" t="s">
        <v>74</v>
      </c>
    </row>
    <row r="30" customFormat="false" ht="15" hidden="false" customHeight="false" outlineLevel="0" collapsed="false">
      <c r="A30" s="0" t="s">
        <v>75</v>
      </c>
      <c r="B30" s="0" t="s">
        <v>47</v>
      </c>
      <c r="C30" s="17" t="n">
        <v>545.4</v>
      </c>
      <c r="D30" s="0" t="s">
        <v>42</v>
      </c>
      <c r="E30" s="0" t="s">
        <v>74</v>
      </c>
    </row>
    <row r="31" customFormat="false" ht="15" hidden="false" customHeight="false" outlineLevel="0" collapsed="false">
      <c r="A31" s="0" t="s">
        <v>76</v>
      </c>
      <c r="B31" s="0" t="s">
        <v>47</v>
      </c>
      <c r="C31" s="17" t="n">
        <v>689.5</v>
      </c>
      <c r="D31" s="0" t="s">
        <v>42</v>
      </c>
      <c r="E31" s="0" t="s">
        <v>77</v>
      </c>
    </row>
    <row r="32" customFormat="false" ht="15" hidden="false" customHeight="false" outlineLevel="0" collapsed="false">
      <c r="A32" s="0" t="s">
        <v>78</v>
      </c>
      <c r="B32" s="0" t="s">
        <v>47</v>
      </c>
      <c r="C32" s="17" t="n">
        <v>637.3</v>
      </c>
      <c r="D32" s="0" t="s">
        <v>42</v>
      </c>
      <c r="E32" s="0" t="s">
        <v>74</v>
      </c>
    </row>
    <row r="33" customFormat="false" ht="15" hidden="false" customHeight="false" outlineLevel="0" collapsed="false">
      <c r="A33" s="0" t="s">
        <v>79</v>
      </c>
      <c r="B33" s="0" t="s">
        <v>47</v>
      </c>
      <c r="C33" s="17" t="n">
        <v>782.2</v>
      </c>
      <c r="D33" s="0" t="s">
        <v>42</v>
      </c>
      <c r="E33" s="0" t="s">
        <v>77</v>
      </c>
    </row>
    <row r="34" customFormat="false" ht="15" hidden="false" customHeight="false" outlineLevel="0" collapsed="false">
      <c r="A34" s="0" t="s">
        <v>80</v>
      </c>
      <c r="B34" s="0" t="s">
        <v>60</v>
      </c>
      <c r="C34" s="15" t="n">
        <v>1.066</v>
      </c>
      <c r="D34" s="0" t="s">
        <v>42</v>
      </c>
      <c r="E34" s="0" t="s">
        <v>77</v>
      </c>
    </row>
    <row r="35" customFormat="false" ht="15" hidden="false" customHeight="false" outlineLevel="0" collapsed="false">
      <c r="A35" s="0" t="s">
        <v>81</v>
      </c>
      <c r="B35" s="0" t="s">
        <v>60</v>
      </c>
      <c r="C35" s="15" t="n">
        <v>0.063</v>
      </c>
      <c r="D35" s="0" t="s">
        <v>42</v>
      </c>
      <c r="E35" s="0" t="s">
        <v>77</v>
      </c>
    </row>
    <row r="36" customFormat="false" ht="15" hidden="false" customHeight="false" outlineLevel="0" collapsed="false">
      <c r="A36" s="0" t="s">
        <v>82</v>
      </c>
      <c r="B36" s="0" t="s">
        <v>47</v>
      </c>
      <c r="C36" s="17" t="n">
        <v>330.3</v>
      </c>
      <c r="D36" s="0" t="s">
        <v>42</v>
      </c>
      <c r="E36" s="0" t="s">
        <v>69</v>
      </c>
    </row>
    <row r="37" customFormat="false" ht="15" hidden="false" customHeight="false" outlineLevel="0" collapsed="false">
      <c r="A37" s="0" t="s">
        <v>83</v>
      </c>
      <c r="B37" s="0" t="s">
        <v>47</v>
      </c>
      <c r="C37" s="17" t="n">
        <v>259.3</v>
      </c>
      <c r="D37" s="0" t="s">
        <v>42</v>
      </c>
      <c r="E37" s="0" t="s">
        <v>69</v>
      </c>
    </row>
    <row r="38" customFormat="false" ht="15" hidden="false" customHeight="false" outlineLevel="0" collapsed="false">
      <c r="A38" s="0" t="s">
        <v>84</v>
      </c>
      <c r="B38" s="0" t="s">
        <v>47</v>
      </c>
      <c r="C38" s="17" t="n">
        <v>84.5</v>
      </c>
      <c r="D38" s="0" t="s">
        <v>42</v>
      </c>
      <c r="E38" s="0" t="s">
        <v>69</v>
      </c>
    </row>
    <row r="39" customFormat="false" ht="15" hidden="false" customHeight="false" outlineLevel="0" collapsed="false">
      <c r="A39" s="0" t="s">
        <v>85</v>
      </c>
      <c r="B39" s="0" t="s">
        <v>47</v>
      </c>
      <c r="C39" s="17" t="n">
        <v>45.2</v>
      </c>
      <c r="D39" s="0" t="s">
        <v>42</v>
      </c>
      <c r="E39" s="0" t="s">
        <v>69</v>
      </c>
    </row>
    <row r="40" customFormat="false" ht="15" hidden="false" customHeight="false" outlineLevel="0" collapsed="false">
      <c r="A40" s="0" t="s">
        <v>86</v>
      </c>
      <c r="B40" s="0" t="s">
        <v>47</v>
      </c>
      <c r="C40" s="17" t="n">
        <v>71</v>
      </c>
      <c r="D40" s="0" t="s">
        <v>42</v>
      </c>
      <c r="E40" s="0" t="s">
        <v>69</v>
      </c>
    </row>
    <row r="41" customFormat="false" ht="15" hidden="false" customHeight="false" outlineLevel="0" collapsed="false">
      <c r="A41" s="0" t="s">
        <v>87</v>
      </c>
      <c r="B41" s="0" t="s">
        <v>47</v>
      </c>
      <c r="C41" s="17" t="n">
        <v>22.7</v>
      </c>
      <c r="D41" s="0" t="s">
        <v>42</v>
      </c>
      <c r="E41" s="0" t="s">
        <v>69</v>
      </c>
    </row>
    <row r="42" customFormat="false" ht="15" hidden="false" customHeight="false" outlineLevel="0" collapsed="false">
      <c r="A42" s="0" t="s">
        <v>88</v>
      </c>
      <c r="B42" s="0" t="s">
        <v>47</v>
      </c>
      <c r="C42" s="17" t="n">
        <v>8</v>
      </c>
      <c r="D42" s="0" t="s">
        <v>42</v>
      </c>
      <c r="E42" s="0" t="s">
        <v>69</v>
      </c>
    </row>
    <row r="43" customFormat="false" ht="15" hidden="false" customHeight="false" outlineLevel="0" collapsed="false">
      <c r="A43" s="0" t="s">
        <v>89</v>
      </c>
      <c r="B43" s="0" t="s">
        <v>60</v>
      </c>
      <c r="C43" s="15" t="n">
        <v>0.23</v>
      </c>
      <c r="D43" s="0" t="s">
        <v>90</v>
      </c>
      <c r="E43" s="0" t="s">
        <v>91</v>
      </c>
    </row>
    <row r="44" customFormat="false" ht="15" hidden="false" customHeight="false" outlineLevel="0" collapsed="false">
      <c r="A44" s="0" t="s">
        <v>92</v>
      </c>
      <c r="B44" s="0" t="s">
        <v>60</v>
      </c>
      <c r="C44" s="15" t="n">
        <v>0.25</v>
      </c>
      <c r="D44" s="0" t="s">
        <v>42</v>
      </c>
      <c r="E44" s="0" t="s">
        <v>93</v>
      </c>
    </row>
    <row r="45" customFormat="false" ht="15" hidden="false" customHeight="false" outlineLevel="0" collapsed="false">
      <c r="A45" s="0" t="s">
        <v>94</v>
      </c>
      <c r="B45" s="0" t="s">
        <v>60</v>
      </c>
      <c r="C45" s="15" t="n">
        <v>0.3</v>
      </c>
      <c r="D45" s="0" t="s">
        <v>42</v>
      </c>
      <c r="E45" s="0" t="s">
        <v>93</v>
      </c>
    </row>
    <row r="46" customFormat="false" ht="15" hidden="false" customHeight="false" outlineLevel="0" collapsed="false">
      <c r="A46" s="0" t="s">
        <v>95</v>
      </c>
      <c r="B46" s="0" t="s">
        <v>60</v>
      </c>
      <c r="C46" s="15" t="n">
        <v>0.1</v>
      </c>
      <c r="D46" s="0" t="s">
        <v>90</v>
      </c>
      <c r="E46" s="0" t="s">
        <v>96</v>
      </c>
    </row>
    <row r="48" customFormat="false" ht="15" hidden="false" customHeight="false" outlineLevel="0" collapsed="false">
      <c r="A48" s="8" t="s">
        <v>97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A49" s="0" t="s">
        <v>98</v>
      </c>
      <c r="B49" s="0" t="s">
        <v>60</v>
      </c>
      <c r="D49" s="0" t="s">
        <v>90</v>
      </c>
      <c r="E49" s="0" t="s">
        <v>99</v>
      </c>
      <c r="F49" s="15" t="n">
        <v>0.21</v>
      </c>
      <c r="G49" s="15" t="n">
        <v>0.19</v>
      </c>
      <c r="H49" s="15" t="n">
        <v>0.17</v>
      </c>
      <c r="I49" s="15" t="n">
        <v>0.15</v>
      </c>
      <c r="J49" s="15" t="n">
        <v>0.13</v>
      </c>
      <c r="K49" s="15" t="n">
        <v>0.11</v>
      </c>
      <c r="L49" s="15" t="n">
        <v>0.09</v>
      </c>
    </row>
    <row r="50" customFormat="false" ht="15" hidden="false" customHeight="false" outlineLevel="0" collapsed="false">
      <c r="A50" s="0" t="s">
        <v>100</v>
      </c>
      <c r="B50" s="0" t="s">
        <v>60</v>
      </c>
      <c r="D50" s="0" t="s">
        <v>90</v>
      </c>
      <c r="E50" s="0" t="s">
        <v>101</v>
      </c>
      <c r="F50" s="15" t="n">
        <v>0.24</v>
      </c>
      <c r="G50" s="15" t="n">
        <v>0.255</v>
      </c>
      <c r="H50" s="15" t="n">
        <v>0.27</v>
      </c>
      <c r="I50" s="15" t="n">
        <v>0.285</v>
      </c>
      <c r="J50" s="15" t="n">
        <v>0.295</v>
      </c>
      <c r="K50" s="15" t="n">
        <v>0.305</v>
      </c>
      <c r="L50" s="15" t="n">
        <v>0.31</v>
      </c>
    </row>
    <row r="51" customFormat="false" ht="15" hidden="false" customHeight="false" outlineLevel="0" collapsed="false">
      <c r="A51" s="0" t="s">
        <v>102</v>
      </c>
      <c r="B51" s="0" t="s">
        <v>60</v>
      </c>
      <c r="D51" s="0" t="s">
        <v>90</v>
      </c>
      <c r="E51" s="0" t="s">
        <v>103</v>
      </c>
      <c r="F51" s="15" t="n">
        <v>0.065</v>
      </c>
      <c r="G51" s="15" t="n">
        <v>0.06</v>
      </c>
      <c r="H51" s="15" t="n">
        <v>0.055</v>
      </c>
      <c r="I51" s="15" t="n">
        <v>0.05</v>
      </c>
      <c r="J51" s="15" t="n">
        <v>0.045</v>
      </c>
      <c r="K51" s="15" t="n">
        <v>0.04</v>
      </c>
      <c r="L51" s="15" t="n">
        <v>0.04</v>
      </c>
    </row>
    <row r="52" customFormat="false" ht="15" hidden="false" customHeight="false" outlineLevel="0" collapsed="false">
      <c r="A52" s="0" t="s">
        <v>104</v>
      </c>
      <c r="B52" s="0" t="s">
        <v>60</v>
      </c>
      <c r="C52" s="16" t="n">
        <v>0.0454</v>
      </c>
      <c r="D52" s="0" t="s">
        <v>42</v>
      </c>
      <c r="E52" s="0" t="s">
        <v>105</v>
      </c>
    </row>
    <row r="53" customFormat="false" ht="15" hidden="false" customHeight="false" outlineLevel="0" collapsed="false">
      <c r="A53" s="0" t="s">
        <v>106</v>
      </c>
      <c r="B53" s="0" t="s">
        <v>52</v>
      </c>
      <c r="C53" s="18" t="n">
        <v>1.25</v>
      </c>
      <c r="D53" s="0" t="s">
        <v>90</v>
      </c>
      <c r="E53" s="0" t="s">
        <v>107</v>
      </c>
    </row>
    <row r="54" customFormat="false" ht="15" hidden="false" customHeight="false" outlineLevel="0" collapsed="false">
      <c r="A54" s="0" t="s">
        <v>108</v>
      </c>
      <c r="B54" s="0" t="s">
        <v>60</v>
      </c>
      <c r="C54" s="15" t="n">
        <v>0.05</v>
      </c>
      <c r="D54" s="0" t="s">
        <v>90</v>
      </c>
    </row>
    <row r="55" customFormat="false" ht="15" hidden="false" customHeight="false" outlineLevel="0" collapsed="false">
      <c r="A55" s="0" t="s">
        <v>109</v>
      </c>
      <c r="B55" s="0" t="s">
        <v>60</v>
      </c>
      <c r="C55" s="15" t="n">
        <v>0.035</v>
      </c>
      <c r="D55" s="0" t="s">
        <v>90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19" t="n">
        <v>1</v>
      </c>
      <c r="D56" s="0" t="s">
        <v>90</v>
      </c>
      <c r="E56" s="0" t="s">
        <v>112</v>
      </c>
    </row>
    <row r="58" customFormat="false" ht="15" hidden="false" customHeight="false" outlineLevel="0" collapsed="false">
      <c r="A58" s="8" t="s">
        <v>113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A59" s="0" t="s">
        <v>114</v>
      </c>
      <c r="B59" s="0" t="s">
        <v>60</v>
      </c>
      <c r="C59" s="15" t="n">
        <v>0.1</v>
      </c>
      <c r="D59" s="0" t="s">
        <v>90</v>
      </c>
      <c r="E59" s="0" t="s">
        <v>115</v>
      </c>
    </row>
    <row r="60" customFormat="false" ht="15" hidden="false" customHeight="false" outlineLevel="0" collapsed="false">
      <c r="A60" s="0" t="s">
        <v>116</v>
      </c>
      <c r="B60" s="0" t="s">
        <v>52</v>
      </c>
      <c r="C60" s="13" t="n">
        <v>10</v>
      </c>
      <c r="D60" s="0" t="s">
        <v>90</v>
      </c>
    </row>
    <row r="61" customFormat="false" ht="15" hidden="false" customHeight="false" outlineLevel="0" collapsed="false">
      <c r="A61" s="0" t="s">
        <v>117</v>
      </c>
      <c r="B61" s="0" t="s">
        <v>52</v>
      </c>
      <c r="C61" s="13" t="n">
        <v>1</v>
      </c>
      <c r="D61" s="0" t="s">
        <v>90</v>
      </c>
    </row>
    <row r="62" customFormat="false" ht="15" hidden="false" customHeight="false" outlineLevel="0" collapsed="false">
      <c r="A62" s="0" t="s">
        <v>118</v>
      </c>
      <c r="B62" s="0" t="s">
        <v>60</v>
      </c>
      <c r="C62" s="15" t="n">
        <v>0.5</v>
      </c>
      <c r="D62" s="0" t="s">
        <v>90</v>
      </c>
    </row>
    <row r="63" customFormat="false" ht="15" hidden="false" customHeight="false" outlineLevel="0" collapsed="false">
      <c r="A63" s="0" t="s">
        <v>119</v>
      </c>
      <c r="B63" s="0" t="s">
        <v>60</v>
      </c>
      <c r="C63" s="15" t="n">
        <v>0.2</v>
      </c>
      <c r="D63" s="0" t="s">
        <v>90</v>
      </c>
    </row>
    <row r="65" customFormat="false" ht="15" hidden="false" customHeight="false" outlineLevel="0" collapsed="false">
      <c r="A65" s="8" t="s">
        <v>120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0" t="s">
        <v>121</v>
      </c>
      <c r="B66" s="0" t="s">
        <v>47</v>
      </c>
      <c r="C66" s="12" t="n">
        <v>1735</v>
      </c>
      <c r="D66" s="0" t="s">
        <v>42</v>
      </c>
      <c r="E66" s="0" t="s">
        <v>122</v>
      </c>
    </row>
    <row r="67" customFormat="false" ht="15" hidden="false" customHeight="false" outlineLevel="0" collapsed="false">
      <c r="A67" s="0" t="s">
        <v>123</v>
      </c>
      <c r="B67" s="0" t="s">
        <v>60</v>
      </c>
      <c r="C67" s="16" t="n">
        <v>0.0325</v>
      </c>
      <c r="D67" s="0" t="s">
        <v>42</v>
      </c>
      <c r="E67" s="0" t="s">
        <v>124</v>
      </c>
    </row>
    <row r="68" customFormat="false" ht="15" hidden="false" customHeight="false" outlineLevel="0" collapsed="false">
      <c r="A68" s="0" t="s">
        <v>125</v>
      </c>
      <c r="B68" s="0" t="s">
        <v>126</v>
      </c>
      <c r="C68" s="20" t="n">
        <v>0.995</v>
      </c>
      <c r="D68" s="0" t="s">
        <v>42</v>
      </c>
      <c r="E68" s="0" t="s">
        <v>124</v>
      </c>
    </row>
    <row r="69" customFormat="false" ht="15" hidden="false" customHeight="false" outlineLevel="0" collapsed="false">
      <c r="A69" s="0" t="s">
        <v>127</v>
      </c>
      <c r="B69" s="0" t="s">
        <v>128</v>
      </c>
      <c r="C69" s="19" t="n">
        <v>7</v>
      </c>
      <c r="D69" s="0" t="s">
        <v>42</v>
      </c>
      <c r="E69" s="0" t="s">
        <v>124</v>
      </c>
    </row>
    <row r="70" customFormat="false" ht="15" hidden="false" customHeight="false" outlineLevel="0" collapsed="false">
      <c r="A70" s="0" t="s">
        <v>129</v>
      </c>
      <c r="B70" s="0" t="s">
        <v>60</v>
      </c>
      <c r="C70" s="15" t="n">
        <v>0.01</v>
      </c>
      <c r="D70" s="0" t="s">
        <v>90</v>
      </c>
      <c r="E70" s="0" t="s">
        <v>130</v>
      </c>
    </row>
    <row r="71" customFormat="false" ht="15" hidden="false" customHeight="false" outlineLevel="0" collapsed="false">
      <c r="A71" s="0" t="s">
        <v>131</v>
      </c>
      <c r="B71" s="0" t="s">
        <v>47</v>
      </c>
      <c r="C71" s="12" t="n">
        <v>410</v>
      </c>
      <c r="D71" s="0" t="s">
        <v>42</v>
      </c>
      <c r="E71" s="0" t="s">
        <v>132</v>
      </c>
    </row>
    <row r="72" customFormat="false" ht="15" hidden="false" customHeight="false" outlineLevel="0" collapsed="false">
      <c r="A72" s="0" t="s">
        <v>133</v>
      </c>
      <c r="B72" s="0" t="s">
        <v>60</v>
      </c>
      <c r="C72" s="16" t="n">
        <v>0.0525</v>
      </c>
      <c r="D72" s="0" t="s">
        <v>42</v>
      </c>
      <c r="E72" s="0" t="s">
        <v>124</v>
      </c>
    </row>
    <row r="73" customFormat="false" ht="15" hidden="false" customHeight="false" outlineLevel="0" collapsed="false">
      <c r="A73" s="0" t="s">
        <v>134</v>
      </c>
      <c r="B73" s="0" t="s">
        <v>126</v>
      </c>
      <c r="C73" s="20" t="n">
        <v>0.995</v>
      </c>
      <c r="D73" s="0" t="s">
        <v>42</v>
      </c>
      <c r="E73" s="0" t="s">
        <v>124</v>
      </c>
    </row>
    <row r="74" customFormat="false" ht="15" hidden="false" customHeight="false" outlineLevel="0" collapsed="false">
      <c r="A74" s="0" t="s">
        <v>135</v>
      </c>
      <c r="B74" s="0" t="s">
        <v>128</v>
      </c>
      <c r="C74" s="19" t="n">
        <v>8</v>
      </c>
      <c r="D74" s="0" t="s">
        <v>42</v>
      </c>
      <c r="E74" s="0" t="s">
        <v>124</v>
      </c>
    </row>
    <row r="75" customFormat="false" ht="15" hidden="false" customHeight="false" outlineLevel="0" collapsed="false">
      <c r="A75" s="0" t="s">
        <v>136</v>
      </c>
      <c r="B75" s="0" t="s">
        <v>60</v>
      </c>
      <c r="D75" s="0" t="s">
        <v>90</v>
      </c>
      <c r="E75" s="0" t="s">
        <v>137</v>
      </c>
      <c r="F75" s="16" t="n">
        <v>0.046</v>
      </c>
      <c r="G75" s="16" t="n">
        <v>0.039</v>
      </c>
      <c r="H75" s="16" t="n">
        <v>0.036</v>
      </c>
      <c r="I75" s="16" t="n">
        <v>0.035</v>
      </c>
      <c r="J75" s="16" t="n">
        <v>0.035</v>
      </c>
    </row>
    <row r="76" customFormat="false" ht="15" hidden="false" customHeight="false" outlineLevel="0" collapsed="false">
      <c r="A76" s="0" t="s">
        <v>138</v>
      </c>
      <c r="B76" s="0" t="s">
        <v>60</v>
      </c>
      <c r="C76" s="15" t="n">
        <v>0.025</v>
      </c>
      <c r="D76" s="0" t="s">
        <v>90</v>
      </c>
    </row>
    <row r="77" customFormat="false" ht="15" hidden="false" customHeight="false" outlineLevel="0" collapsed="false">
      <c r="A77" s="0" t="s">
        <v>139</v>
      </c>
      <c r="B77" s="0" t="s">
        <v>60</v>
      </c>
      <c r="C77" s="15" t="n">
        <v>0.01</v>
      </c>
      <c r="D77" s="0" t="s">
        <v>90</v>
      </c>
    </row>
    <row r="78" customFormat="false" ht="15" hidden="false" customHeight="false" outlineLevel="0" collapsed="false">
      <c r="A78" s="0" t="s">
        <v>140</v>
      </c>
      <c r="B78" s="0" t="s">
        <v>47</v>
      </c>
      <c r="C78" s="17" t="n">
        <v>383.2</v>
      </c>
      <c r="D78" s="0" t="s">
        <v>90</v>
      </c>
      <c r="E78" s="0" t="s">
        <v>141</v>
      </c>
    </row>
    <row r="79" customFormat="false" ht="15" hidden="false" customHeight="false" outlineLevel="0" collapsed="false">
      <c r="A79" s="0" t="s">
        <v>142</v>
      </c>
      <c r="B79" s="0" t="s">
        <v>47</v>
      </c>
      <c r="C79" s="12" t="n">
        <v>100</v>
      </c>
      <c r="D79" s="0" t="s">
        <v>90</v>
      </c>
    </row>
    <row r="80" customFormat="false" ht="15" hidden="false" customHeight="false" outlineLevel="0" collapsed="false">
      <c r="A80" s="0" t="s">
        <v>143</v>
      </c>
      <c r="B80" s="0" t="s">
        <v>60</v>
      </c>
      <c r="C80" s="15" t="n">
        <v>0.75</v>
      </c>
      <c r="D80" s="0" t="s">
        <v>90</v>
      </c>
    </row>
    <row r="81" customFormat="false" ht="15" hidden="false" customHeight="false" outlineLevel="0" collapsed="false">
      <c r="A81" s="0" t="s">
        <v>144</v>
      </c>
      <c r="B81" s="0" t="s">
        <v>47</v>
      </c>
      <c r="C81" s="12" t="n">
        <v>20</v>
      </c>
      <c r="D81" s="0" t="s">
        <v>90</v>
      </c>
      <c r="E81" s="0" t="s">
        <v>145</v>
      </c>
    </row>
    <row r="82" customFormat="false" ht="15" hidden="false" customHeight="false" outlineLevel="0" collapsed="false">
      <c r="A82" s="0" t="s">
        <v>146</v>
      </c>
      <c r="B82" s="0" t="s">
        <v>60</v>
      </c>
      <c r="C82" s="15" t="n">
        <v>0.08</v>
      </c>
      <c r="D82" s="0" t="s">
        <v>90</v>
      </c>
    </row>
    <row r="83" customFormat="false" ht="15" hidden="false" customHeight="false" outlineLevel="0" collapsed="false">
      <c r="A83" s="0" t="s">
        <v>147</v>
      </c>
      <c r="B83" s="0" t="s">
        <v>47</v>
      </c>
      <c r="C83" s="17" t="n">
        <v>60.2</v>
      </c>
      <c r="D83" s="0" t="s">
        <v>90</v>
      </c>
      <c r="E83" s="0" t="s">
        <v>148</v>
      </c>
    </row>
    <row r="84" customFormat="false" ht="15" hidden="false" customHeight="false" outlineLevel="0" collapsed="false">
      <c r="A84" s="0" t="s">
        <v>149</v>
      </c>
      <c r="B84" s="0" t="s">
        <v>52</v>
      </c>
      <c r="C84" s="18" t="n">
        <v>0.75</v>
      </c>
      <c r="D84" s="0" t="s">
        <v>73</v>
      </c>
      <c r="E84" s="0" t="s">
        <v>150</v>
      </c>
    </row>
    <row r="85" customFormat="false" ht="15" hidden="false" customHeight="false" outlineLevel="0" collapsed="false">
      <c r="A85" s="0" t="s">
        <v>151</v>
      </c>
      <c r="B85" s="0" t="s">
        <v>128</v>
      </c>
      <c r="C85" s="18" t="n">
        <v>4.75</v>
      </c>
      <c r="D85" s="0" t="s">
        <v>73</v>
      </c>
    </row>
    <row r="87" customFormat="false" ht="15" hidden="false" customHeight="false" outlineLevel="0" collapsed="false">
      <c r="A87" s="8" t="s">
        <v>152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customFormat="false" ht="15" hidden="false" customHeight="false" outlineLevel="0" collapsed="false">
      <c r="A88" s="0" t="s">
        <v>98</v>
      </c>
      <c r="B88" s="0" t="s">
        <v>60</v>
      </c>
      <c r="D88" s="0" t="s">
        <v>90</v>
      </c>
      <c r="F88" s="15" t="n">
        <v>0.19</v>
      </c>
      <c r="G88" s="15" t="n">
        <v>0.17</v>
      </c>
      <c r="H88" s="15" t="n">
        <v>0.15</v>
      </c>
      <c r="I88" s="15" t="n">
        <v>0.13</v>
      </c>
      <c r="J88" s="15" t="n">
        <v>0.12</v>
      </c>
    </row>
    <row r="89" customFormat="false" ht="15" hidden="false" customHeight="false" outlineLevel="0" collapsed="false">
      <c r="A89" s="0" t="s">
        <v>100</v>
      </c>
      <c r="B89" s="0" t="s">
        <v>60</v>
      </c>
      <c r="D89" s="0" t="s">
        <v>90</v>
      </c>
      <c r="E89" s="0" t="s">
        <v>153</v>
      </c>
      <c r="F89" s="15" t="n">
        <v>0.27</v>
      </c>
      <c r="G89" s="15" t="n">
        <v>0.31</v>
      </c>
      <c r="H89" s="15" t="n">
        <v>0.35</v>
      </c>
      <c r="I89" s="15" t="n">
        <v>0.38</v>
      </c>
      <c r="J89" s="15" t="n">
        <v>0.4</v>
      </c>
    </row>
    <row r="90" customFormat="false" ht="15" hidden="false" customHeight="false" outlineLevel="0" collapsed="false">
      <c r="A90" s="0" t="s">
        <v>154</v>
      </c>
      <c r="B90" s="0" t="s">
        <v>52</v>
      </c>
      <c r="C90" s="13" t="n">
        <v>18</v>
      </c>
      <c r="D90" s="0" t="s">
        <v>90</v>
      </c>
    </row>
    <row r="92" customFormat="false" ht="15" hidden="false" customHeight="false" outlineLevel="0" collapsed="false">
      <c r="A92" s="8" t="s">
        <v>155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15" hidden="false" customHeight="false" outlineLevel="0" collapsed="false">
      <c r="A93" s="0" t="s">
        <v>98</v>
      </c>
      <c r="B93" s="0" t="s">
        <v>60</v>
      </c>
      <c r="D93" s="0" t="s">
        <v>90</v>
      </c>
      <c r="F93" s="15" t="n">
        <v>0.12</v>
      </c>
      <c r="G93" s="15" t="n">
        <v>0.09</v>
      </c>
      <c r="H93" s="15" t="n">
        <v>0.07</v>
      </c>
      <c r="I93" s="15" t="n">
        <v>0.06</v>
      </c>
      <c r="J93" s="15" t="n">
        <v>0.05</v>
      </c>
    </row>
    <row r="94" customFormat="false" ht="15" hidden="false" customHeight="false" outlineLevel="0" collapsed="false">
      <c r="A94" s="0" t="s">
        <v>100</v>
      </c>
      <c r="B94" s="0" t="s">
        <v>60</v>
      </c>
      <c r="D94" s="0" t="s">
        <v>90</v>
      </c>
      <c r="E94" s="0" t="s">
        <v>156</v>
      </c>
      <c r="F94" s="15" t="n">
        <v>0.24</v>
      </c>
      <c r="G94" s="15" t="n">
        <v>0.25</v>
      </c>
      <c r="H94" s="15" t="n">
        <v>0.26</v>
      </c>
      <c r="I94" s="15" t="n">
        <v>0.27</v>
      </c>
      <c r="J94" s="15" t="n">
        <v>0.28</v>
      </c>
    </row>
    <row r="95" customFormat="false" ht="15" hidden="false" customHeight="false" outlineLevel="0" collapsed="false">
      <c r="A95" s="0" t="s">
        <v>154</v>
      </c>
      <c r="B95" s="0" t="s">
        <v>52</v>
      </c>
      <c r="C95" s="13" t="n">
        <v>14</v>
      </c>
      <c r="D95" s="0" t="s">
        <v>90</v>
      </c>
    </row>
    <row r="97" customFormat="false" ht="15" hidden="false" customHeight="false" outlineLevel="0" collapsed="false">
      <c r="A97" s="8" t="s">
        <v>157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15" hidden="false" customHeight="false" outlineLevel="0" collapsed="false">
      <c r="A98" s="0" t="s">
        <v>158</v>
      </c>
      <c r="B98" s="0" t="s">
        <v>159</v>
      </c>
      <c r="C98" s="21" t="n">
        <f aca="false">Inputs!$C$7/(Inputs!$C$8/100)</f>
        <v>1.25</v>
      </c>
      <c r="D98" s="0" t="s">
        <v>73</v>
      </c>
    </row>
    <row r="99" customFormat="false" ht="15" hidden="false" customHeight="false" outlineLevel="0" collapsed="false">
      <c r="A99" s="0" t="s">
        <v>160</v>
      </c>
      <c r="B99" s="0" t="s">
        <v>161</v>
      </c>
      <c r="C99" s="6" t="n">
        <f aca="false">Inputs!$C$9/Inputs!$C$7</f>
        <v>685.806451612903</v>
      </c>
      <c r="D99" s="0" t="s">
        <v>73</v>
      </c>
    </row>
    <row r="100" customFormat="false" ht="15" hidden="false" customHeight="false" outlineLevel="0" collapsed="false">
      <c r="A100" s="0" t="s">
        <v>162</v>
      </c>
      <c r="B100" s="0" t="s">
        <v>47</v>
      </c>
      <c r="C100" s="6" t="n">
        <f aca="false">Inputs!$C$9-Inputs!$C$10</f>
        <v>323</v>
      </c>
      <c r="D100" s="0" t="s">
        <v>73</v>
      </c>
      <c r="E100" s="0" t="s">
        <v>163</v>
      </c>
    </row>
    <row r="101" customFormat="false" ht="15" hidden="false" customHeight="false" outlineLevel="0" collapsed="false">
      <c r="A101" s="0" t="s">
        <v>164</v>
      </c>
      <c r="B101" s="0" t="s">
        <v>60</v>
      </c>
      <c r="C101" s="3" t="n">
        <f aca="false">Inputs!$C$42/Inputs!$C$36</f>
        <v>0.0242204056917953</v>
      </c>
      <c r="D101" s="0" t="s">
        <v>73</v>
      </c>
    </row>
    <row r="102" customFormat="false" ht="15" hidden="false" customHeight="false" outlineLevel="0" collapsed="false">
      <c r="A102" s="0" t="s">
        <v>165</v>
      </c>
      <c r="B102" s="0" t="s">
        <v>60</v>
      </c>
      <c r="C102" s="3" t="n">
        <f aca="false">(Inputs!$C$38-Inputs!$C$40)/Inputs!$C$36</f>
        <v>0.0408719346049046</v>
      </c>
      <c r="D102" s="0" t="s">
        <v>73</v>
      </c>
    </row>
    <row r="103" customFormat="false" ht="15" hidden="false" customHeight="false" outlineLevel="0" collapsed="false">
      <c r="A103" s="0" t="s">
        <v>166</v>
      </c>
      <c r="B103" s="0" t="s">
        <v>60</v>
      </c>
      <c r="C103" s="22" t="n">
        <f aca="false">Inputs!$C$52+Inputs!$C$53*Inputs!$C$54</f>
        <v>0.1079</v>
      </c>
      <c r="D103" s="0" t="s">
        <v>73</v>
      </c>
    </row>
    <row r="104" customFormat="false" ht="15" hidden="false" customHeight="false" outlineLevel="0" collapsed="false">
      <c r="A104" s="0" t="s">
        <v>167</v>
      </c>
      <c r="B104" s="0" t="s">
        <v>52</v>
      </c>
      <c r="C104" s="23" t="n">
        <v>0.166666666666667</v>
      </c>
      <c r="D104" s="0" t="s">
        <v>73</v>
      </c>
      <c r="E104" s="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</cols>
  <sheetData>
    <row r="1" customFormat="false" ht="17.35" hidden="false" customHeight="false" outlineLevel="0" collapsed="false">
      <c r="A1" s="1" t="s">
        <v>169</v>
      </c>
    </row>
    <row r="4" customFormat="false" ht="15" hidden="false" customHeight="false" outlineLevel="0" collapsed="false">
      <c r="A4" s="7" t="s">
        <v>47</v>
      </c>
      <c r="B4" s="7" t="s">
        <v>170</v>
      </c>
      <c r="C4" s="7" t="s">
        <v>171</v>
      </c>
      <c r="D4" s="7" t="s">
        <v>172</v>
      </c>
    </row>
    <row r="5" customFormat="false" ht="15" hidden="false" customHeight="false" outlineLevel="0" collapsed="false">
      <c r="A5" s="0" t="s">
        <v>173</v>
      </c>
      <c r="B5" s="6" t="n">
        <f aca="false">Inputs!$C$29</f>
        <v>415.5</v>
      </c>
      <c r="C5" s="6" t="n">
        <f aca="false">Inputs!$C$30</f>
        <v>545.4</v>
      </c>
      <c r="D5" s="6" t="n">
        <f aca="false">Inputs!$C$31</f>
        <v>689.5</v>
      </c>
    </row>
    <row r="6" customFormat="false" ht="15" hidden="false" customHeight="false" outlineLevel="0" collapsed="false">
      <c r="A6" s="0" t="s">
        <v>174</v>
      </c>
      <c r="C6" s="24" t="n">
        <f aca="false">C5/B5-1</f>
        <v>0.312635379061372</v>
      </c>
      <c r="D6" s="24" t="n">
        <f aca="false">D5/C5-1</f>
        <v>0.264209754308764</v>
      </c>
    </row>
    <row r="7" customFormat="false" ht="15" hidden="false" customHeight="false" outlineLevel="0" collapsed="false">
      <c r="A7" s="0" t="s">
        <v>175</v>
      </c>
      <c r="C7" s="6" t="n">
        <f aca="false">Inputs!$C$32</f>
        <v>637.3</v>
      </c>
      <c r="D7" s="6" t="n">
        <f aca="false">Inputs!$C$33</f>
        <v>782.2</v>
      </c>
    </row>
    <row r="8" customFormat="false" ht="15" hidden="false" customHeight="false" outlineLevel="0" collapsed="false">
      <c r="A8" s="0" t="s">
        <v>176</v>
      </c>
      <c r="D8" s="24" t="n">
        <f aca="false">D7/C7-1</f>
        <v>0.227365447983681</v>
      </c>
    </row>
    <row r="9" customFormat="false" ht="15" hidden="false" customHeight="false" outlineLevel="0" collapsed="false">
      <c r="A9" s="0" t="s">
        <v>177</v>
      </c>
      <c r="C9" s="6" t="n">
        <f aca="false">Inputs!$C$12-Inputs!$C$38+Inputs!$C$39</f>
        <v>106.7</v>
      </c>
      <c r="D9" s="6" t="n">
        <f aca="false">D5*Inputs!$C$43</f>
        <v>158.585</v>
      </c>
    </row>
    <row r="10" customFormat="false" ht="15" hidden="false" customHeight="false" outlineLevel="0" collapsed="false">
      <c r="A10" s="0" t="s">
        <v>178</v>
      </c>
      <c r="C10" s="24" t="n">
        <f aca="false">C9/C5</f>
        <v>0.195636230289696</v>
      </c>
      <c r="D10" s="24" t="n">
        <f aca="false">D9/D5</f>
        <v>0.23</v>
      </c>
    </row>
    <row r="12" customFormat="false" ht="15" hidden="false" customHeight="false" outlineLevel="0" collapsed="false">
      <c r="A12" s="25" t="s">
        <v>179</v>
      </c>
    </row>
    <row r="13" customFormat="false" ht="15" hidden="false" customHeight="false" outlineLevel="0" collapsed="false">
      <c r="A13" s="0" t="s">
        <v>180</v>
      </c>
      <c r="B13" s="6" t="n">
        <f aca="false">Inputs!$C$30+Inputs!$C$36-Inputs!$C$37</f>
        <v>616.4</v>
      </c>
    </row>
    <row r="14" customFormat="false" ht="15" hidden="false" customHeight="false" outlineLevel="0" collapsed="false">
      <c r="A14" s="0" t="s">
        <v>181</v>
      </c>
      <c r="B14" s="6" t="n">
        <f aca="false">Inputs!$C$11</f>
        <v>616</v>
      </c>
    </row>
    <row r="15" customFormat="false" ht="15" hidden="false" customHeight="false" outlineLevel="0" collapsed="false">
      <c r="A15" s="0" t="s">
        <v>182</v>
      </c>
      <c r="B15" s="3" t="n">
        <f aca="false">Inputs!$C$41/Inputs!$C$36</f>
        <v>0.0687254011504693</v>
      </c>
    </row>
    <row r="16" customFormat="false" ht="15" hidden="false" customHeight="false" outlineLevel="0" collapsed="false">
      <c r="A16" s="0" t="s">
        <v>183</v>
      </c>
      <c r="B16" s="3" t="n">
        <f aca="false">Inputs!$C$38/Inputs!$C$36</f>
        <v>0.255828035119588</v>
      </c>
    </row>
    <row r="17" customFormat="false" ht="15" hidden="false" customHeight="false" outlineLevel="0" collapsed="false">
      <c r="A17" s="0" t="s">
        <v>184</v>
      </c>
      <c r="B17" s="3" t="n">
        <f aca="false">Inputs!$C$34</f>
        <v>1.066</v>
      </c>
      <c r="C17" s="3" t="n">
        <f aca="false">Inputs!$C$35</f>
        <v>0.063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0" t="s">
        <v>186</v>
      </c>
    </row>
    <row r="4" customFormat="false" ht="15" hidden="false" customHeight="false" outlineLevel="0" collapsed="false">
      <c r="A4" s="0" t="s">
        <v>187</v>
      </c>
      <c r="B4" s="26" t="n">
        <f aca="false">Inputs!$C$7</f>
        <v>7.75</v>
      </c>
    </row>
    <row r="5" customFormat="false" ht="15" hidden="false" customHeight="false" outlineLevel="0" collapsed="false">
      <c r="A5" s="0" t="s">
        <v>3</v>
      </c>
      <c r="B5" s="2" t="n">
        <f aca="false">Inputs!$C$8</f>
        <v>620</v>
      </c>
    </row>
    <row r="6" customFormat="false" ht="15" hidden="false" customHeight="false" outlineLevel="0" collapsed="false">
      <c r="A6" s="0" t="s">
        <v>188</v>
      </c>
      <c r="B6" s="21" t="n">
        <f aca="false">Inputs!$C$98</f>
        <v>1.25</v>
      </c>
    </row>
    <row r="7" customFormat="false" ht="15" hidden="false" customHeight="false" outlineLevel="0" collapsed="false">
      <c r="A7" s="0" t="s">
        <v>189</v>
      </c>
      <c r="B7" s="6" t="n">
        <f aca="false">Inputs!$C$99</f>
        <v>685.806451612903</v>
      </c>
    </row>
    <row r="8" customFormat="false" ht="15" hidden="false" customHeight="false" outlineLevel="0" collapsed="false">
      <c r="A8" s="0" t="s">
        <v>190</v>
      </c>
      <c r="B8" s="5" t="n">
        <f aca="false">Inputs!$C$9</f>
        <v>5315</v>
      </c>
    </row>
    <row r="9" customFormat="false" ht="15" hidden="false" customHeight="false" outlineLevel="0" collapsed="false">
      <c r="A9" s="0" t="s">
        <v>191</v>
      </c>
      <c r="B9" s="6" t="n">
        <f aca="false">Inputs!$C$100</f>
        <v>323</v>
      </c>
    </row>
    <row r="10" customFormat="false" ht="15" hidden="false" customHeight="false" outlineLevel="0" collapsed="false">
      <c r="A10" s="0" t="s">
        <v>192</v>
      </c>
      <c r="B10" s="5" t="n">
        <f aca="false">Inputs!$C$10</f>
        <v>4992</v>
      </c>
    </row>
    <row r="11" customFormat="false" ht="15" hidden="false" customHeight="false" outlineLevel="0" collapsed="false">
      <c r="A11" s="0" t="s">
        <v>193</v>
      </c>
      <c r="B11" s="4" t="n">
        <f aca="false">Inputs!$C$10/Inputs!$C$11</f>
        <v>8.1038961038961</v>
      </c>
    </row>
    <row r="12" customFormat="false" ht="15" hidden="false" customHeight="false" outlineLevel="0" collapsed="false">
      <c r="A12" s="0" t="s">
        <v>51</v>
      </c>
      <c r="B12" s="4" t="n">
        <f aca="false">Inputs!$C$13</f>
        <v>8.1</v>
      </c>
    </row>
    <row r="13" customFormat="false" ht="15" hidden="false" customHeight="false" outlineLevel="0" collapsed="false">
      <c r="A13" s="0" t="s">
        <v>194</v>
      </c>
      <c r="B13" s="4" t="n">
        <f aca="false">Inputs!$C$10/Inputs!$C$12</f>
        <v>34.1917808219178</v>
      </c>
    </row>
    <row r="14" customFormat="false" ht="15" hidden="false" customHeight="false" outlineLevel="0" collapsed="false">
      <c r="A14" s="0" t="s">
        <v>195</v>
      </c>
      <c r="B14" s="4" t="n">
        <f aca="false">Inputs!$C$14</f>
        <v>34.2</v>
      </c>
    </row>
    <row r="15" customFormat="false" ht="15" hidden="false" customHeight="false" outlineLevel="0" collapsed="false">
      <c r="A15" s="0" t="s">
        <v>196</v>
      </c>
      <c r="B15" s="4" t="n">
        <f aca="false">Inputs!$C$10/Inputs!$C$33</f>
        <v>6.38199948862184</v>
      </c>
    </row>
    <row r="16" customFormat="false" ht="15" hidden="false" customHeight="false" outlineLevel="0" collapsed="false">
      <c r="A16" s="0" t="s">
        <v>197</v>
      </c>
      <c r="B16" s="3" t="n">
        <f aca="false">Inputs!$C$8/Inputs!$C$15-1</f>
        <v>0.199226305609284</v>
      </c>
    </row>
    <row r="17" customFormat="false" ht="15" hidden="false" customHeight="false" outlineLevel="0" collapsed="false">
      <c r="A17" s="0" t="s">
        <v>198</v>
      </c>
      <c r="B17" s="3" t="n">
        <f aca="false">Inputs!$C$20</f>
        <v>0.2</v>
      </c>
    </row>
    <row r="18" customFormat="false" ht="15" hidden="false" customHeight="false" outlineLevel="0" collapsed="false">
      <c r="A18" s="0" t="s">
        <v>199</v>
      </c>
      <c r="B18" s="3" t="n">
        <f aca="false">Inputs!$C$8/Inputs!$C$16-1</f>
        <v>0.44219585950221</v>
      </c>
    </row>
    <row r="19" customFormat="false" ht="15" hidden="false" customHeight="false" outlineLevel="0" collapsed="false">
      <c r="A19" s="0" t="s">
        <v>200</v>
      </c>
      <c r="B19" s="3" t="n">
        <f aca="false">Inputs!$C$21</f>
        <v>0.443</v>
      </c>
    </row>
    <row r="20" customFormat="false" ht="15" hidden="false" customHeight="false" outlineLevel="0" collapsed="false">
      <c r="A20" s="0" t="s">
        <v>201</v>
      </c>
      <c r="B20" s="3" t="n">
        <f aca="false">Inputs!$C$8/Inputs!$C$17-1</f>
        <v>0.195526417277285</v>
      </c>
    </row>
    <row r="21" customFormat="false" ht="15" hidden="false" customHeight="false" outlineLevel="0" collapsed="false">
      <c r="A21" s="0" t="s">
        <v>202</v>
      </c>
      <c r="B21" s="3" t="n">
        <f aca="false">Inputs!$C$8/Inputs!$C$18-1</f>
        <v>0.458823529411765</v>
      </c>
    </row>
    <row r="22" customFormat="false" ht="15" hidden="false" customHeight="false" outlineLevel="0" collapsed="false">
      <c r="A22" s="0" t="s">
        <v>203</v>
      </c>
      <c r="B22" s="4" t="n">
        <f aca="false">Inputs!$C$8/Inputs!$C$19</f>
        <v>2.48</v>
      </c>
    </row>
    <row r="23" customFormat="false" ht="15" hidden="false" customHeight="false" outlineLevel="0" collapsed="false">
      <c r="A23" s="0" t="s">
        <v>204</v>
      </c>
      <c r="B23" s="3" t="n">
        <f aca="false">Inputs!$C$15/Inputs!$C$16-1</f>
        <v>0.20260525703652</v>
      </c>
    </row>
    <row r="24" customFormat="false" ht="15" hidden="false" customHeight="false" outlineLevel="0" collapsed="false">
      <c r="A24" s="0" t="s">
        <v>205</v>
      </c>
      <c r="B24" s="3" t="n">
        <f aca="false">Inputs!$C$22</f>
        <v>0.1471</v>
      </c>
    </row>
    <row r="25" customFormat="false" ht="15" hidden="false" customHeight="false" outlineLevel="0" collapsed="false">
      <c r="A25" s="0" t="s">
        <v>206</v>
      </c>
      <c r="B25" s="22" t="n">
        <f aca="false">Inputs!$C$23</f>
        <v>0.9955</v>
      </c>
    </row>
    <row r="26" customFormat="false" ht="15" hidden="false" customHeight="false" outlineLevel="0" collapsed="false">
      <c r="A26" s="0" t="s">
        <v>207</v>
      </c>
      <c r="B26" s="22" t="n">
        <f aca="false">Inputs!$C$24</f>
        <v>0.6529</v>
      </c>
    </row>
    <row r="28" customFormat="false" ht="15" hidden="false" customHeight="false" outlineLevel="0" collapsed="false">
      <c r="A28" s="25" t="s">
        <v>208</v>
      </c>
    </row>
    <row r="29" customFormat="false" ht="15" hidden="false" customHeight="false" outlineLevel="0" collapsed="false">
      <c r="A29" s="0" t="s">
        <v>209</v>
      </c>
      <c r="B29" s="0" t="s">
        <v>210</v>
      </c>
    </row>
    <row r="30" customFormat="false" ht="15" hidden="false" customHeight="false" outlineLevel="0" collapsed="false">
      <c r="A30" s="0" t="s">
        <v>211</v>
      </c>
      <c r="B30" s="0" t="s">
        <v>212</v>
      </c>
    </row>
    <row r="31" customFormat="false" ht="15" hidden="false" customHeight="false" outlineLevel="0" collapsed="false">
      <c r="A31" s="0" t="s">
        <v>213</v>
      </c>
      <c r="B31" s="0" t="s">
        <v>214</v>
      </c>
    </row>
    <row r="32" customFormat="false" ht="15" hidden="false" customHeight="false" outlineLevel="0" collapsed="false">
      <c r="A32" s="0" t="s">
        <v>215</v>
      </c>
      <c r="B32" s="0" t="s">
        <v>216</v>
      </c>
    </row>
    <row r="33" customFormat="false" ht="15" hidden="false" customHeight="false" outlineLevel="0" collapsed="false">
      <c r="A33" s="0" t="s">
        <v>217</v>
      </c>
      <c r="B33" s="0" t="s">
        <v>218</v>
      </c>
    </row>
    <row r="34" customFormat="false" ht="15" hidden="false" customHeight="false" outlineLevel="0" collapsed="false">
      <c r="A34" s="0" t="s">
        <v>219</v>
      </c>
      <c r="B34" s="0" t="s">
        <v>220</v>
      </c>
    </row>
    <row r="35" customFormat="false" ht="15" hidden="false" customHeight="false" outlineLevel="0" collapsed="false">
      <c r="A35" s="0" t="s">
        <v>221</v>
      </c>
      <c r="B35" s="0" t="s">
        <v>222</v>
      </c>
    </row>
    <row r="36" customFormat="false" ht="15" hidden="false" customHeight="false" outlineLevel="0" collapsed="false">
      <c r="A36" s="0" t="s">
        <v>223</v>
      </c>
      <c r="B36" s="0" t="s">
        <v>224</v>
      </c>
    </row>
    <row r="37" customFormat="false" ht="15" hidden="false" customHeight="false" outlineLevel="0" collapsed="false">
      <c r="A37" s="0" t="s">
        <v>225</v>
      </c>
      <c r="B37" s="0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0" t="s">
        <v>228</v>
      </c>
    </row>
    <row r="4" customFormat="false" ht="15" hidden="false" customHeight="false" outlineLevel="0" collapsed="false">
      <c r="A4" s="7" t="s">
        <v>47</v>
      </c>
      <c r="B4" s="7" t="s">
        <v>229</v>
      </c>
      <c r="C4" s="7" t="s">
        <v>230</v>
      </c>
      <c r="D4" s="7" t="s">
        <v>231</v>
      </c>
      <c r="E4" s="7" t="s">
        <v>232</v>
      </c>
      <c r="F4" s="7" t="s">
        <v>233</v>
      </c>
      <c r="G4" s="7" t="s">
        <v>234</v>
      </c>
      <c r="H4" s="7" t="s">
        <v>235</v>
      </c>
      <c r="I4" s="7" t="s">
        <v>236</v>
      </c>
    </row>
    <row r="5" customFormat="false" ht="15" hidden="false" customHeight="false" outlineLevel="0" collapsed="false">
      <c r="A5" s="0" t="s">
        <v>173</v>
      </c>
      <c r="B5" s="6" t="n">
        <f aca="false">History!D5</f>
        <v>689.5</v>
      </c>
      <c r="C5" s="27" t="n">
        <f aca="false">B5*(1+C6)</f>
        <v>834.295</v>
      </c>
      <c r="D5" s="27" t="n">
        <f aca="false">C5*(1+D6)</f>
        <v>992.81105</v>
      </c>
      <c r="E5" s="27" t="n">
        <f aca="false">D5*(1+E6)</f>
        <v>1161.5889285</v>
      </c>
      <c r="F5" s="27" t="n">
        <f aca="false">E5*(1+F6)</f>
        <v>1335.827267775</v>
      </c>
      <c r="G5" s="27" t="n">
        <f aca="false">F5*(1+G6)</f>
        <v>1509.48481258575</v>
      </c>
      <c r="H5" s="27" t="n">
        <f aca="false">G5*(1+H6)</f>
        <v>1675.52814197018</v>
      </c>
      <c r="I5" s="27" t="n">
        <f aca="false">H5*(1+I6)</f>
        <v>1826.3256747475</v>
      </c>
    </row>
    <row r="6" customFormat="false" ht="15" hidden="false" customHeight="false" outlineLevel="0" collapsed="false">
      <c r="A6" s="0" t="s">
        <v>174</v>
      </c>
      <c r="C6" s="3" t="n">
        <f aca="false">Inputs!$F$49</f>
        <v>0.21</v>
      </c>
      <c r="D6" s="3" t="n">
        <f aca="false">Inputs!$G$49</f>
        <v>0.19</v>
      </c>
      <c r="E6" s="3" t="n">
        <f aca="false">Inputs!$H$49</f>
        <v>0.17</v>
      </c>
      <c r="F6" s="3" t="n">
        <f aca="false">Inputs!$I$49</f>
        <v>0.15</v>
      </c>
      <c r="G6" s="3" t="n">
        <f aca="false">Inputs!$J$49</f>
        <v>0.13</v>
      </c>
      <c r="H6" s="3" t="n">
        <f aca="false">Inputs!$K$49</f>
        <v>0.11</v>
      </c>
      <c r="I6" s="3" t="n">
        <f aca="false">Inputs!$L$49</f>
        <v>0.09</v>
      </c>
    </row>
    <row r="7" customFormat="false" ht="15" hidden="false" customHeight="false" outlineLevel="0" collapsed="false">
      <c r="A7" s="0" t="s">
        <v>237</v>
      </c>
      <c r="C7" s="27" t="n">
        <f aca="false">C5*C8</f>
        <v>200.2308</v>
      </c>
      <c r="D7" s="27" t="n">
        <f aca="false">D5*D8</f>
        <v>253.16681775</v>
      </c>
      <c r="E7" s="27" t="n">
        <f aca="false">E5*E8</f>
        <v>313.629010695</v>
      </c>
      <c r="F7" s="27" t="n">
        <f aca="false">F5*F8</f>
        <v>380.710771315875</v>
      </c>
      <c r="G7" s="27" t="n">
        <f aca="false">G5*G8</f>
        <v>445.298019712796</v>
      </c>
      <c r="H7" s="27" t="n">
        <f aca="false">H5*H8</f>
        <v>511.036083300906</v>
      </c>
      <c r="I7" s="27" t="n">
        <f aca="false">I5*I8</f>
        <v>566.160959171725</v>
      </c>
    </row>
    <row r="8" customFormat="false" ht="15" hidden="false" customHeight="false" outlineLevel="0" collapsed="false">
      <c r="A8" s="0" t="s">
        <v>178</v>
      </c>
      <c r="C8" s="3" t="n">
        <f aca="false">Inputs!$F$50</f>
        <v>0.24</v>
      </c>
      <c r="D8" s="3" t="n">
        <f aca="false">Inputs!$G$50</f>
        <v>0.255</v>
      </c>
      <c r="E8" s="3" t="n">
        <f aca="false">Inputs!$H$50</f>
        <v>0.27</v>
      </c>
      <c r="F8" s="3" t="n">
        <f aca="false">Inputs!$I$50</f>
        <v>0.285</v>
      </c>
      <c r="G8" s="3" t="n">
        <f aca="false">Inputs!$J$50</f>
        <v>0.295</v>
      </c>
      <c r="H8" s="3" t="n">
        <f aca="false">Inputs!$K$50</f>
        <v>0.305</v>
      </c>
      <c r="I8" s="3" t="n">
        <f aca="false">Inputs!$L$50</f>
        <v>0.31</v>
      </c>
    </row>
    <row r="9" customFormat="false" ht="15" hidden="false" customHeight="false" outlineLevel="0" collapsed="false">
      <c r="A9" s="0" t="s">
        <v>238</v>
      </c>
      <c r="C9" s="6" t="n">
        <f aca="false">C5*Inputs!$F$51</f>
        <v>54.229175</v>
      </c>
      <c r="D9" s="6" t="n">
        <f aca="false">D5*Inputs!$G$51</f>
        <v>59.568663</v>
      </c>
      <c r="E9" s="6" t="n">
        <f aca="false">E5*Inputs!$H$51</f>
        <v>63.8873910675</v>
      </c>
      <c r="F9" s="6" t="n">
        <f aca="false">F5*Inputs!$I$51</f>
        <v>66.79136338875</v>
      </c>
      <c r="G9" s="6" t="n">
        <f aca="false">G5*Inputs!$J$51</f>
        <v>67.9268165663587</v>
      </c>
      <c r="H9" s="6" t="n">
        <f aca="false">H5*Inputs!$K$51</f>
        <v>67.0211256788073</v>
      </c>
      <c r="I9" s="6" t="n">
        <f aca="false">I5*Inputs!$L$51</f>
        <v>73.0530269899</v>
      </c>
    </row>
    <row r="10" customFormat="false" ht="15" hidden="false" customHeight="false" outlineLevel="0" collapsed="false">
      <c r="A10" s="0" t="s">
        <v>239</v>
      </c>
      <c r="C10" s="6" t="n">
        <f aca="false">C5*Inputs!$C$102</f>
        <v>34.0992506811989</v>
      </c>
      <c r="D10" s="6" t="n">
        <f aca="false">D5*Inputs!$C$102</f>
        <v>40.5781083106267</v>
      </c>
      <c r="E10" s="6" t="n">
        <f aca="false">E5*Inputs!$C$102</f>
        <v>47.4763867234332</v>
      </c>
      <c r="F10" s="6" t="n">
        <f aca="false">F5*Inputs!$C$102</f>
        <v>54.5978447319482</v>
      </c>
      <c r="G10" s="6" t="n">
        <f aca="false">G5*Inputs!$C$102</f>
        <v>61.6955645471015</v>
      </c>
      <c r="H10" s="6" t="n">
        <f aca="false">H5*Inputs!$C$102</f>
        <v>68.4820766472827</v>
      </c>
      <c r="I10" s="6" t="n">
        <f aca="false">I5*Inputs!$C$102</f>
        <v>74.6454635455381</v>
      </c>
    </row>
    <row r="11" customFormat="false" ht="15" hidden="false" customHeight="false" outlineLevel="0" collapsed="false">
      <c r="A11" s="0" t="s">
        <v>240</v>
      </c>
      <c r="C11" s="27" t="n">
        <f aca="false">C7-C9-C10</f>
        <v>111.902374318801</v>
      </c>
      <c r="D11" s="27" t="n">
        <f aca="false">D7-D9-D10</f>
        <v>153.020046439373</v>
      </c>
      <c r="E11" s="27" t="n">
        <f aca="false">E7-E9-E10</f>
        <v>202.265232904067</v>
      </c>
      <c r="F11" s="27" t="n">
        <f aca="false">F7-F9-F10</f>
        <v>259.321563195177</v>
      </c>
      <c r="G11" s="27" t="n">
        <f aca="false">G7-G9-G10</f>
        <v>315.675638599336</v>
      </c>
      <c r="H11" s="27" t="n">
        <f aca="false">H7-H9-H10</f>
        <v>375.532880974816</v>
      </c>
      <c r="I11" s="27" t="n">
        <f aca="false">I7-I9-I10</f>
        <v>418.462468636287</v>
      </c>
    </row>
    <row r="12" customFormat="false" ht="15" hidden="false" customHeight="false" outlineLevel="0" collapsed="false">
      <c r="A12" s="0" t="s">
        <v>241</v>
      </c>
      <c r="C12" s="6" t="n">
        <f aca="false">MAX(0,C11)*Inputs!$C$44</f>
        <v>27.9755935797003</v>
      </c>
      <c r="D12" s="6" t="n">
        <f aca="false">MAX(0,D11)*Inputs!$C$44</f>
        <v>38.2550116098433</v>
      </c>
      <c r="E12" s="6" t="n">
        <f aca="false">MAX(0,E11)*Inputs!$C$44</f>
        <v>50.5663082260167</v>
      </c>
      <c r="F12" s="6" t="n">
        <f aca="false">MAX(0,F11)*Inputs!$C$44</f>
        <v>64.8303907987942</v>
      </c>
      <c r="G12" s="6" t="n">
        <f aca="false">MAX(0,G11)*Inputs!$C$44</f>
        <v>78.918909649834</v>
      </c>
      <c r="H12" s="6" t="n">
        <f aca="false">MAX(0,H11)*Inputs!$C$44</f>
        <v>93.8832202437039</v>
      </c>
      <c r="I12" s="6" t="n">
        <f aca="false">MAX(0,I11)*Inputs!$C$44</f>
        <v>104.615617159072</v>
      </c>
    </row>
    <row r="13" customFormat="false" ht="15" hidden="false" customHeight="false" outlineLevel="0" collapsed="false">
      <c r="A13" s="0" t="s">
        <v>242</v>
      </c>
      <c r="C13" s="6" t="n">
        <f aca="false">C5*Inputs!$C$101</f>
        <v>20.2069633666364</v>
      </c>
      <c r="D13" s="6" t="n">
        <f aca="false">D5*Inputs!$C$101</f>
        <v>24.0462864062973</v>
      </c>
      <c r="E13" s="6" t="n">
        <f aca="false">E5*Inputs!$C$101</f>
        <v>28.1341550953678</v>
      </c>
      <c r="F13" s="6" t="n">
        <f aca="false">F5*Inputs!$C$101</f>
        <v>32.354278359673</v>
      </c>
      <c r="G13" s="6" t="n">
        <f aca="false">G5*Inputs!$C$101</f>
        <v>36.5603345464305</v>
      </c>
      <c r="H13" s="6" t="n">
        <f aca="false">H5*Inputs!$C$101</f>
        <v>40.5819713465379</v>
      </c>
      <c r="I13" s="6" t="n">
        <f aca="false">I5*Inputs!$C$101</f>
        <v>44.2343487677263</v>
      </c>
    </row>
    <row r="14" customFormat="false" ht="15" hidden="false" customHeight="false" outlineLevel="0" collapsed="false">
      <c r="A14" s="0" t="s">
        <v>243</v>
      </c>
      <c r="C14" s="6" t="n">
        <f aca="false">(C5-B5)*Inputs!$C$46</f>
        <v>14.4795</v>
      </c>
      <c r="D14" s="6" t="n">
        <f aca="false">(D5-C5)*Inputs!$C$46</f>
        <v>15.851605</v>
      </c>
      <c r="E14" s="6" t="n">
        <f aca="false">(E5-D5)*Inputs!$C$46</f>
        <v>16.87778785</v>
      </c>
      <c r="F14" s="6" t="n">
        <f aca="false">(F5-E5)*Inputs!$C$46</f>
        <v>17.4238339275</v>
      </c>
      <c r="G14" s="6" t="n">
        <f aca="false">(G5-F5)*Inputs!$C$46</f>
        <v>17.365754481075</v>
      </c>
      <c r="H14" s="6" t="n">
        <f aca="false">(H5-G5)*Inputs!$C$46</f>
        <v>16.6043329384433</v>
      </c>
      <c r="I14" s="6" t="n">
        <f aca="false">(I5-H5)*Inputs!$C$46</f>
        <v>15.0797532777317</v>
      </c>
    </row>
    <row r="15" customFormat="false" ht="15" hidden="false" customHeight="false" outlineLevel="0" collapsed="false">
      <c r="A15" s="0" t="s">
        <v>244</v>
      </c>
      <c r="C15" s="28" t="n">
        <f aca="false">C7-C9*Inputs!$C$56-C12-C13+C14</f>
        <v>112.298568053663</v>
      </c>
      <c r="D15" s="28" t="n">
        <f aca="false">D7-D9*Inputs!$C$56-D12-D13+D14</f>
        <v>147.148461733859</v>
      </c>
      <c r="E15" s="28" t="n">
        <f aca="false">E7-E9*Inputs!$C$56-E12-E13+E14</f>
        <v>187.918944156115</v>
      </c>
      <c r="F15" s="28" t="n">
        <f aca="false">F7-F9*Inputs!$C$56-F12-F13+F14</f>
        <v>234.158572696158</v>
      </c>
      <c r="G15" s="28" t="n">
        <f aca="false">G7-G9*Inputs!$C$56-G12-G13+G14</f>
        <v>279.257713431248</v>
      </c>
      <c r="H15" s="28" t="n">
        <f aca="false">H7-H9*Inputs!$C$56-H12-H13+H14</f>
        <v>326.1540989703</v>
      </c>
      <c r="I15" s="28" t="n">
        <f aca="false">I7-I9*Inputs!$C$56-I12-I13+I14</f>
        <v>359.337719532758</v>
      </c>
    </row>
    <row r="16" customFormat="false" ht="15" hidden="false" customHeight="false" outlineLevel="0" collapsed="false">
      <c r="A16" s="0" t="s">
        <v>245</v>
      </c>
      <c r="C16" s="29" t="n">
        <f aca="false">0+0.5</f>
        <v>0.5</v>
      </c>
      <c r="D16" s="29" t="n">
        <f aca="false">1+0.5</f>
        <v>1.5</v>
      </c>
      <c r="E16" s="29" t="n">
        <f aca="false">2+0.5</f>
        <v>2.5</v>
      </c>
      <c r="F16" s="29" t="n">
        <f aca="false">3+0.5</f>
        <v>3.5</v>
      </c>
      <c r="G16" s="29" t="n">
        <f aca="false">4+0.5</f>
        <v>4.5</v>
      </c>
      <c r="H16" s="29" t="n">
        <f aca="false">5+0.5</f>
        <v>5.5</v>
      </c>
      <c r="I16" s="29" t="n">
        <f aca="false">6+0.5</f>
        <v>6.5</v>
      </c>
    </row>
    <row r="17" customFormat="false" ht="15" hidden="false" customHeight="false" outlineLevel="0" collapsed="false">
      <c r="A17" s="0" t="s">
        <v>246</v>
      </c>
      <c r="C17" s="30" t="n">
        <f aca="false">1/(1+Inputs!$C$103)^C16</f>
        <v>0.950057123901914</v>
      </c>
      <c r="D17" s="30" t="n">
        <f aca="false">1/(1+Inputs!$C$103)^D16</f>
        <v>0.857529672264567</v>
      </c>
      <c r="E17" s="30" t="n">
        <f aca="false">1/(1+Inputs!$C$103)^E16</f>
        <v>0.774013604354695</v>
      </c>
      <c r="F17" s="30" t="n">
        <f aca="false">1/(1+Inputs!$C$103)^F16</f>
        <v>0.698631288342536</v>
      </c>
      <c r="G17" s="30" t="n">
        <f aca="false">1/(1+Inputs!$C$103)^G16</f>
        <v>0.63059056624473</v>
      </c>
      <c r="H17" s="30" t="n">
        <f aca="false">1/(1+Inputs!$C$103)^H16</f>
        <v>0.569176429501516</v>
      </c>
      <c r="I17" s="30" t="n">
        <f aca="false">1/(1+Inputs!$C$103)^I16</f>
        <v>0.513743505281628</v>
      </c>
    </row>
    <row r="18" customFormat="false" ht="15" hidden="false" customHeight="false" outlineLevel="0" collapsed="false">
      <c r="A18" s="0" t="s">
        <v>247</v>
      </c>
      <c r="C18" s="27" t="n">
        <f aca="false">C15*C17</f>
        <v>106.690054583367</v>
      </c>
      <c r="D18" s="27" t="n">
        <f aca="false">D15*D17</f>
        <v>126.184172164872</v>
      </c>
      <c r="E18" s="27" t="n">
        <f aca="false">E15*E17</f>
        <v>145.451819292804</v>
      </c>
      <c r="F18" s="27" t="n">
        <f aca="false">F15*F17</f>
        <v>163.590505319166</v>
      </c>
      <c r="G18" s="27" t="n">
        <f aca="false">G15*G17</f>
        <v>176.097279640819</v>
      </c>
      <c r="H18" s="27" t="n">
        <f aca="false">H15*H17</f>
        <v>185.639225519199</v>
      </c>
      <c r="I18" s="27" t="n">
        <f aca="false">I15*I17</f>
        <v>184.607419612666</v>
      </c>
    </row>
    <row r="21" customFormat="false" ht="15" hidden="false" customHeight="false" outlineLevel="0" collapsed="false">
      <c r="A21" s="0" t="s">
        <v>248</v>
      </c>
      <c r="B21" s="22" t="n">
        <f aca="false">Inputs!$C$103</f>
        <v>0.1079</v>
      </c>
    </row>
    <row r="22" customFormat="false" ht="15" hidden="false" customHeight="false" outlineLevel="0" collapsed="false">
      <c r="A22" s="0" t="s">
        <v>109</v>
      </c>
      <c r="B22" s="3" t="n">
        <f aca="false">Inputs!$C$55</f>
        <v>0.035</v>
      </c>
    </row>
    <row r="23" customFormat="false" ht="15" hidden="false" customHeight="false" outlineLevel="0" collapsed="false">
      <c r="A23" s="0" t="s">
        <v>249</v>
      </c>
      <c r="B23" s="27" t="n">
        <f aca="false">SUM(C18:I18)</f>
        <v>1088.26047613289</v>
      </c>
    </row>
    <row r="24" customFormat="false" ht="15" hidden="false" customHeight="false" outlineLevel="0" collapsed="false">
      <c r="A24" s="0" t="s">
        <v>250</v>
      </c>
      <c r="B24" s="27" t="n">
        <f aca="false">I15*(1+B22)/(B21-B22)</f>
        <v>5101.70836373669</v>
      </c>
    </row>
    <row r="25" customFormat="false" ht="15" hidden="false" customHeight="false" outlineLevel="0" collapsed="false">
      <c r="A25" s="0" t="s">
        <v>251</v>
      </c>
      <c r="B25" s="27" t="n">
        <f aca="false">B24/(1+B21)^7</f>
        <v>2490.07078083195</v>
      </c>
    </row>
    <row r="26" customFormat="false" ht="15" hidden="false" customHeight="false" outlineLevel="0" collapsed="false">
      <c r="A26" s="0" t="s">
        <v>48</v>
      </c>
      <c r="B26" s="27" t="n">
        <f aca="false">B23+B25</f>
        <v>3578.33125696484</v>
      </c>
    </row>
    <row r="27" customFormat="false" ht="15" hidden="false" customHeight="false" outlineLevel="0" collapsed="false">
      <c r="A27" s="0" t="s">
        <v>252</v>
      </c>
      <c r="B27" s="6" t="n">
        <f aca="false">Inputs!$C$100</f>
        <v>323</v>
      </c>
    </row>
    <row r="28" customFormat="false" ht="15" hidden="false" customHeight="false" outlineLevel="0" collapsed="false">
      <c r="A28" s="0" t="s">
        <v>253</v>
      </c>
      <c r="B28" s="27" t="n">
        <f aca="false">B26+B27</f>
        <v>3901.33125696484</v>
      </c>
    </row>
    <row r="29" customFormat="false" ht="15" hidden="false" customHeight="false" outlineLevel="0" collapsed="false">
      <c r="A29" s="0" t="s">
        <v>254</v>
      </c>
      <c r="B29" s="26" t="n">
        <f aca="false">B28/Inputs!$C$99</f>
        <v>5.68867680930903</v>
      </c>
    </row>
    <row r="30" customFormat="false" ht="15" hidden="false" customHeight="false" outlineLevel="0" collapsed="false">
      <c r="A30" s="0" t="s">
        <v>255</v>
      </c>
      <c r="B30" s="31" t="n">
        <f aca="false">B29*100/Inputs!$C$98</f>
        <v>455.094144744722</v>
      </c>
    </row>
    <row r="31" customFormat="false" ht="15" hidden="false" customHeight="false" outlineLevel="0" collapsed="false">
      <c r="A31" s="0" t="s">
        <v>256</v>
      </c>
      <c r="B31" s="3" t="n">
        <f aca="false">B30/Inputs!$C$8-1</f>
        <v>-0.265977185895609</v>
      </c>
    </row>
    <row r="32" customFormat="false" ht="15" hidden="false" customHeight="false" outlineLevel="0" collapsed="false">
      <c r="A32" s="0" t="s">
        <v>257</v>
      </c>
      <c r="B32" s="3" t="n">
        <f aca="false">B30/Inputs!$C$15-1</f>
        <v>-0.119740532408661</v>
      </c>
    </row>
    <row r="33" customFormat="false" ht="15" hidden="false" customHeight="false" outlineLevel="0" collapsed="false">
      <c r="A33" s="0" t="s">
        <v>258</v>
      </c>
      <c r="B33" s="24" t="n">
        <f aca="false">B25/B26</f>
        <v>0.695874865130301</v>
      </c>
    </row>
    <row r="34" customFormat="false" ht="15" hidden="false" customHeight="false" outlineLevel="0" collapsed="false">
      <c r="A34" s="0" t="s">
        <v>259</v>
      </c>
      <c r="B34" s="32" t="n">
        <f aca="false">B24/I7</f>
        <v>9.01105645150865</v>
      </c>
    </row>
    <row r="35" customFormat="false" ht="15" hidden="false" customHeight="false" outlineLevel="0" collapsed="false">
      <c r="A35" s="0" t="s">
        <v>260</v>
      </c>
      <c r="B35" s="4" t="n">
        <f aca="false">Inputs!$C$10/C7</f>
        <v>24.931229361317</v>
      </c>
    </row>
    <row r="38" customFormat="false" ht="15" hidden="false" customHeight="false" outlineLevel="0" collapsed="false">
      <c r="A38" s="25" t="s">
        <v>261</v>
      </c>
    </row>
    <row r="39" customFormat="false" ht="15" hidden="false" customHeight="false" outlineLevel="0" collapsed="false">
      <c r="B39" s="3" t="n">
        <f aca="false">Inputs!$C$55+-0.01</f>
        <v>0.025</v>
      </c>
      <c r="C39" s="3" t="n">
        <f aca="false">Inputs!$C$55+-0.005</f>
        <v>0.03</v>
      </c>
      <c r="D39" s="3" t="n">
        <f aca="false">Inputs!$C$55+0</f>
        <v>0.035</v>
      </c>
      <c r="E39" s="3" t="n">
        <f aca="false">Inputs!$C$55+0.005</f>
        <v>0.04</v>
      </c>
      <c r="F39" s="3" t="n">
        <f aca="false">Inputs!$C$55+0.01</f>
        <v>0.045</v>
      </c>
    </row>
    <row r="40" customFormat="false" ht="15" hidden="false" customHeight="false" outlineLevel="0" collapsed="false">
      <c r="A40" s="22" t="n">
        <f aca="false">Inputs!$C$103+-0.01</f>
        <v>0.0979</v>
      </c>
      <c r="B40" s="2" t="n">
        <f aca="false">(SUMPRODUCT($C$15:$I$15,1/(1+$A40)^$C$16:$I$16)+$I$15*(1+B$39)/($A40-B$39)/(1+$A40)^7+Inputs!$C$100)/Inputs!$C$99*100/Inputs!$C$98</f>
        <v>475.669838583883</v>
      </c>
      <c r="C40" s="2" t="n">
        <f aca="false">(SUMPRODUCT($C$15:$I$15,1/(1+$A40)^$C$16:$I$16)+$I$15*(1+C$39)/($A40-C$39)/(1+$A40)^7+Inputs!$C$100)/Inputs!$C$99*100/Inputs!$C$98</f>
        <v>499.845992905504</v>
      </c>
      <c r="D40" s="2" t="n">
        <f aca="false">(SUMPRODUCT($C$15:$I$15,1/(1+$A40)^$C$16:$I$16)+$I$15*(1+D$39)/($A40-D$39)/(1+$A40)^7+Inputs!$C$100)/Inputs!$C$99*100/Inputs!$C$98</f>
        <v>527.865732969831</v>
      </c>
      <c r="E40" s="2" t="n">
        <f aca="false">(SUMPRODUCT($C$15:$I$15,1/(1+$A40)^$C$16:$I$16)+$I$15*(1+E$39)/($A40-E$39)/(1+$A40)^7+Inputs!$C$100)/Inputs!$C$99*100/Inputs!$C$98</f>
        <v>560.724806378602</v>
      </c>
      <c r="F40" s="2" t="n">
        <f aca="false">(SUMPRODUCT($C$15:$I$15,1/(1+$A40)^$C$16:$I$16)+$I$15*(1+F$39)/($A40-F$39)/(1+$A40)^7+Inputs!$C$100)/Inputs!$C$99*100/Inputs!$C$98</f>
        <v>599.795424855193</v>
      </c>
    </row>
    <row r="41" customFormat="false" ht="15" hidden="false" customHeight="false" outlineLevel="0" collapsed="false">
      <c r="A41" s="22" t="n">
        <f aca="false">Inputs!$C$103+-0.005</f>
        <v>0.1029</v>
      </c>
      <c r="B41" s="2" t="n">
        <f aca="false">(SUMPRODUCT($C$15:$I$15,1/(1+$A41)^$C$16:$I$16)+$I$15*(1+B$39)/($A41-B$39)/(1+$A41)^7+Inputs!$C$100)/Inputs!$C$99*100/Inputs!$C$98</f>
        <v>444.720361298523</v>
      </c>
      <c r="C41" s="2" t="n">
        <f aca="false">(SUMPRODUCT($C$15:$I$15,1/(1+$A41)^$C$16:$I$16)+$I$15*(1+C$39)/($A41-C$39)/(1+$A41)^7+Inputs!$C$100)/Inputs!$C$99*100/Inputs!$C$98</f>
        <v>465.226289195013</v>
      </c>
      <c r="D41" s="2" t="n">
        <f aca="false">(SUMPRODUCT($C$15:$I$15,1/(1+$A41)^$C$16:$I$16)+$I$15*(1+D$39)/($A41-D$39)/(1+$A41)^7+Inputs!$C$100)/Inputs!$C$99*100/Inputs!$C$98</f>
        <v>488.75223592751</v>
      </c>
      <c r="E41" s="2" t="n">
        <f aca="false">(SUMPRODUCT($C$15:$I$15,1/(1+$A41)^$C$16:$I$16)+$I$15*(1+E$39)/($A41-E$39)/(1+$A41)^7+Inputs!$C$100)/Inputs!$C$99*100/Inputs!$C$98</f>
        <v>516.018396766923</v>
      </c>
      <c r="F41" s="2" t="n">
        <f aca="false">(SUMPRODUCT($C$15:$I$15,1/(1+$A41)^$C$16:$I$16)+$I$15*(1+F$39)/($A41-F$39)/(1+$A41)^7+Inputs!$C$100)/Inputs!$C$99*100/Inputs!$C$98</f>
        <v>547.993739098463</v>
      </c>
    </row>
    <row r="42" customFormat="false" ht="15" hidden="false" customHeight="false" outlineLevel="0" collapsed="false">
      <c r="A42" s="22" t="n">
        <f aca="false">Inputs!$C$103+0</f>
        <v>0.1079</v>
      </c>
      <c r="B42" s="2" t="n">
        <f aca="false">(SUMPRODUCT($C$15:$I$15,1/(1+$A42)^$C$16:$I$16)+$I$15*(1+B$39)/($A42-B$39)/(1+$A42)^7+Inputs!$C$100)/Inputs!$C$99*100/Inputs!$C$98</f>
        <v>417.587709002847</v>
      </c>
      <c r="C42" s="2" t="n">
        <f aca="false">(SUMPRODUCT($C$15:$I$15,1/(1+$A42)^$C$16:$I$16)+$I$15*(1+C$39)/($A42-C$39)/(1+$A42)^7+Inputs!$C$100)/Inputs!$C$99*100/Inputs!$C$98</f>
        <v>435.137254353186</v>
      </c>
      <c r="D42" s="2" t="n">
        <f aca="false">(SUMPRODUCT($C$15:$I$15,1/(1+$A42)^$C$16:$I$16)+$I$15*(1+D$39)/($A42-D$39)/(1+$A42)^7+Inputs!$C$100)/Inputs!$C$99*100/Inputs!$C$98</f>
        <v>455.094144744722</v>
      </c>
      <c r="E42" s="2" t="n">
        <f aca="false">(SUMPRODUCT($C$15:$I$15,1/(1+$A42)^$C$16:$I$16)+$I$15*(1+E$39)/($A42-E$39)/(1+$A42)^7+Inputs!$C$100)/Inputs!$C$99*100/Inputs!$C$98</f>
        <v>477.990194251361</v>
      </c>
      <c r="F42" s="2" t="n">
        <f aca="false">(SUMPRODUCT($C$15:$I$15,1/(1+$A42)^$C$16:$I$16)+$I$15*(1+F$39)/($A42-F$39)/(1+$A42)^7+Inputs!$C$100)/Inputs!$C$99*100/Inputs!$C$98</f>
        <v>504.526315221693</v>
      </c>
    </row>
    <row r="43" customFormat="false" ht="15" hidden="false" customHeight="false" outlineLevel="0" collapsed="false">
      <c r="A43" s="22" t="n">
        <f aca="false">Inputs!$C$103+0.005</f>
        <v>0.1129</v>
      </c>
      <c r="B43" s="2" t="n">
        <f aca="false">(SUMPRODUCT($C$15:$I$15,1/(1+$A43)^$C$16:$I$16)+$I$15*(1+B$39)/($A43-B$39)/(1+$A43)^7+Inputs!$C$100)/Inputs!$C$99*100/Inputs!$C$98</f>
        <v>393.617531880437</v>
      </c>
      <c r="C43" s="2" t="n">
        <f aca="false">(SUMPRODUCT($C$15:$I$15,1/(1+$A43)^$C$16:$I$16)+$I$15*(1+C$39)/($A43-C$39)/(1+$A43)^7+Inputs!$C$100)/Inputs!$C$99*100/Inputs!$C$98</f>
        <v>408.755966592435</v>
      </c>
      <c r="D43" s="2" t="n">
        <f aca="false">(SUMPRODUCT($C$15:$I$15,1/(1+$A43)^$C$16:$I$16)+$I$15*(1+D$39)/($A43-D$39)/(1+$A43)^7+Inputs!$C$100)/Inputs!$C$99*100/Inputs!$C$98</f>
        <v>425.837717698784</v>
      </c>
      <c r="E43" s="2" t="n">
        <f aca="false">(SUMPRODUCT($C$15:$I$15,1/(1+$A43)^$C$16:$I$16)+$I$15*(1+E$39)/($A43-E$39)/(1+$A43)^7+Inputs!$C$100)/Inputs!$C$99*100/Inputs!$C$98</f>
        <v>445.262644539887</v>
      </c>
      <c r="F43" s="2" t="n">
        <f aca="false">(SUMPRODUCT($C$15:$I$15,1/(1+$A43)^$C$16:$I$16)+$I$15*(1+F$39)/($A43-F$39)/(1+$A43)^7+Inputs!$C$100)/Inputs!$C$99*100/Inputs!$C$98</f>
        <v>467.548385348751</v>
      </c>
    </row>
    <row r="44" customFormat="false" ht="15" hidden="false" customHeight="false" outlineLevel="0" collapsed="false">
      <c r="A44" s="22" t="n">
        <f aca="false">Inputs!$C$103+0.01</f>
        <v>0.1179</v>
      </c>
      <c r="B44" s="2" t="n">
        <f aca="false">(SUMPRODUCT($C$15:$I$15,1/(1+$A44)^$C$16:$I$16)+$I$15*(1+B$39)/($A44-B$39)/(1+$A44)^7+Inputs!$C$100)/Inputs!$C$99*100/Inputs!$C$98</f>
        <v>372.296481421468</v>
      </c>
      <c r="C44" s="2" t="n">
        <f aca="false">(SUMPRODUCT($C$15:$I$15,1/(1+$A44)^$C$16:$I$16)+$I$15*(1+C$39)/($A44-C$39)/(1+$A44)^7+Inputs!$C$100)/Inputs!$C$99*100/Inputs!$C$98</f>
        <v>385.446879701523</v>
      </c>
      <c r="D44" s="2" t="n">
        <f aca="false">(SUMPRODUCT($C$15:$I$15,1/(1+$A44)^$C$16:$I$16)+$I$15*(1+D$39)/($A44-D$39)/(1+$A44)^7+Inputs!$C$100)/Inputs!$C$99*100/Inputs!$C$98</f>
        <v>400.18357451717</v>
      </c>
      <c r="E44" s="2" t="n">
        <f aca="false">(SUMPRODUCT($C$15:$I$15,1/(1+$A44)^$C$16:$I$16)+$I$15*(1+E$39)/($A44-E$39)/(1+$A44)^7+Inputs!$C$100)/Inputs!$C$99*100/Inputs!$C$98</f>
        <v>416.812014495287</v>
      </c>
      <c r="F44" s="2" t="n">
        <f aca="false">(SUMPRODUCT($C$15:$I$15,1/(1+$A44)^$C$16:$I$16)+$I$15*(1+F$39)/($A44-F$39)/(1+$A44)^7+Inputs!$C$100)/Inputs!$C$99*100/Inputs!$C$98</f>
        <v>435.721447611693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11" style="0" width="14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0" t="s">
        <v>263</v>
      </c>
    </row>
    <row r="4" customFormat="false" ht="15" hidden="false" customHeight="false" outlineLevel="0" collapsed="false">
      <c r="A4" s="7" t="s">
        <v>264</v>
      </c>
      <c r="B4" s="7" t="s">
        <v>265</v>
      </c>
      <c r="C4" s="7" t="s">
        <v>266</v>
      </c>
      <c r="D4" s="7" t="s">
        <v>267</v>
      </c>
      <c r="E4" s="7" t="s">
        <v>268</v>
      </c>
      <c r="F4" s="7" t="s">
        <v>269</v>
      </c>
      <c r="G4" s="7" t="s">
        <v>270</v>
      </c>
      <c r="H4" s="7" t="s">
        <v>271</v>
      </c>
      <c r="I4" s="7" t="s">
        <v>272</v>
      </c>
      <c r="J4" s="7" t="s">
        <v>273</v>
      </c>
      <c r="K4" s="7" t="s">
        <v>274</v>
      </c>
      <c r="L4" s="7" t="s">
        <v>275</v>
      </c>
      <c r="M4" s="7" t="s">
        <v>276</v>
      </c>
      <c r="N4" s="7" t="s">
        <v>277</v>
      </c>
    </row>
    <row r="5" customFormat="false" ht="15" hidden="false" customHeight="false" outlineLevel="0" collapsed="false">
      <c r="A5" s="0" t="s">
        <v>278</v>
      </c>
      <c r="B5" s="0" t="s">
        <v>279</v>
      </c>
      <c r="C5" s="10" t="n">
        <v>282.64</v>
      </c>
      <c r="D5" s="17" t="n">
        <v>247.94</v>
      </c>
      <c r="E5" s="17" t="n">
        <v>3474.7</v>
      </c>
      <c r="F5" s="17" t="n">
        <v>742.5</v>
      </c>
      <c r="G5" s="17" t="n">
        <v>3956.95</v>
      </c>
      <c r="H5" s="17" t="n">
        <v>3055.6</v>
      </c>
      <c r="I5" s="0" t="s">
        <v>280</v>
      </c>
      <c r="J5" s="33" t="n">
        <f aca="false">C5*D5</f>
        <v>70077.7616</v>
      </c>
      <c r="K5" s="33" t="n">
        <f aca="false">J5-E5+F5</f>
        <v>67345.5616</v>
      </c>
      <c r="L5" s="32" t="n">
        <f aca="false">K5/G5</f>
        <v>17.0195634516484</v>
      </c>
      <c r="M5" s="24" t="n">
        <f aca="false">G5/H5-1</f>
        <v>0.294982982065716</v>
      </c>
      <c r="N5" s="0" t="s">
        <v>281</v>
      </c>
    </row>
    <row r="6" customFormat="false" ht="15" hidden="false" customHeight="false" outlineLevel="0" collapsed="false">
      <c r="A6" s="0" t="s">
        <v>282</v>
      </c>
      <c r="B6" s="0" t="s">
        <v>283</v>
      </c>
      <c r="C6" s="10" t="n">
        <v>277.71</v>
      </c>
      <c r="D6" s="17" t="n">
        <v>344.5</v>
      </c>
      <c r="E6" s="17" t="n">
        <v>6990.6</v>
      </c>
      <c r="F6" s="17" t="n">
        <v>1821.8</v>
      </c>
      <c r="G6" s="17" t="n">
        <v>7975</v>
      </c>
      <c r="H6" s="17" t="n">
        <v>6892.7</v>
      </c>
      <c r="I6" s="0" t="s">
        <v>284</v>
      </c>
      <c r="J6" s="33" t="n">
        <f aca="false">C6*D6</f>
        <v>95671.095</v>
      </c>
      <c r="K6" s="33" t="n">
        <f aca="false">J6-E6+F6</f>
        <v>90502.295</v>
      </c>
      <c r="L6" s="32" t="n">
        <f aca="false">K6/G6</f>
        <v>11.3482501567398</v>
      </c>
      <c r="M6" s="24" t="n">
        <f aca="false">G6/H6-1</f>
        <v>0.157021196338155</v>
      </c>
      <c r="N6" s="0" t="s">
        <v>285</v>
      </c>
    </row>
    <row r="7" customFormat="false" ht="15" hidden="false" customHeight="false" outlineLevel="0" collapsed="false">
      <c r="A7" s="0" t="s">
        <v>286</v>
      </c>
      <c r="B7" s="0" t="s">
        <v>287</v>
      </c>
      <c r="C7" s="10" t="n">
        <v>63.4</v>
      </c>
      <c r="D7" s="17" t="n">
        <v>772.3</v>
      </c>
      <c r="E7" s="17" t="n">
        <v>2419.4</v>
      </c>
      <c r="F7" s="17" t="n">
        <v>992.3</v>
      </c>
      <c r="G7" s="17" t="n">
        <v>5765</v>
      </c>
      <c r="H7" s="17" t="n">
        <v>5304.8</v>
      </c>
      <c r="I7" s="0" t="s">
        <v>288</v>
      </c>
      <c r="J7" s="33" t="n">
        <f aca="false">C7*D7</f>
        <v>48963.82</v>
      </c>
      <c r="K7" s="33" t="n">
        <f aca="false">J7-E7+F7</f>
        <v>47536.72</v>
      </c>
      <c r="L7" s="32" t="n">
        <f aca="false">K7/G7</f>
        <v>8.24574501300954</v>
      </c>
      <c r="M7" s="24" t="n">
        <f aca="false">G7/H7-1</f>
        <v>0.0867516211732771</v>
      </c>
      <c r="N7" s="0" t="s">
        <v>289</v>
      </c>
    </row>
    <row r="8" customFormat="false" ht="15" hidden="false" customHeight="false" outlineLevel="0" collapsed="false">
      <c r="A8" s="0" t="s">
        <v>290</v>
      </c>
      <c r="B8" s="0" t="s">
        <v>291</v>
      </c>
      <c r="C8" s="10" t="n">
        <v>169.21</v>
      </c>
      <c r="D8" s="17" t="n">
        <v>148.95</v>
      </c>
      <c r="E8" s="17" t="n">
        <v>2459.8</v>
      </c>
      <c r="F8" s="17" t="n">
        <v>1141</v>
      </c>
      <c r="G8" s="17" t="n">
        <v>2120</v>
      </c>
      <c r="H8" s="17" t="n">
        <v>1617</v>
      </c>
      <c r="I8" s="0" t="s">
        <v>284</v>
      </c>
      <c r="J8" s="33" t="n">
        <f aca="false">C8*D8</f>
        <v>25203.8295</v>
      </c>
      <c r="K8" s="33" t="n">
        <f aca="false">J8-E8+F8</f>
        <v>23885.0295</v>
      </c>
      <c r="L8" s="32" t="n">
        <f aca="false">K8/G8</f>
        <v>11.2665233490566</v>
      </c>
      <c r="M8" s="24" t="n">
        <f aca="false">G8/H8-1</f>
        <v>0.311069882498454</v>
      </c>
      <c r="N8" s="0" t="s">
        <v>292</v>
      </c>
    </row>
    <row r="9" customFormat="false" ht="15" hidden="false" customHeight="false" outlineLevel="0" collapsed="false">
      <c r="A9" s="0" t="s">
        <v>293</v>
      </c>
      <c r="B9" s="0" t="s">
        <v>42</v>
      </c>
      <c r="C9" s="10" t="n">
        <v>20.05</v>
      </c>
      <c r="D9" s="17" t="n">
        <v>301.36</v>
      </c>
      <c r="E9" s="17" t="n">
        <v>1130.8</v>
      </c>
      <c r="F9" s="17" t="n">
        <v>0</v>
      </c>
      <c r="G9" s="17" t="n">
        <v>815</v>
      </c>
      <c r="H9" s="17" t="n">
        <v>621.2</v>
      </c>
      <c r="I9" s="0" t="s">
        <v>280</v>
      </c>
      <c r="J9" s="33" t="n">
        <f aca="false">C9*D9</f>
        <v>6042.268</v>
      </c>
      <c r="K9" s="33" t="n">
        <f aca="false">J9-E9+F9</f>
        <v>4911.468</v>
      </c>
      <c r="L9" s="32" t="n">
        <f aca="false">K9/G9</f>
        <v>6.02634110429448</v>
      </c>
      <c r="M9" s="24" t="n">
        <f aca="false">G9/H9-1</f>
        <v>0.311976819059884</v>
      </c>
      <c r="N9" s="0" t="s">
        <v>294</v>
      </c>
    </row>
    <row r="10" customFormat="false" ht="15" hidden="false" customHeight="false" outlineLevel="0" collapsed="false">
      <c r="A10" s="0" t="s">
        <v>295</v>
      </c>
      <c r="B10" s="0" t="s">
        <v>296</v>
      </c>
      <c r="C10" s="10" t="n">
        <v>44.31</v>
      </c>
      <c r="D10" s="17" t="n">
        <v>61.5</v>
      </c>
      <c r="E10" s="17" t="n">
        <v>439.3</v>
      </c>
      <c r="F10" s="17" t="n">
        <v>930</v>
      </c>
      <c r="G10" s="17" t="n">
        <v>852</v>
      </c>
      <c r="H10" s="17" t="n">
        <v>777.7</v>
      </c>
      <c r="I10" s="0" t="s">
        <v>288</v>
      </c>
      <c r="J10" s="33" t="n">
        <f aca="false">C10*D10</f>
        <v>2725.065</v>
      </c>
      <c r="K10" s="33" t="n">
        <f aca="false">J10-E10+F10</f>
        <v>3215.765</v>
      </c>
      <c r="L10" s="32" t="n">
        <f aca="false">K10/G10</f>
        <v>3.7743720657277</v>
      </c>
      <c r="M10" s="24" t="n">
        <f aca="false">G10/H10-1</f>
        <v>0.0955381252410954</v>
      </c>
      <c r="N10" s="0" t="s">
        <v>297</v>
      </c>
    </row>
    <row r="11" customFormat="false" ht="15" hidden="false" customHeight="false" outlineLevel="0" collapsed="false">
      <c r="A11" s="0" t="s">
        <v>298</v>
      </c>
      <c r="B11" s="0" t="s">
        <v>299</v>
      </c>
      <c r="C11" s="10" t="n">
        <v>44.83</v>
      </c>
      <c r="D11" s="17" t="n">
        <v>116.72</v>
      </c>
      <c r="E11" s="17" t="n">
        <v>474</v>
      </c>
      <c r="F11" s="17" t="n">
        <v>359.3</v>
      </c>
      <c r="G11" s="17" t="n">
        <v>900</v>
      </c>
      <c r="H11" s="17" t="n">
        <v>798.7</v>
      </c>
      <c r="I11" s="0" t="s">
        <v>288</v>
      </c>
      <c r="J11" s="33" t="n">
        <f aca="false">C11*D11</f>
        <v>5232.5576</v>
      </c>
      <c r="K11" s="33" t="n">
        <f aca="false">J11-E11+F11</f>
        <v>5117.8576</v>
      </c>
      <c r="L11" s="32" t="n">
        <f aca="false">K11/G11</f>
        <v>5.68650844444445</v>
      </c>
      <c r="M11" s="24" t="n">
        <f aca="false">G11/H11-1</f>
        <v>0.126831100538375</v>
      </c>
      <c r="N11" s="0" t="s">
        <v>300</v>
      </c>
    </row>
    <row r="13" customFormat="false" ht="15" hidden="false" customHeight="false" outlineLevel="0" collapsed="false">
      <c r="K13" s="0" t="s">
        <v>301</v>
      </c>
      <c r="L13" s="32" t="n">
        <f aca="false">PERCENTILE($L$5:$L$11,0.25)</f>
        <v>5.85642477436946</v>
      </c>
    </row>
    <row r="14" customFormat="false" ht="15" hidden="false" customHeight="false" outlineLevel="0" collapsed="false">
      <c r="K14" s="0" t="s">
        <v>302</v>
      </c>
      <c r="L14" s="32" t="n">
        <f aca="false">MEDIAN($L$5:$L$11)</f>
        <v>8.24574501300954</v>
      </c>
    </row>
    <row r="15" customFormat="false" ht="15" hidden="false" customHeight="false" outlineLevel="0" collapsed="false">
      <c r="K15" s="0" t="s">
        <v>303</v>
      </c>
      <c r="L15" s="32" t="n">
        <f aca="false">PERCENTILE($L$5:$L$11,0.75)</f>
        <v>11.3073867528982</v>
      </c>
    </row>
    <row r="16" customFormat="false" ht="15" hidden="false" customHeight="false" outlineLevel="0" collapsed="false">
      <c r="K16" s="0" t="s">
        <v>304</v>
      </c>
      <c r="L16" s="34" t="n">
        <f aca="false">SLOPE($L$5:$L$11,$M$5:$M$11)</f>
        <v>22.4404123870473</v>
      </c>
    </row>
    <row r="17" customFormat="false" ht="15" hidden="false" customHeight="false" outlineLevel="0" collapsed="false">
      <c r="K17" s="0" t="s">
        <v>305</v>
      </c>
      <c r="L17" s="34" t="n">
        <f aca="false">INTERCEPT($L$5:$L$11,$M$5:$M$11)</f>
        <v>4.61513131692256</v>
      </c>
    </row>
    <row r="18" customFormat="false" ht="15" hidden="false" customHeight="false" outlineLevel="0" collapsed="false">
      <c r="K18" s="0" t="s">
        <v>306</v>
      </c>
      <c r="L18" s="34" t="n">
        <f aca="false">RSQ($L$5:$L$11,$M$5:$M$11)</f>
        <v>0.266066254748727</v>
      </c>
    </row>
    <row r="21" customFormat="false" ht="15" hidden="false" customHeight="false" outlineLevel="0" collapsed="false">
      <c r="A21" s="25" t="s">
        <v>307</v>
      </c>
    </row>
    <row r="22" customFormat="false" ht="15" hidden="false" customHeight="false" outlineLevel="0" collapsed="false">
      <c r="A22" s="0" t="s">
        <v>308</v>
      </c>
      <c r="B22" s="6" t="n">
        <f aca="false">DCF!C5</f>
        <v>834.295</v>
      </c>
    </row>
    <row r="23" customFormat="false" ht="15" hidden="false" customHeight="false" outlineLevel="0" collapsed="false">
      <c r="A23" s="0" t="s">
        <v>309</v>
      </c>
      <c r="B23" s="6" t="n">
        <f aca="false">Inputs!$C$104*Inputs!$C$31+(1-Inputs!$C$104)*B22</f>
        <v>810.1625</v>
      </c>
    </row>
    <row r="24" customFormat="false" ht="15" hidden="false" customHeight="false" outlineLevel="0" collapsed="false">
      <c r="A24" s="0" t="s">
        <v>310</v>
      </c>
      <c r="B24" s="3" t="n">
        <f aca="false">DCF!C6</f>
        <v>0.21</v>
      </c>
    </row>
    <row r="25" customFormat="false" ht="15" hidden="false" customHeight="false" outlineLevel="0" collapsed="false">
      <c r="A25" s="0" t="s">
        <v>7</v>
      </c>
      <c r="B25" s="4" t="n">
        <f aca="false">Inputs!$C$10/B23</f>
        <v>6.16172681406508</v>
      </c>
    </row>
    <row r="26" customFormat="false" ht="15" hidden="false" customHeight="false" outlineLevel="0" collapsed="false">
      <c r="A26" s="0" t="s">
        <v>311</v>
      </c>
      <c r="B26" s="4" t="n">
        <f aca="false">Comps!$L$17+Comps!$L$16*B24</f>
        <v>9.32761791820249</v>
      </c>
    </row>
    <row r="27" customFormat="false" ht="15" hidden="false" customHeight="false" outlineLevel="0" collapsed="false">
      <c r="A27" s="0" t="s">
        <v>312</v>
      </c>
      <c r="B27" s="2" t="n">
        <f aca="false">((Comps!$L$13*B23)+Inputs!$C$100)/Inputs!$C$99*100/Inputs!$C$98</f>
        <v>591.147047315967</v>
      </c>
    </row>
    <row r="28" customFormat="false" ht="15" hidden="false" customHeight="false" outlineLevel="0" collapsed="false">
      <c r="A28" s="0" t="s">
        <v>313</v>
      </c>
      <c r="B28" s="2" t="n">
        <f aca="false">((Comps!$L$14*B23)+Inputs!$C$100)/Inputs!$C$99*100/Inputs!$C$98</f>
        <v>816.95275716716</v>
      </c>
    </row>
    <row r="29" customFormat="false" ht="15" hidden="false" customHeight="false" outlineLevel="0" collapsed="false">
      <c r="A29" s="0" t="s">
        <v>314</v>
      </c>
      <c r="B29" s="2" t="n">
        <f aca="false">((Comps!$L$15*B23)+Inputs!$C$100)/Inputs!$C$99*100/Inputs!$C$98</f>
        <v>1106.2970548487</v>
      </c>
    </row>
    <row r="30" customFormat="false" ht="15" hidden="false" customHeight="false" outlineLevel="0" collapsed="false">
      <c r="A30" s="0" t="s">
        <v>315</v>
      </c>
      <c r="B30" s="2" t="n">
        <f aca="false">(((B26-1)*B23)+Inputs!$C$100)/Inputs!$C$99*100/Inputs!$C$98</f>
        <v>824.69025889493</v>
      </c>
    </row>
    <row r="31" customFormat="false" ht="15" hidden="false" customHeight="false" outlineLevel="0" collapsed="false">
      <c r="A31" s="0" t="s">
        <v>316</v>
      </c>
      <c r="B31" s="2" t="n">
        <f aca="false">(((B26+1)*B23)+Inputs!$C$100)/Inputs!$C$99*100/Inputs!$C$98</f>
        <v>1013.7027706541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8" style="0" width="30"/>
    <col collapsed="false" customWidth="true" hidden="false" outlineLevel="0" max="10" min="9" style="0" width="50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0" t="s">
        <v>318</v>
      </c>
    </row>
    <row r="4" customFormat="false" ht="15" hidden="false" customHeight="false" outlineLevel="0" collapsed="false">
      <c r="A4" s="7" t="s">
        <v>319</v>
      </c>
      <c r="B4" s="7" t="s">
        <v>320</v>
      </c>
      <c r="C4" s="7" t="s">
        <v>321</v>
      </c>
      <c r="D4" s="7" t="s">
        <v>274</v>
      </c>
      <c r="E4" s="7" t="s">
        <v>271</v>
      </c>
      <c r="F4" s="7" t="s">
        <v>322</v>
      </c>
      <c r="G4" s="7" t="s">
        <v>323</v>
      </c>
      <c r="H4" s="7" t="s">
        <v>324</v>
      </c>
      <c r="I4" s="7" t="s">
        <v>325</v>
      </c>
      <c r="J4" s="7" t="s">
        <v>326</v>
      </c>
    </row>
    <row r="5" customFormat="false" ht="15" hidden="false" customHeight="false" outlineLevel="0" collapsed="false">
      <c r="A5" s="0" t="s">
        <v>327</v>
      </c>
      <c r="B5" s="0" t="s">
        <v>328</v>
      </c>
      <c r="C5" s="0" t="s">
        <v>329</v>
      </c>
      <c r="D5" s="12" t="n">
        <v>3948</v>
      </c>
      <c r="E5" s="17" t="n">
        <v>711</v>
      </c>
      <c r="F5" s="32" t="n">
        <f aca="false">D5/E5</f>
        <v>5.55274261603376</v>
      </c>
      <c r="G5" s="15" t="n">
        <v>0.371</v>
      </c>
      <c r="H5" s="0" t="s">
        <v>330</v>
      </c>
      <c r="I5" s="0" t="s">
        <v>331</v>
      </c>
      <c r="J5" s="0" t="s">
        <v>331</v>
      </c>
    </row>
    <row r="6" customFormat="false" ht="15" hidden="false" customHeight="false" outlineLevel="0" collapsed="false">
      <c r="A6" s="0" t="s">
        <v>332</v>
      </c>
      <c r="B6" s="0" t="s">
        <v>328</v>
      </c>
      <c r="C6" s="0" t="s">
        <v>333</v>
      </c>
      <c r="D6" s="12" t="n">
        <v>12300</v>
      </c>
      <c r="E6" s="17" t="n">
        <v>1050</v>
      </c>
      <c r="F6" s="32" t="n">
        <f aca="false">D6/E6</f>
        <v>11.7142857142857</v>
      </c>
      <c r="G6" s="15" t="n">
        <v>0.34</v>
      </c>
      <c r="H6" s="0" t="s">
        <v>334</v>
      </c>
      <c r="I6" s="0" t="s">
        <v>335</v>
      </c>
      <c r="J6" s="0" t="s">
        <v>336</v>
      </c>
    </row>
    <row r="7" customFormat="false" ht="15" hidden="false" customHeight="false" outlineLevel="0" collapsed="false">
      <c r="A7" s="0" t="s">
        <v>337</v>
      </c>
      <c r="B7" s="0" t="s">
        <v>338</v>
      </c>
      <c r="C7" s="0" t="s">
        <v>339</v>
      </c>
      <c r="D7" s="12" t="n">
        <v>5800</v>
      </c>
      <c r="E7" s="17" t="n">
        <v>501.4</v>
      </c>
      <c r="F7" s="32" t="n">
        <f aca="false">D7/E7</f>
        <v>11.5676106900678</v>
      </c>
      <c r="G7" s="15" t="n">
        <v>0.16</v>
      </c>
      <c r="H7" s="0" t="s">
        <v>340</v>
      </c>
      <c r="I7" s="0" t="s">
        <v>341</v>
      </c>
      <c r="J7" s="0" t="s">
        <v>342</v>
      </c>
    </row>
    <row r="8" customFormat="false" ht="15" hidden="false" customHeight="false" outlineLevel="0" collapsed="false">
      <c r="A8" s="0" t="s">
        <v>343</v>
      </c>
      <c r="B8" s="0" t="s">
        <v>328</v>
      </c>
      <c r="C8" s="0" t="s">
        <v>344</v>
      </c>
      <c r="D8" s="12" t="n">
        <v>7051.2</v>
      </c>
      <c r="E8" s="17" t="n">
        <v>439</v>
      </c>
      <c r="F8" s="32" t="n">
        <f aca="false">D8/E8</f>
        <v>16.0619589977221</v>
      </c>
      <c r="G8" s="15" t="n">
        <v>0.48</v>
      </c>
      <c r="H8" s="0" t="s">
        <v>345</v>
      </c>
      <c r="I8" s="0" t="s">
        <v>346</v>
      </c>
      <c r="J8" s="0" t="s">
        <v>347</v>
      </c>
    </row>
    <row r="9" customFormat="false" ht="15" hidden="false" customHeight="false" outlineLevel="0" collapsed="false">
      <c r="A9" s="0" t="s">
        <v>348</v>
      </c>
      <c r="B9" s="0" t="s">
        <v>328</v>
      </c>
      <c r="C9" s="0" t="s">
        <v>349</v>
      </c>
      <c r="D9" s="12" t="n">
        <v>2800</v>
      </c>
      <c r="E9" s="17" t="n">
        <v>299.4</v>
      </c>
      <c r="F9" s="32" t="n">
        <f aca="false">D9/E9</f>
        <v>9.35203740814963</v>
      </c>
      <c r="G9" s="15" t="n">
        <v>0.63</v>
      </c>
      <c r="H9" s="0" t="s">
        <v>350</v>
      </c>
      <c r="I9" s="0" t="s">
        <v>351</v>
      </c>
      <c r="J9" s="0" t="s">
        <v>352</v>
      </c>
    </row>
    <row r="10" customFormat="false" ht="15" hidden="false" customHeight="false" outlineLevel="0" collapsed="false">
      <c r="A10" s="0" t="s">
        <v>353</v>
      </c>
      <c r="B10" s="0" t="s">
        <v>328</v>
      </c>
      <c r="C10" s="0" t="s">
        <v>354</v>
      </c>
      <c r="D10" s="12" t="n">
        <v>2300</v>
      </c>
      <c r="E10" s="17" t="n">
        <v>176.9</v>
      </c>
      <c r="F10" s="32" t="n">
        <f aca="false">D10/E10</f>
        <v>13.0016958733748</v>
      </c>
      <c r="G10" s="15" t="n">
        <v>0.53</v>
      </c>
      <c r="H10" s="0" t="s">
        <v>355</v>
      </c>
      <c r="I10" s="0" t="s">
        <v>356</v>
      </c>
      <c r="J10" s="0" t="s">
        <v>357</v>
      </c>
    </row>
    <row r="11" customFormat="false" ht="15" hidden="false" customHeight="false" outlineLevel="0" collapsed="false">
      <c r="A11" s="0" t="s">
        <v>358</v>
      </c>
      <c r="B11" s="0" t="s">
        <v>359</v>
      </c>
      <c r="C11" s="0" t="s">
        <v>354</v>
      </c>
      <c r="D11" s="12" t="n">
        <v>4600</v>
      </c>
      <c r="E11" s="17" t="n">
        <v>246.3</v>
      </c>
      <c r="F11" s="32" t="n">
        <f aca="false">D11/E11</f>
        <v>18.6764108810394</v>
      </c>
      <c r="G11" s="15" t="n">
        <v>0.44</v>
      </c>
      <c r="H11" s="0" t="s">
        <v>360</v>
      </c>
      <c r="I11" s="0" t="s">
        <v>361</v>
      </c>
      <c r="J11" s="0" t="s">
        <v>362</v>
      </c>
    </row>
    <row r="12" customFormat="false" ht="15" hidden="false" customHeight="false" outlineLevel="0" collapsed="false">
      <c r="A12" s="25" t="s">
        <v>363</v>
      </c>
      <c r="D12" s="5" t="n">
        <f aca="false">Inputs!$C$10</f>
        <v>4992</v>
      </c>
      <c r="E12" s="6" t="n">
        <f aca="false">Inputs!$C$11</f>
        <v>616</v>
      </c>
      <c r="F12" s="32" t="n">
        <f aca="false">D12/E12</f>
        <v>8.1038961038961</v>
      </c>
      <c r="G12" s="3" t="n">
        <f aca="false">Offer!$B$16</f>
        <v>0.199226305609284</v>
      </c>
      <c r="H12" s="0" t="s">
        <v>364</v>
      </c>
    </row>
    <row r="14" customFormat="false" ht="15" hidden="false" customHeight="false" outlineLevel="0" collapsed="false">
      <c r="C14" s="0" t="s">
        <v>301</v>
      </c>
      <c r="F14" s="32" t="n">
        <f aca="false">PERCENTILE($F$5:$F$11,0.25)</f>
        <v>10.4598240491087</v>
      </c>
      <c r="G14" s="24" t="n">
        <f aca="false">PERCENTILE($G$5:$G$11,0.25)</f>
        <v>0.3555</v>
      </c>
    </row>
    <row r="15" customFormat="false" ht="15" hidden="false" customHeight="false" outlineLevel="0" collapsed="false">
      <c r="C15" s="0" t="s">
        <v>302</v>
      </c>
      <c r="F15" s="32" t="n">
        <f aca="false">PERCENTILE($F$5:$F$11,0.5)</f>
        <v>11.7142857142857</v>
      </c>
      <c r="G15" s="24" t="n">
        <f aca="false">PERCENTILE($G$5:$G$11,0.5)</f>
        <v>0.44</v>
      </c>
    </row>
    <row r="16" customFormat="false" ht="15" hidden="false" customHeight="false" outlineLevel="0" collapsed="false">
      <c r="C16" s="0" t="s">
        <v>303</v>
      </c>
      <c r="F16" s="32" t="n">
        <f aca="false">PERCENTILE($F$5:$F$11,0.75)</f>
        <v>14.5318274355484</v>
      </c>
      <c r="G16" s="24" t="n">
        <f aca="false">PERCENTILE($G$5:$G$11,0.75)</f>
        <v>0.505</v>
      </c>
    </row>
    <row r="18" customFormat="false" ht="15" hidden="false" customHeight="false" outlineLevel="0" collapsed="false">
      <c r="A18" s="25" t="s">
        <v>307</v>
      </c>
    </row>
    <row r="19" customFormat="false" ht="15" hidden="false" customHeight="false" outlineLevel="0" collapsed="false">
      <c r="A19" s="0" t="s">
        <v>365</v>
      </c>
      <c r="B19" s="2" t="n">
        <f aca="false">(($F$14*Inputs!$C$11)+Inputs!$C$100)/Inputs!$C$99*100/Inputs!$C$98</f>
        <v>789.289934305852</v>
      </c>
    </row>
    <row r="20" customFormat="false" ht="15" hidden="false" customHeight="false" outlineLevel="0" collapsed="false">
      <c r="A20" s="0" t="s">
        <v>366</v>
      </c>
      <c r="B20" s="2" t="n">
        <f aca="false">(($F$15*Inputs!$C$11)+Inputs!$C$100)/Inputs!$C$99*100/Inputs!$C$98</f>
        <v>879.431796801505</v>
      </c>
    </row>
    <row r="21" customFormat="false" ht="15" hidden="false" customHeight="false" outlineLevel="0" collapsed="false">
      <c r="A21" s="0" t="s">
        <v>367</v>
      </c>
      <c r="B21" s="2" t="n">
        <f aca="false">(($F$16*Inputs!$C$11)+Inputs!$C$100)/Inputs!$C$99*100/Inputs!$C$98</f>
        <v>1081.89191612129</v>
      </c>
    </row>
    <row r="22" customFormat="false" ht="15" hidden="false" customHeight="false" outlineLevel="0" collapsed="false">
      <c r="A22" s="0" t="s">
        <v>368</v>
      </c>
      <c r="B22" s="2" t="n">
        <f aca="false">Inputs!$C$15*(1+$G$14)</f>
        <v>700.7935</v>
      </c>
    </row>
    <row r="23" customFormat="false" ht="15" hidden="false" customHeight="false" outlineLevel="0" collapsed="false">
      <c r="A23" s="0" t="s">
        <v>369</v>
      </c>
      <c r="B23" s="2" t="n">
        <f aca="false">Inputs!$C$15*(1+$G$15)</f>
        <v>744.48</v>
      </c>
    </row>
    <row r="24" customFormat="false" ht="15" hidden="false" customHeight="false" outlineLevel="0" collapsed="false">
      <c r="A24" s="0" t="s">
        <v>370</v>
      </c>
      <c r="B24" s="2" t="n">
        <f aca="false">Inputs!$C$15*(1+$G$16)</f>
        <v>778.085</v>
      </c>
    </row>
    <row r="25" customFormat="false" ht="15" hidden="false" customHeight="false" outlineLevel="0" collapsed="false">
      <c r="A25" s="0" t="s">
        <v>371</v>
      </c>
      <c r="B25" s="2" t="n">
        <f aca="false">Inputs!$C$16*(1+$G$15)</f>
        <v>619.056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7.35" hidden="false" customHeight="false" outlineLevel="0" collapsed="false">
      <c r="A1" s="1" t="s">
        <v>372</v>
      </c>
    </row>
    <row r="2" customFormat="false" ht="15" hidden="false" customHeight="false" outlineLevel="0" collapsed="false">
      <c r="A2" s="0" t="s">
        <v>373</v>
      </c>
    </row>
    <row r="4" customFormat="false" ht="15" hidden="false" customHeight="false" outlineLevel="0" collapsed="false">
      <c r="A4" s="7" t="s">
        <v>374</v>
      </c>
      <c r="B4" s="7" t="s">
        <v>375</v>
      </c>
      <c r="C4" s="7" t="s">
        <v>376</v>
      </c>
      <c r="D4" s="7" t="s">
        <v>377</v>
      </c>
      <c r="E4" s="7" t="s">
        <v>378</v>
      </c>
    </row>
    <row r="5" customFormat="false" ht="15" hidden="false" customHeight="false" outlineLevel="0" collapsed="false">
      <c r="A5" s="0" t="s">
        <v>379</v>
      </c>
      <c r="B5" s="2" t="n">
        <f aca="false">Inputs!$C$18</f>
        <v>425</v>
      </c>
      <c r="C5" s="2" t="n">
        <f aca="false">Inputs!$C$17</f>
        <v>518.6</v>
      </c>
      <c r="D5" s="35" t="n">
        <f aca="false">C5-B5</f>
        <v>93.6</v>
      </c>
      <c r="E5" s="2" t="n">
        <f aca="false">Inputs!$C$8</f>
        <v>620</v>
      </c>
    </row>
    <row r="6" customFormat="false" ht="15" hidden="false" customHeight="false" outlineLevel="0" collapsed="false">
      <c r="A6" s="0" t="s">
        <v>380</v>
      </c>
      <c r="B6" s="2" t="n">
        <f aca="false">DCF!$C$44</f>
        <v>385.446879701523</v>
      </c>
      <c r="C6" s="2" t="n">
        <f aca="false">DCF!$E$40</f>
        <v>560.724806378602</v>
      </c>
      <c r="D6" s="35" t="n">
        <f aca="false">C6-B6</f>
        <v>175.277926677079</v>
      </c>
      <c r="E6" s="2" t="n">
        <f aca="false">Inputs!$C$8</f>
        <v>620</v>
      </c>
    </row>
    <row r="7" customFormat="false" ht="15" hidden="false" customHeight="false" outlineLevel="0" collapsed="false">
      <c r="A7" s="0" t="s">
        <v>381</v>
      </c>
      <c r="B7" s="2" t="n">
        <f aca="false">Comps!$B$27</f>
        <v>591.147047315967</v>
      </c>
      <c r="C7" s="2" t="n">
        <f aca="false">Comps!$B$29</f>
        <v>1106.2970548487</v>
      </c>
      <c r="D7" s="35" t="n">
        <f aca="false">C7-B7</f>
        <v>515.150007532732</v>
      </c>
      <c r="E7" s="2" t="n">
        <f aca="false">Inputs!$C$8</f>
        <v>620</v>
      </c>
    </row>
    <row r="8" customFormat="false" ht="15" hidden="false" customHeight="false" outlineLevel="0" collapsed="false">
      <c r="A8" s="0" t="s">
        <v>382</v>
      </c>
      <c r="B8" s="2" t="n">
        <f aca="false">Comps!$B$30</f>
        <v>824.69025889493</v>
      </c>
      <c r="C8" s="2" t="n">
        <f aca="false">Comps!$B$31</f>
        <v>1013.7027706541</v>
      </c>
      <c r="D8" s="35" t="n">
        <f aca="false">C8-B8</f>
        <v>189.012511759172</v>
      </c>
      <c r="E8" s="2" t="n">
        <f aca="false">Inputs!$C$8</f>
        <v>620</v>
      </c>
    </row>
    <row r="9" customFormat="false" ht="15" hidden="false" customHeight="false" outlineLevel="0" collapsed="false">
      <c r="A9" s="0" t="s">
        <v>383</v>
      </c>
      <c r="B9" s="2" t="n">
        <f aca="false">Precedents!$B$19</f>
        <v>789.289934305852</v>
      </c>
      <c r="C9" s="2" t="n">
        <f aca="false">Precedents!$B$21</f>
        <v>1081.89191612129</v>
      </c>
      <c r="D9" s="35" t="n">
        <f aca="false">C9-B9</f>
        <v>292.601981815439</v>
      </c>
      <c r="E9" s="2" t="n">
        <f aca="false">Inputs!$C$8</f>
        <v>620</v>
      </c>
    </row>
    <row r="10" customFormat="false" ht="15" hidden="false" customHeight="false" outlineLevel="0" collapsed="false">
      <c r="A10" s="0" t="s">
        <v>384</v>
      </c>
      <c r="B10" s="2" t="n">
        <f aca="false">Precedents!$B$22</f>
        <v>700.7935</v>
      </c>
      <c r="C10" s="2" t="n">
        <f aca="false">Precedents!$B$24</f>
        <v>778.085</v>
      </c>
      <c r="D10" s="35" t="n">
        <f aca="false">C10-B10</f>
        <v>77.2914999999998</v>
      </c>
      <c r="E10" s="2" t="n">
        <f aca="false">Inputs!$C$8</f>
        <v>620</v>
      </c>
    </row>
    <row r="11" customFormat="false" ht="15" hidden="false" customHeight="false" outlineLevel="0" collapsed="false">
      <c r="A11" s="0" t="s">
        <v>385</v>
      </c>
      <c r="B11" s="2" t="n">
        <f aca="false">'Ability to pay'!$B$13</f>
        <v>593.00666931562</v>
      </c>
      <c r="C11" s="2" t="n">
        <f aca="false">'Ability to pay'!$B$9</f>
        <v>661.398699420108</v>
      </c>
      <c r="D11" s="35" t="n">
        <f aca="false">C11-B11</f>
        <v>68.3920301044881</v>
      </c>
      <c r="E11" s="2" t="n">
        <f aca="false">Inputs!$C$8</f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7.35" hidden="false" customHeight="false" outlineLevel="0" collapsed="false">
      <c r="A1" s="1" t="s">
        <v>386</v>
      </c>
    </row>
    <row r="4" customFormat="false" ht="15" hidden="false" customHeight="false" outlineLevel="0" collapsed="false">
      <c r="A4" s="0" t="s">
        <v>387</v>
      </c>
      <c r="B4" s="6" t="n">
        <f aca="false">DCF!C5</f>
        <v>834.295</v>
      </c>
    </row>
    <row r="5" customFormat="false" ht="15" hidden="false" customHeight="false" outlineLevel="0" collapsed="false">
      <c r="A5" s="0" t="s">
        <v>388</v>
      </c>
      <c r="B5" s="6" t="n">
        <f aca="false">B4*Inputs!$C$59</f>
        <v>83.4295</v>
      </c>
    </row>
    <row r="6" customFormat="false" ht="15" hidden="false" customHeight="false" outlineLevel="0" collapsed="false">
      <c r="A6" s="0" t="s">
        <v>389</v>
      </c>
      <c r="B6" s="6" t="n">
        <f aca="false">B5*(1-Inputs!$C$44)*Inputs!$C$60-B5*Inputs!$C$61</f>
        <v>542.29175</v>
      </c>
    </row>
    <row r="7" customFormat="false" ht="15" hidden="false" customHeight="false" outlineLevel="0" collapsed="false">
      <c r="A7" s="0" t="s">
        <v>390</v>
      </c>
      <c r="B7" s="6" t="n">
        <f aca="false">DCF!B26</f>
        <v>3578.33125696484</v>
      </c>
    </row>
    <row r="8" customFormat="false" ht="15" hidden="false" customHeight="false" outlineLevel="0" collapsed="false">
      <c r="A8" s="0" t="s">
        <v>391</v>
      </c>
      <c r="B8" s="6" t="n">
        <f aca="false">B7+B6*Inputs!$C$62</f>
        <v>3849.47713196484</v>
      </c>
    </row>
    <row r="9" customFormat="false" ht="15" hidden="false" customHeight="false" outlineLevel="0" collapsed="false">
      <c r="A9" s="0" t="s">
        <v>392</v>
      </c>
      <c r="B9" s="2" t="n">
        <f aca="false">((B8)+Inputs!$C$100)/Inputs!$C$99*100/Inputs!$C$98</f>
        <v>486.723578893359</v>
      </c>
    </row>
    <row r="10" customFormat="false" ht="15" hidden="false" customHeight="false" outlineLevel="0" collapsed="false">
      <c r="A10" s="0" t="s">
        <v>393</v>
      </c>
      <c r="B10" s="2" t="n">
        <f aca="false">'Ability to pay'!$B$17</f>
        <v>661.398699420108</v>
      </c>
    </row>
    <row r="11" customFormat="false" ht="15" hidden="false" customHeight="false" outlineLevel="0" collapsed="false">
      <c r="A11" s="0" t="s">
        <v>394</v>
      </c>
      <c r="B11" s="2" t="n">
        <f aca="false">Inputs!$C$8</f>
        <v>620</v>
      </c>
    </row>
    <row r="12" customFormat="false" ht="15" hidden="false" customHeight="false" outlineLevel="0" collapsed="false">
      <c r="A12" s="0" t="s">
        <v>395</v>
      </c>
      <c r="B12" s="24" t="n">
        <f aca="false">B9/B11-1</f>
        <v>-0.214961969526841</v>
      </c>
    </row>
    <row r="13" customFormat="false" ht="15" hidden="false" customHeight="false" outlineLevel="0" collapsed="false">
      <c r="A13" s="0" t="s">
        <v>396</v>
      </c>
      <c r="B13" s="24" t="n">
        <f aca="false">B10/B11-1</f>
        <v>0.0667720958388844</v>
      </c>
    </row>
    <row r="14" customFormat="false" ht="15" hidden="false" customHeight="false" outlineLevel="0" collapsed="false">
      <c r="A14" s="0" t="s">
        <v>397</v>
      </c>
      <c r="B14" s="3" t="n">
        <f aca="false">1-Inputs!$C$22</f>
        <v>0.8529</v>
      </c>
    </row>
    <row r="16" customFormat="false" ht="15" hidden="false" customHeight="false" outlineLevel="0" collapsed="false">
      <c r="A16" s="0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0" t="s">
        <v>400</v>
      </c>
    </row>
    <row r="3" customFormat="false" ht="15" hidden="false" customHeight="false" outlineLevel="0" collapsed="false">
      <c r="J3" s="0" t="s">
        <v>401</v>
      </c>
      <c r="K3" s="5" t="n">
        <f aca="false">Inputs!$C$66+Inputs!$C$71</f>
        <v>2145</v>
      </c>
    </row>
    <row r="4" customFormat="false" ht="15" hidden="false" customHeight="false" outlineLevel="0" collapsed="false">
      <c r="A4" s="36" t="s">
        <v>402</v>
      </c>
      <c r="J4" s="25" t="s">
        <v>403</v>
      </c>
    </row>
    <row r="5" customFormat="false" ht="15" hidden="false" customHeight="false" outlineLevel="0" collapsed="false">
      <c r="A5" s="0" t="s">
        <v>404</v>
      </c>
      <c r="B5" s="5" t="n">
        <f aca="false">LBO!$K$3</f>
        <v>2145</v>
      </c>
      <c r="K5" s="13" t="n">
        <v>14</v>
      </c>
    </row>
    <row r="6" customFormat="false" ht="15" hidden="false" customHeight="false" outlineLevel="0" collapsed="false">
      <c r="A6" s="0" t="s">
        <v>121</v>
      </c>
      <c r="B6" s="5" t="n">
        <f aca="false">B5*Inputs!$C$66/(Inputs!$C$66+Inputs!$C$71)</f>
        <v>1735</v>
      </c>
      <c r="K6" s="13" t="n">
        <v>16</v>
      </c>
    </row>
    <row r="7" customFormat="false" ht="15" hidden="false" customHeight="false" outlineLevel="0" collapsed="false">
      <c r="A7" s="0" t="s">
        <v>131</v>
      </c>
      <c r="B7" s="33" t="n">
        <f aca="false">B5-B6</f>
        <v>410</v>
      </c>
      <c r="K7" s="13" t="n">
        <v>18</v>
      </c>
    </row>
    <row r="8" customFormat="false" ht="15" hidden="false" customHeight="false" outlineLevel="0" collapsed="false">
      <c r="A8" s="0" t="s">
        <v>405</v>
      </c>
      <c r="B8" s="5" t="n">
        <f aca="false">Inputs!$C$7*Inputs!$C$99</f>
        <v>5315</v>
      </c>
      <c r="K8" s="13" t="n">
        <v>20</v>
      </c>
    </row>
    <row r="9" customFormat="false" ht="15" hidden="false" customHeight="false" outlineLevel="0" collapsed="false">
      <c r="A9" s="0" t="s">
        <v>406</v>
      </c>
      <c r="B9" s="5" t="n">
        <f aca="false">B8-Inputs!$C$100</f>
        <v>4992</v>
      </c>
      <c r="K9" s="13" t="n">
        <v>22</v>
      </c>
    </row>
    <row r="10" customFormat="false" ht="15" hidden="false" customHeight="false" outlineLevel="0" collapsed="false">
      <c r="A10" s="0" t="s">
        <v>407</v>
      </c>
      <c r="B10" s="6" t="n">
        <f aca="false">B6*(1-Inputs!$C$68)+B7*(1-Inputs!$C$73)</f>
        <v>10.725</v>
      </c>
    </row>
    <row r="11" customFormat="false" ht="15" hidden="false" customHeight="false" outlineLevel="0" collapsed="false">
      <c r="A11" s="0" t="s">
        <v>408</v>
      </c>
      <c r="B11" s="6" t="n">
        <f aca="false">B5*Inputs!$C$76</f>
        <v>53.625</v>
      </c>
    </row>
    <row r="12" customFormat="false" ht="15" hidden="false" customHeight="false" outlineLevel="0" collapsed="false">
      <c r="A12" s="0" t="s">
        <v>409</v>
      </c>
      <c r="B12" s="6" t="n">
        <f aca="false">B9*Inputs!$C$77</f>
        <v>49.92</v>
      </c>
    </row>
    <row r="13" customFormat="false" ht="15" hidden="false" customHeight="false" outlineLevel="0" collapsed="false">
      <c r="A13" s="0" t="s">
        <v>410</v>
      </c>
      <c r="B13" s="37" t="n">
        <f aca="false">B8+B10+B11+B12</f>
        <v>5429.27</v>
      </c>
    </row>
    <row r="14" customFormat="false" ht="15" hidden="false" customHeight="false" outlineLevel="0" collapsed="false">
      <c r="A14" s="0" t="s">
        <v>411</v>
      </c>
      <c r="B14" s="6" t="n">
        <f aca="false">Inputs!$C$78-Inputs!$C$79</f>
        <v>283.2</v>
      </c>
    </row>
    <row r="15" customFormat="false" ht="15" hidden="false" customHeight="false" outlineLevel="0" collapsed="false">
      <c r="A15" s="0" t="s">
        <v>412</v>
      </c>
      <c r="B15" s="37" t="n">
        <f aca="false">B13-B5-B14</f>
        <v>3001.07</v>
      </c>
    </row>
    <row r="16" customFormat="false" ht="15" hidden="false" customHeight="false" outlineLevel="0" collapsed="false">
      <c r="A16" s="0" t="s">
        <v>413</v>
      </c>
      <c r="B16" s="24" t="n">
        <f aca="false">B15/B13</f>
        <v>0.552757553041201</v>
      </c>
    </row>
    <row r="17" customFormat="false" ht="15" hidden="false" customHeight="false" outlineLevel="0" collapsed="false">
      <c r="A17" s="0" t="s">
        <v>414</v>
      </c>
      <c r="B17" s="4" t="n">
        <f aca="false">B5/Inputs!$C$12</f>
        <v>14.6917808219178</v>
      </c>
    </row>
    <row r="18" customFormat="false" ht="15" hidden="false" customHeight="false" outlineLevel="0" collapsed="false">
      <c r="A18" s="0" t="s">
        <v>415</v>
      </c>
      <c r="B18" s="4" t="n">
        <f aca="false">B5/Inputs!$C$33</f>
        <v>2.7422654052672</v>
      </c>
    </row>
    <row r="20" customFormat="false" ht="15" hidden="false" customHeight="false" outlineLevel="0" collapsed="false">
      <c r="A20" s="7" t="s">
        <v>47</v>
      </c>
      <c r="B20" s="7" t="s">
        <v>229</v>
      </c>
      <c r="C20" s="7" t="s">
        <v>230</v>
      </c>
      <c r="D20" s="7" t="s">
        <v>231</v>
      </c>
      <c r="E20" s="7" t="s">
        <v>232</v>
      </c>
      <c r="F20" s="7" t="s">
        <v>233</v>
      </c>
      <c r="G20" s="7" t="s">
        <v>234</v>
      </c>
    </row>
    <row r="21" customFormat="false" ht="15" hidden="false" customHeight="false" outlineLevel="0" collapsed="false">
      <c r="A21" s="0" t="s">
        <v>173</v>
      </c>
      <c r="B21" s="6" t="n">
        <f aca="false">History!D5</f>
        <v>689.5</v>
      </c>
      <c r="C21" s="27" t="n">
        <f aca="false">B21*(1+C22)</f>
        <v>820.505</v>
      </c>
      <c r="D21" s="27" t="n">
        <f aca="false">C21*(1+D22)</f>
        <v>959.99085</v>
      </c>
      <c r="E21" s="27" t="n">
        <f aca="false">D21*(1+E22)</f>
        <v>1103.9894775</v>
      </c>
      <c r="F21" s="27" t="n">
        <f aca="false">E21*(1+F22)</f>
        <v>1247.508109575</v>
      </c>
      <c r="G21" s="27" t="n">
        <f aca="false">F21*(1+G22)</f>
        <v>1397.209082724</v>
      </c>
    </row>
    <row r="22" customFormat="false" ht="15" hidden="false" customHeight="false" outlineLevel="0" collapsed="false">
      <c r="A22" s="0" t="s">
        <v>174</v>
      </c>
      <c r="C22" s="3" t="n">
        <f aca="false">Inputs!$F$88</f>
        <v>0.19</v>
      </c>
      <c r="D22" s="3" t="n">
        <f aca="false">Inputs!$G$88</f>
        <v>0.17</v>
      </c>
      <c r="E22" s="3" t="n">
        <f aca="false">Inputs!$H$88</f>
        <v>0.15</v>
      </c>
      <c r="F22" s="3" t="n">
        <f aca="false">Inputs!$I$88</f>
        <v>0.13</v>
      </c>
      <c r="G22" s="3" t="n">
        <f aca="false">Inputs!$J$88</f>
        <v>0.12</v>
      </c>
    </row>
    <row r="23" customFormat="false" ht="15" hidden="false" customHeight="false" outlineLevel="0" collapsed="false">
      <c r="A23" s="0" t="s">
        <v>237</v>
      </c>
      <c r="C23" s="27" t="n">
        <f aca="false">C21*C24</f>
        <v>221.53635</v>
      </c>
      <c r="D23" s="27" t="n">
        <f aca="false">D21*D24</f>
        <v>297.5971635</v>
      </c>
      <c r="E23" s="27" t="n">
        <f aca="false">E21*E24</f>
        <v>386.396317125</v>
      </c>
      <c r="F23" s="27" t="n">
        <f aca="false">F21*F24</f>
        <v>474.0530816385</v>
      </c>
      <c r="G23" s="27" t="n">
        <f aca="false">G21*G24</f>
        <v>558.8836330896</v>
      </c>
    </row>
    <row r="24" customFormat="false" ht="15" hidden="false" customHeight="false" outlineLevel="0" collapsed="false">
      <c r="A24" s="0" t="s">
        <v>178</v>
      </c>
      <c r="C24" s="3" t="n">
        <f aca="false">Inputs!$F$89</f>
        <v>0.27</v>
      </c>
      <c r="D24" s="3" t="n">
        <f aca="false">Inputs!$G$89</f>
        <v>0.31</v>
      </c>
      <c r="E24" s="3" t="n">
        <f aca="false">Inputs!$H$89</f>
        <v>0.35</v>
      </c>
      <c r="F24" s="3" t="n">
        <f aca="false">Inputs!$I$89</f>
        <v>0.38</v>
      </c>
      <c r="G24" s="3" t="n">
        <f aca="false">Inputs!$J$89</f>
        <v>0.4</v>
      </c>
    </row>
    <row r="25" customFormat="false" ht="15" hidden="false" customHeight="false" outlineLevel="0" collapsed="false">
      <c r="A25" s="0" t="s">
        <v>242</v>
      </c>
      <c r="C25" s="6" t="n">
        <f aca="false">C21*Inputs!$C$101</f>
        <v>19.8729639721465</v>
      </c>
      <c r="D25" s="6" t="n">
        <f aca="false">D21*Inputs!$C$101</f>
        <v>23.2513678474114</v>
      </c>
      <c r="E25" s="6" t="n">
        <f aca="false">E21*Inputs!$C$101</f>
        <v>26.7390730245232</v>
      </c>
      <c r="F25" s="6" t="n">
        <f aca="false">F21*Inputs!$C$101</f>
        <v>30.2151525177112</v>
      </c>
      <c r="G25" s="6" t="n">
        <f aca="false">G21*Inputs!$C$101</f>
        <v>33.8409708198365</v>
      </c>
    </row>
    <row r="26" customFormat="false" ht="15" hidden="false" customHeight="false" outlineLevel="0" collapsed="false">
      <c r="A26" s="0" t="s">
        <v>243</v>
      </c>
      <c r="C26" s="6" t="n">
        <f aca="false">(C21-B21)*Inputs!$C$46</f>
        <v>13.1005</v>
      </c>
      <c r="D26" s="6" t="n">
        <f aca="false">(D21-C21)*Inputs!$C$46</f>
        <v>13.948585</v>
      </c>
      <c r="E26" s="6" t="n">
        <f aca="false">(E21-D21)*Inputs!$C$46</f>
        <v>14.39986275</v>
      </c>
      <c r="F26" s="6" t="n">
        <f aca="false">(F21-E21)*Inputs!$C$46</f>
        <v>14.3518632075</v>
      </c>
      <c r="G26" s="6" t="n">
        <f aca="false">(G21-F21)*Inputs!$C$46</f>
        <v>14.9700973149</v>
      </c>
    </row>
    <row r="27" customFormat="false" ht="15" hidden="false" customHeight="false" outlineLevel="0" collapsed="false">
      <c r="A27" s="0" t="s">
        <v>416</v>
      </c>
      <c r="C27" s="6" t="n">
        <f aca="false">C21*Inputs!$C$102</f>
        <v>33.5356267029973</v>
      </c>
      <c r="D27" s="6" t="n">
        <f aca="false">D21*Inputs!$C$102</f>
        <v>39.2366832425068</v>
      </c>
      <c r="E27" s="6" t="n">
        <f aca="false">E21*Inputs!$C$102</f>
        <v>45.1221857288828</v>
      </c>
      <c r="F27" s="6" t="n">
        <f aca="false">F21*Inputs!$C$102</f>
        <v>50.9880698736376</v>
      </c>
      <c r="G27" s="6" t="n">
        <f aca="false">G21*Inputs!$C$102</f>
        <v>57.1066382584741</v>
      </c>
    </row>
    <row r="28" customFormat="false" ht="15" hidden="false" customHeight="false" outlineLevel="0" collapsed="false">
      <c r="A28" s="0" t="s">
        <v>417</v>
      </c>
      <c r="C28" s="38" t="n">
        <f aca="false">Inputs!$C$84</f>
        <v>0.75</v>
      </c>
      <c r="D28" s="34" t="n">
        <f aca="false">1</f>
        <v>1</v>
      </c>
      <c r="E28" s="34" t="n">
        <f aca="false">1</f>
        <v>1</v>
      </c>
      <c r="F28" s="34" t="n">
        <f aca="false">1</f>
        <v>1</v>
      </c>
      <c r="G28" s="34" t="n">
        <f aca="false">1</f>
        <v>1</v>
      </c>
    </row>
    <row r="29" customFormat="false" ht="15" hidden="false" customHeight="false" outlineLevel="0" collapsed="false">
      <c r="A29" s="0" t="s">
        <v>418</v>
      </c>
      <c r="C29" s="22" t="n">
        <f aca="false">Inputs!$F$75</f>
        <v>0.046</v>
      </c>
      <c r="D29" s="22" t="n">
        <f aca="false">Inputs!$G$75</f>
        <v>0.039</v>
      </c>
      <c r="E29" s="22" t="n">
        <f aca="false">Inputs!$H$75</f>
        <v>0.036</v>
      </c>
      <c r="F29" s="22" t="n">
        <f aca="false">Inputs!$I$75</f>
        <v>0.035</v>
      </c>
      <c r="G29" s="22" t="n">
        <f aca="false">Inputs!$J$75</f>
        <v>0.035</v>
      </c>
    </row>
    <row r="30" customFormat="false" ht="15" hidden="false" customHeight="false" outlineLevel="0" collapsed="false">
      <c r="A30" s="0" t="s">
        <v>419</v>
      </c>
      <c r="C30" s="27" t="n">
        <f aca="false">$B$6</f>
        <v>1735</v>
      </c>
      <c r="D30" s="27" t="n">
        <f aca="false">C41</f>
        <v>1721.9875</v>
      </c>
      <c r="E30" s="27" t="n">
        <f aca="false">D41</f>
        <v>1685.23367610681</v>
      </c>
      <c r="F30" s="27" t="n">
        <f aca="false">E41</f>
        <v>1566.54912690414</v>
      </c>
      <c r="G30" s="27" t="n">
        <f aca="false">F41</f>
        <v>1367.2199347253</v>
      </c>
    </row>
    <row r="31" customFormat="false" ht="15" hidden="false" customHeight="false" outlineLevel="0" collapsed="false">
      <c r="A31" s="0" t="s">
        <v>420</v>
      </c>
      <c r="C31" s="6" t="n">
        <f aca="false">C30*(C29+Inputs!$C$67)*C28</f>
        <v>102.148125</v>
      </c>
      <c r="D31" s="6" t="n">
        <f aca="false">D30*(D29+Inputs!$C$67)*D28</f>
        <v>123.12210625</v>
      </c>
      <c r="E31" s="6" t="n">
        <f aca="false">E30*(E29+Inputs!$C$67)*E28</f>
        <v>115.438506813317</v>
      </c>
      <c r="F31" s="6" t="n">
        <f aca="false">F30*(F29+Inputs!$C$67)*F28</f>
        <v>105.742066066029</v>
      </c>
      <c r="G31" s="6" t="n">
        <f aca="false">G30*(G29+Inputs!$C$67)*G28</f>
        <v>92.287345593958</v>
      </c>
    </row>
    <row r="32" customFormat="false" ht="15" hidden="false" customHeight="false" outlineLevel="0" collapsed="false">
      <c r="A32" s="0" t="s">
        <v>421</v>
      </c>
      <c r="C32" s="6" t="n">
        <f aca="false">C42*(C29+Inputs!$C$72)*C28</f>
        <v>30.28875</v>
      </c>
      <c r="D32" s="6" t="n">
        <f aca="false">D42*(D29+Inputs!$C$72)*D28</f>
        <v>37.515</v>
      </c>
      <c r="E32" s="6" t="n">
        <f aca="false">E42*(E29+Inputs!$C$72)*E28</f>
        <v>36.285</v>
      </c>
      <c r="F32" s="6" t="n">
        <f aca="false">F42*(F29+Inputs!$C$72)*F28</f>
        <v>35.875</v>
      </c>
      <c r="G32" s="6" t="n">
        <f aca="false">G42*(G29+Inputs!$C$72)*G28</f>
        <v>35.875</v>
      </c>
    </row>
    <row r="33" customFormat="false" ht="15" hidden="false" customHeight="false" outlineLevel="0" collapsed="false">
      <c r="A33" s="0" t="s">
        <v>422</v>
      </c>
      <c r="C33" s="27" t="n">
        <f aca="false">C31+C32</f>
        <v>132.436875</v>
      </c>
      <c r="D33" s="27" t="n">
        <f aca="false">D31+D32</f>
        <v>160.63710625</v>
      </c>
      <c r="E33" s="27" t="n">
        <f aca="false">E31+E32</f>
        <v>151.723506813317</v>
      </c>
      <c r="F33" s="27" t="n">
        <f aca="false">F31+F32</f>
        <v>141.617066066029</v>
      </c>
      <c r="G33" s="27" t="n">
        <f aca="false">G31+G32</f>
        <v>128.162345593958</v>
      </c>
    </row>
    <row r="34" customFormat="false" ht="15" hidden="false" customHeight="false" outlineLevel="0" collapsed="false">
      <c r="A34" s="0" t="s">
        <v>423</v>
      </c>
      <c r="C34" s="6" t="n">
        <f aca="false">MIN(C33,Inputs!$C$45*C23*C28)</f>
        <v>49.84567875</v>
      </c>
      <c r="D34" s="6" t="n">
        <f aca="false">MIN(D33,Inputs!$C$45*D23*D28)</f>
        <v>89.27914905</v>
      </c>
      <c r="E34" s="6" t="n">
        <f aca="false">MIN(E33,Inputs!$C$45*E23*E28)</f>
        <v>115.9188951375</v>
      </c>
      <c r="F34" s="6" t="n">
        <f aca="false">MIN(F33,Inputs!$C$45*F23*F28)</f>
        <v>141.617066066029</v>
      </c>
      <c r="G34" s="6" t="n">
        <f aca="false">MIN(G33,Inputs!$C$45*G23*G28)</f>
        <v>128.162345593958</v>
      </c>
    </row>
    <row r="35" customFormat="false" ht="15" hidden="false" customHeight="false" outlineLevel="0" collapsed="false">
      <c r="A35" s="0" t="s">
        <v>424</v>
      </c>
      <c r="C35" s="6" t="n">
        <f aca="false">MAX(0,(C23-C27)*C28-C34)*Inputs!$C$44</f>
        <v>22.788715930688</v>
      </c>
      <c r="D35" s="6" t="n">
        <f aca="false">MAX(0,(D23-D27)*D28-D34)*Inputs!$C$44</f>
        <v>42.2703328018733</v>
      </c>
      <c r="E35" s="6" t="n">
        <f aca="false">MAX(0,(E23-E27)*E28-E34)*Inputs!$C$44</f>
        <v>56.3388090646543</v>
      </c>
      <c r="F35" s="6" t="n">
        <f aca="false">MAX(0,(F23-F27)*F28-F34)*Inputs!$C$44</f>
        <v>70.3619864247083</v>
      </c>
      <c r="G35" s="6" t="n">
        <f aca="false">MAX(0,(G23-G27)*G28-G34)*Inputs!$C$44</f>
        <v>93.403662309292</v>
      </c>
    </row>
    <row r="36" customFormat="false" ht="15" hidden="false" customHeight="false" outlineLevel="0" collapsed="false">
      <c r="A36" s="0" t="s">
        <v>425</v>
      </c>
      <c r="C36" s="28" t="n">
        <f aca="false">(C23-C25+C26-Inputs!$C$81)*C28-C33-C35</f>
        <v>-9.15267640979785</v>
      </c>
      <c r="D36" s="28" t="n">
        <f aca="false">(D23-D25+D26-Inputs!$C$81)*D28-D33-D35</f>
        <v>65.3869416007152</v>
      </c>
      <c r="E36" s="28" t="n">
        <f aca="false">(E23-E25+E26-Inputs!$C$81)*E28-E33-E35</f>
        <v>145.994790972506</v>
      </c>
      <c r="F36" s="28" t="n">
        <f aca="false">(F23-F25+F26-Inputs!$C$81)*F28-F33-F35</f>
        <v>226.210739837551</v>
      </c>
      <c r="G36" s="28" t="n">
        <f aca="false">(G23-G25+G26-Inputs!$C$81)*G28-G33-G35</f>
        <v>298.446751681414</v>
      </c>
    </row>
    <row r="37" customFormat="false" ht="15" hidden="false" customHeight="false" outlineLevel="0" collapsed="false">
      <c r="A37" s="0" t="s">
        <v>426</v>
      </c>
      <c r="C37" s="6" t="n">
        <f aca="false">MIN(C30,$B$6*Inputs!$C$70*C28)</f>
        <v>13.0125</v>
      </c>
      <c r="D37" s="6" t="n">
        <f aca="false">MIN(D30,$B$6*Inputs!$C$70*D28)</f>
        <v>17.35</v>
      </c>
      <c r="E37" s="6" t="n">
        <f aca="false">MIN(E30,$B$6*Inputs!$C$70*E28)</f>
        <v>17.35</v>
      </c>
      <c r="F37" s="6" t="n">
        <f aca="false">MIN(F30,$B$6*Inputs!$C$70*F28)</f>
        <v>17.35</v>
      </c>
      <c r="G37" s="6" t="n">
        <f aca="false">MIN(G30,$B$6*Inputs!$C$70*G28)</f>
        <v>17.35</v>
      </c>
    </row>
    <row r="38" customFormat="false" ht="15" hidden="false" customHeight="false" outlineLevel="0" collapsed="false">
      <c r="A38" s="0" t="s">
        <v>427</v>
      </c>
      <c r="C38" s="6" t="n">
        <f aca="false">Inputs!$C$79</f>
        <v>100</v>
      </c>
      <c r="D38" s="27" t="n">
        <f aca="false">C43</f>
        <v>77.8348235902022</v>
      </c>
      <c r="E38" s="27" t="n">
        <f aca="false">D43</f>
        <v>106.467941297729</v>
      </c>
      <c r="F38" s="27" t="n">
        <f aca="false">E43</f>
        <v>133.778183067559</v>
      </c>
      <c r="G38" s="27" t="n">
        <f aca="false">F43</f>
        <v>160.659730726278</v>
      </c>
    </row>
    <row r="39" customFormat="false" ht="15" hidden="false" customHeight="false" outlineLevel="0" collapsed="false">
      <c r="A39" s="0" t="s">
        <v>428</v>
      </c>
      <c r="C39" s="27" t="n">
        <f aca="false">C38+C36-C37</f>
        <v>77.8348235902022</v>
      </c>
      <c r="D39" s="27" t="n">
        <f aca="false">D38+D36-D37</f>
        <v>125.871765190917</v>
      </c>
      <c r="E39" s="27" t="n">
        <f aca="false">E38+E36-E37</f>
        <v>235.112732270235</v>
      </c>
      <c r="F39" s="27" t="n">
        <f aca="false">F38+F36-F37</f>
        <v>342.63892290511</v>
      </c>
      <c r="G39" s="27" t="n">
        <f aca="false">G38+G36-G37</f>
        <v>441.756482407691</v>
      </c>
    </row>
    <row r="40" customFormat="false" ht="15" hidden="false" customHeight="false" outlineLevel="0" collapsed="false">
      <c r="A40" s="0" t="s">
        <v>429</v>
      </c>
      <c r="C40" s="6" t="n">
        <f aca="false">MIN(MAX(0,C39-Inputs!$C$79)*Inputs!$C$80,C30-C37)</f>
        <v>0</v>
      </c>
      <c r="D40" s="6" t="n">
        <f aca="false">MIN(MAX(0,D39-Inputs!$C$79)*Inputs!$C$80,D30-D37)</f>
        <v>19.403823893188</v>
      </c>
      <c r="E40" s="6" t="n">
        <f aca="false">MIN(MAX(0,E39-Inputs!$C$79)*Inputs!$C$80,E30-E37)</f>
        <v>101.334549202676</v>
      </c>
      <c r="F40" s="6" t="n">
        <f aca="false">MIN(MAX(0,F39-Inputs!$C$79)*Inputs!$C$80,F30-F37)</f>
        <v>181.979192178833</v>
      </c>
      <c r="G40" s="6" t="n">
        <f aca="false">MIN(MAX(0,G39-Inputs!$C$79)*Inputs!$C$80,G30-G37)</f>
        <v>256.317361805768</v>
      </c>
    </row>
    <row r="41" customFormat="false" ht="15" hidden="false" customHeight="false" outlineLevel="0" collapsed="false">
      <c r="A41" s="0" t="s">
        <v>430</v>
      </c>
      <c r="C41" s="27" t="n">
        <f aca="false">C30-C37-C40</f>
        <v>1721.9875</v>
      </c>
      <c r="D41" s="27" t="n">
        <f aca="false">D30-D37-D40</f>
        <v>1685.23367610681</v>
      </c>
      <c r="E41" s="27" t="n">
        <f aca="false">E30-E37-E40</f>
        <v>1566.54912690414</v>
      </c>
      <c r="F41" s="27" t="n">
        <f aca="false">F30-F37-F40</f>
        <v>1367.2199347253</v>
      </c>
      <c r="G41" s="27" t="n">
        <f aca="false">G30-G37-G40</f>
        <v>1093.55257291954</v>
      </c>
    </row>
    <row r="42" customFormat="false" ht="15" hidden="false" customHeight="false" outlineLevel="0" collapsed="false">
      <c r="A42" s="0" t="s">
        <v>431</v>
      </c>
      <c r="C42" s="27" t="n">
        <f aca="false">$B$7</f>
        <v>410</v>
      </c>
      <c r="D42" s="27" t="n">
        <f aca="false">$B$7</f>
        <v>410</v>
      </c>
      <c r="E42" s="27" t="n">
        <f aca="false">$B$7</f>
        <v>410</v>
      </c>
      <c r="F42" s="27" t="n">
        <f aca="false">$B$7</f>
        <v>410</v>
      </c>
      <c r="G42" s="27" t="n">
        <f aca="false">$B$7</f>
        <v>410</v>
      </c>
    </row>
    <row r="43" customFormat="false" ht="15" hidden="false" customHeight="false" outlineLevel="0" collapsed="false">
      <c r="A43" s="0" t="s">
        <v>432</v>
      </c>
      <c r="C43" s="27" t="n">
        <f aca="false">C39-C40</f>
        <v>77.8348235902022</v>
      </c>
      <c r="D43" s="27" t="n">
        <f aca="false">D39-D40</f>
        <v>106.467941297729</v>
      </c>
      <c r="E43" s="27" t="n">
        <f aca="false">E39-E40</f>
        <v>133.778183067559</v>
      </c>
      <c r="F43" s="27" t="n">
        <f aca="false">F39-F40</f>
        <v>160.659730726278</v>
      </c>
      <c r="G43" s="27" t="n">
        <f aca="false">G39-G40</f>
        <v>185.439120601923</v>
      </c>
    </row>
    <row r="44" customFormat="false" ht="15" hidden="false" customHeight="false" outlineLevel="0" collapsed="false">
      <c r="A44" s="0" t="s">
        <v>433</v>
      </c>
      <c r="C44" s="39" t="n">
        <f aca="false">C41+C42-C43</f>
        <v>2054.1526764098</v>
      </c>
      <c r="D44" s="39" t="n">
        <f aca="false">D41+D42-D43</f>
        <v>1988.76573480908</v>
      </c>
      <c r="E44" s="39" t="n">
        <f aca="false">E41+E42-E43</f>
        <v>1842.77094383658</v>
      </c>
      <c r="F44" s="39" t="n">
        <f aca="false">F41+F42-F43</f>
        <v>1616.56020399903</v>
      </c>
      <c r="G44" s="39" t="n">
        <f aca="false">G41+G42-G43</f>
        <v>1318.11345231761</v>
      </c>
    </row>
    <row r="45" customFormat="false" ht="15" hidden="false" customHeight="false" outlineLevel="0" collapsed="false">
      <c r="A45" s="0" t="s">
        <v>434</v>
      </c>
      <c r="C45" s="32" t="n">
        <f aca="false">(C41+C42)/C23</f>
        <v>9.62364641287987</v>
      </c>
      <c r="D45" s="32" t="n">
        <f aca="false">(D41+D42)/D23</f>
        <v>7.04050284439896</v>
      </c>
      <c r="E45" s="32" t="n">
        <f aca="false">(E41+E42)/E23</f>
        <v>5.11534152708997</v>
      </c>
      <c r="F45" s="32" t="n">
        <f aca="false">(F41+F42)/F23</f>
        <v>3.7489893085023</v>
      </c>
      <c r="G45" s="32" t="n">
        <f aca="false">(G41+G42)/G23</f>
        <v>2.69027841199724</v>
      </c>
    </row>
    <row r="46" customFormat="false" ht="15" hidden="false" customHeight="false" outlineLevel="0" collapsed="false">
      <c r="A46" s="0" t="s">
        <v>435</v>
      </c>
      <c r="C46" s="32" t="n">
        <f aca="false">C23*C28/C33</f>
        <v>1.25457703906106</v>
      </c>
      <c r="D46" s="32" t="n">
        <f aca="false">D23*D28/D33</f>
        <v>1.85260535655348</v>
      </c>
      <c r="E46" s="32" t="n">
        <f aca="false">E23*E28/E33</f>
        <v>2.54671359264342</v>
      </c>
      <c r="F46" s="32" t="n">
        <f aca="false">F23*F28/F33</f>
        <v>3.34742905503686</v>
      </c>
      <c r="G46" s="32" t="n">
        <f aca="false">G23*G28/G33</f>
        <v>4.36074753859645</v>
      </c>
    </row>
    <row r="48" customFormat="false" ht="15" hidden="false" customHeight="false" outlineLevel="0" collapsed="false">
      <c r="A48" s="7" t="s">
        <v>436</v>
      </c>
      <c r="B48" s="7" t="s">
        <v>437</v>
      </c>
      <c r="C48" s="7" t="s">
        <v>438</v>
      </c>
      <c r="D48" s="7" t="s">
        <v>439</v>
      </c>
      <c r="E48" s="7" t="s">
        <v>440</v>
      </c>
      <c r="F48" s="7" t="s">
        <v>441</v>
      </c>
      <c r="G48" s="7" t="s">
        <v>442</v>
      </c>
      <c r="H48" s="7" t="s">
        <v>443</v>
      </c>
    </row>
    <row r="49" customFormat="false" ht="15" hidden="false" customHeight="false" outlineLevel="0" collapsed="false">
      <c r="B49" s="4" t="n">
        <f aca="false">Inputs!$C$90</f>
        <v>18</v>
      </c>
      <c r="C49" s="33" t="n">
        <f aca="false">B49*G23</f>
        <v>10059.9053956128</v>
      </c>
      <c r="D49" s="5" t="n">
        <f aca="false">G44+Inputs!$C$83</f>
        <v>1378.31345231761</v>
      </c>
      <c r="E49" s="33" t="n">
        <f aca="false">C49-D49</f>
        <v>8681.59194329519</v>
      </c>
      <c r="F49" s="5" t="n">
        <f aca="false">E49*(1-Inputs!$C$82)</f>
        <v>7987.06458783157</v>
      </c>
      <c r="G49" s="32" t="n">
        <f aca="false">F49/$B$15</f>
        <v>2.66140562793656</v>
      </c>
      <c r="H49" s="40" t="n">
        <f aca="false">G49^(1/Inputs!$C$85)-1</f>
        <v>0.228844889161838</v>
      </c>
    </row>
    <row r="50" customFormat="false" ht="15" hidden="false" customHeight="false" outlineLevel="0" collapsed="false">
      <c r="B50" s="4" t="n">
        <f aca="false">LBO!$K$5</f>
        <v>14</v>
      </c>
      <c r="C50" s="33" t="n">
        <f aca="false">B50*G23</f>
        <v>7824.3708632544</v>
      </c>
      <c r="D50" s="5" t="n">
        <f aca="false">G44+Inputs!$C$83</f>
        <v>1378.31345231761</v>
      </c>
      <c r="E50" s="33" t="n">
        <f aca="false">C50-D50</f>
        <v>6446.05741093679</v>
      </c>
      <c r="F50" s="5" t="n">
        <f aca="false">E50*(1-Inputs!$C$82)</f>
        <v>5930.37281806184</v>
      </c>
      <c r="G50" s="32" t="n">
        <f aca="false">F50/$B$15</f>
        <v>1.97608613529902</v>
      </c>
      <c r="H50" s="40" t="n">
        <f aca="false">G50^(1/Inputs!$C$85)-1</f>
        <v>0.154183656270494</v>
      </c>
    </row>
    <row r="51" customFormat="false" ht="15" hidden="false" customHeight="false" outlineLevel="0" collapsed="false">
      <c r="B51" s="4" t="n">
        <f aca="false">LBO!$K$6</f>
        <v>16</v>
      </c>
      <c r="C51" s="33" t="n">
        <f aca="false">B51*G23</f>
        <v>8942.1381294336</v>
      </c>
      <c r="D51" s="5" t="n">
        <f aca="false">G44+Inputs!$C$83</f>
        <v>1378.31345231761</v>
      </c>
      <c r="E51" s="33" t="n">
        <f aca="false">C51-D51</f>
        <v>7563.82467711599</v>
      </c>
      <c r="F51" s="5" t="n">
        <f aca="false">E51*(1-Inputs!$C$82)</f>
        <v>6958.71870294671</v>
      </c>
      <c r="G51" s="32" t="n">
        <f aca="false">F51/$B$15</f>
        <v>2.31874588161779</v>
      </c>
      <c r="H51" s="40" t="n">
        <f aca="false">G51^(1/Inputs!$C$85)-1</f>
        <v>0.193700569818676</v>
      </c>
    </row>
    <row r="52" customFormat="false" ht="15" hidden="false" customHeight="false" outlineLevel="0" collapsed="false">
      <c r="B52" s="4" t="n">
        <f aca="false">LBO!$K$7</f>
        <v>18</v>
      </c>
      <c r="C52" s="33" t="n">
        <f aca="false">B52*G23</f>
        <v>10059.9053956128</v>
      </c>
      <c r="D52" s="5" t="n">
        <f aca="false">G44+Inputs!$C$83</f>
        <v>1378.31345231761</v>
      </c>
      <c r="E52" s="33" t="n">
        <f aca="false">C52-D52</f>
        <v>8681.59194329519</v>
      </c>
      <c r="F52" s="5" t="n">
        <f aca="false">E52*(1-Inputs!$C$82)</f>
        <v>7987.06458783157</v>
      </c>
      <c r="G52" s="32" t="n">
        <f aca="false">F52/$B$15</f>
        <v>2.66140562793656</v>
      </c>
      <c r="H52" s="40" t="n">
        <f aca="false">G52^(1/Inputs!$C$85)-1</f>
        <v>0.228844889161838</v>
      </c>
    </row>
    <row r="53" customFormat="false" ht="15" hidden="false" customHeight="false" outlineLevel="0" collapsed="false">
      <c r="B53" s="4" t="n">
        <f aca="false">LBO!$K$8</f>
        <v>20</v>
      </c>
      <c r="C53" s="33" t="n">
        <f aca="false">B53*G23</f>
        <v>11177.672661792</v>
      </c>
      <c r="D53" s="5" t="n">
        <f aca="false">G44+Inputs!$C$83</f>
        <v>1378.31345231761</v>
      </c>
      <c r="E53" s="33" t="n">
        <f aca="false">C53-D53</f>
        <v>9799.35920947439</v>
      </c>
      <c r="F53" s="5" t="n">
        <f aca="false">E53*(1-Inputs!$C$82)</f>
        <v>9015.41047271644</v>
      </c>
      <c r="G53" s="32" t="n">
        <f aca="false">F53/$B$15</f>
        <v>3.00406537425533</v>
      </c>
      <c r="H53" s="40" t="n">
        <f aca="false">G53^(1/Inputs!$C$85)-1</f>
        <v>0.260579951339997</v>
      </c>
    </row>
    <row r="54" customFormat="false" ht="15" hidden="false" customHeight="false" outlineLevel="0" collapsed="false">
      <c r="B54" s="4" t="n">
        <f aca="false">LBO!$K$9</f>
        <v>22</v>
      </c>
      <c r="C54" s="33" t="n">
        <f aca="false">B54*G23</f>
        <v>12295.4399279712</v>
      </c>
      <c r="D54" s="5" t="n">
        <f aca="false">G44+Inputs!$C$83</f>
        <v>1378.31345231761</v>
      </c>
      <c r="E54" s="33" t="n">
        <f aca="false">C54-D54</f>
        <v>10917.1264756536</v>
      </c>
      <c r="F54" s="5" t="n">
        <f aca="false">E54*(1-Inputs!$C$82)</f>
        <v>10043.7563576013</v>
      </c>
      <c r="G54" s="32" t="n">
        <f aca="false">F54/$B$15</f>
        <v>3.34672512057409</v>
      </c>
      <c r="H54" s="40" t="n">
        <f aca="false">G54^(1/Inputs!$C$85)-1</f>
        <v>0.289574167830816</v>
      </c>
    </row>
    <row r="56" customFormat="false" ht="15" hidden="false" customHeight="false" outlineLevel="0" collapsed="false">
      <c r="A56" s="0" t="s">
        <v>444</v>
      </c>
      <c r="B56" s="27" t="n">
        <f aca="false">MIN(C43:G43)</f>
        <v>77.8348235902022</v>
      </c>
    </row>
    <row r="58" customFormat="false" ht="15" hidden="false" customHeight="false" outlineLevel="0" collapsed="false">
      <c r="A58" s="25" t="s">
        <v>445</v>
      </c>
    </row>
    <row r="59" customFormat="false" ht="15" hidden="false" customHeight="false" outlineLevel="0" collapsed="false">
      <c r="A59" s="0" t="s">
        <v>446</v>
      </c>
      <c r="B59" s="33" t="n">
        <f aca="false">$B$15</f>
        <v>3001.07</v>
      </c>
    </row>
    <row r="60" customFormat="false" ht="15" hidden="false" customHeight="false" outlineLevel="0" collapsed="false">
      <c r="A60" s="0" t="s">
        <v>447</v>
      </c>
      <c r="B60" s="5" t="n">
        <f aca="false">(G23-Inputs!$C$12)*($B$9/Inputs!$C$12)</f>
        <v>14117.2266875567</v>
      </c>
    </row>
    <row r="61" customFormat="false" ht="15" hidden="false" customHeight="false" outlineLevel="0" collapsed="false">
      <c r="A61" s="0" t="s">
        <v>448</v>
      </c>
      <c r="B61" s="5" t="n">
        <f aca="false">($B$49-$B$9/Inputs!$C$12)*G23</f>
        <v>-9049.32129194393</v>
      </c>
    </row>
    <row r="62" customFormat="false" ht="15" hidden="false" customHeight="false" outlineLevel="0" collapsed="false">
      <c r="A62" s="0" t="s">
        <v>449</v>
      </c>
      <c r="B62" s="5" t="n">
        <f aca="false">($B$5-Inputs!$C$79+Inputs!$C$26)-(G44+Inputs!$C$83)</f>
        <v>726.886547682387</v>
      </c>
    </row>
    <row r="63" customFormat="false" ht="15" hidden="false" customHeight="false" outlineLevel="0" collapsed="false">
      <c r="A63" s="0" t="s">
        <v>450</v>
      </c>
      <c r="B63" s="33" t="n">
        <f aca="false">-($B$10+$B$11+$B$12)</f>
        <v>-114.27</v>
      </c>
    </row>
    <row r="64" customFormat="false" ht="15" hidden="false" customHeight="false" outlineLevel="0" collapsed="false">
      <c r="A64" s="0" t="s">
        <v>451</v>
      </c>
      <c r="B64" s="5" t="n">
        <f aca="false">-$E$49*Inputs!$C$82</f>
        <v>-694.527355463615</v>
      </c>
    </row>
    <row r="65" customFormat="false" ht="15" hidden="false" customHeight="false" outlineLevel="0" collapsed="false">
      <c r="A65" s="0" t="s">
        <v>452</v>
      </c>
      <c r="B65" s="37" t="n">
        <f aca="false">SUM(B59:B64)</f>
        <v>7987.06458783157</v>
      </c>
    </row>
    <row r="66" customFormat="false" ht="15" hidden="false" customHeight="false" outlineLevel="0" collapsed="false">
      <c r="A66" s="0" t="s">
        <v>453</v>
      </c>
      <c r="B66" s="33" t="n">
        <f aca="false">B65-$F$49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454</v>
      </c>
    </row>
    <row r="2" customFormat="false" ht="15" hidden="false" customHeight="false" outlineLevel="0" collapsed="false">
      <c r="A2" s="0" t="s">
        <v>455</v>
      </c>
    </row>
    <row r="4" customFormat="false" ht="15" hidden="false" customHeight="false" outlineLevel="0" collapsed="false">
      <c r="A4" s="36" t="s">
        <v>456</v>
      </c>
    </row>
    <row r="5" customFormat="false" ht="15" hidden="false" customHeight="false" outlineLevel="0" collapsed="false">
      <c r="A5" s="0" t="s">
        <v>404</v>
      </c>
      <c r="B5" s="5" t="n">
        <f aca="false">LBO!$K$3</f>
        <v>2145</v>
      </c>
    </row>
    <row r="6" customFormat="false" ht="15" hidden="false" customHeight="false" outlineLevel="0" collapsed="false">
      <c r="A6" s="0" t="s">
        <v>121</v>
      </c>
      <c r="B6" s="5" t="n">
        <f aca="false">B5*Inputs!$C$66/(Inputs!$C$66+Inputs!$C$71)</f>
        <v>1735</v>
      </c>
    </row>
    <row r="7" customFormat="false" ht="15" hidden="false" customHeight="false" outlineLevel="0" collapsed="false">
      <c r="A7" s="0" t="s">
        <v>131</v>
      </c>
      <c r="B7" s="33" t="n">
        <f aca="false">B5-B6</f>
        <v>410</v>
      </c>
    </row>
    <row r="8" customFormat="false" ht="15" hidden="false" customHeight="false" outlineLevel="0" collapsed="false">
      <c r="A8" s="0" t="s">
        <v>405</v>
      </c>
      <c r="B8" s="5" t="n">
        <f aca="false">Inputs!$C$7*Inputs!$C$99</f>
        <v>5315</v>
      </c>
    </row>
    <row r="9" customFormat="false" ht="15" hidden="false" customHeight="false" outlineLevel="0" collapsed="false">
      <c r="A9" s="0" t="s">
        <v>406</v>
      </c>
      <c r="B9" s="5" t="n">
        <f aca="false">B8-Inputs!$C$100</f>
        <v>4992</v>
      </c>
    </row>
    <row r="10" customFormat="false" ht="15" hidden="false" customHeight="false" outlineLevel="0" collapsed="false">
      <c r="A10" s="0" t="s">
        <v>407</v>
      </c>
      <c r="B10" s="6" t="n">
        <f aca="false">B6*(1-Inputs!$C$68)+B7*(1-Inputs!$C$73)</f>
        <v>10.725</v>
      </c>
    </row>
    <row r="11" customFormat="false" ht="15" hidden="false" customHeight="false" outlineLevel="0" collapsed="false">
      <c r="A11" s="0" t="s">
        <v>408</v>
      </c>
      <c r="B11" s="6" t="n">
        <f aca="false">B5*Inputs!$C$76</f>
        <v>53.625</v>
      </c>
    </row>
    <row r="12" customFormat="false" ht="15" hidden="false" customHeight="false" outlineLevel="0" collapsed="false">
      <c r="A12" s="0" t="s">
        <v>409</v>
      </c>
      <c r="B12" s="6" t="n">
        <f aca="false">B9*Inputs!$C$77</f>
        <v>49.92</v>
      </c>
    </row>
    <row r="13" customFormat="false" ht="15" hidden="false" customHeight="false" outlineLevel="0" collapsed="false">
      <c r="A13" s="0" t="s">
        <v>410</v>
      </c>
      <c r="B13" s="37" t="n">
        <f aca="false">B8+B10+B11+B12</f>
        <v>5429.27</v>
      </c>
    </row>
    <row r="14" customFormat="false" ht="15" hidden="false" customHeight="false" outlineLevel="0" collapsed="false">
      <c r="A14" s="0" t="s">
        <v>411</v>
      </c>
      <c r="B14" s="6" t="n">
        <f aca="false">Inputs!$C$78-Inputs!$C$79</f>
        <v>283.2</v>
      </c>
    </row>
    <row r="15" customFormat="false" ht="15" hidden="false" customHeight="false" outlineLevel="0" collapsed="false">
      <c r="A15" s="0" t="s">
        <v>412</v>
      </c>
      <c r="B15" s="37" t="n">
        <f aca="false">B13-B5-B14</f>
        <v>3001.07</v>
      </c>
    </row>
    <row r="16" customFormat="false" ht="15" hidden="false" customHeight="false" outlineLevel="0" collapsed="false">
      <c r="A16" s="0" t="s">
        <v>413</v>
      </c>
      <c r="B16" s="24" t="n">
        <f aca="false">B15/B13</f>
        <v>0.552757553041201</v>
      </c>
    </row>
    <row r="17" customFormat="false" ht="15" hidden="false" customHeight="false" outlineLevel="0" collapsed="false">
      <c r="A17" s="0" t="s">
        <v>414</v>
      </c>
      <c r="B17" s="4" t="n">
        <f aca="false">B5/Inputs!$C$12</f>
        <v>14.6917808219178</v>
      </c>
    </row>
    <row r="18" customFormat="false" ht="15" hidden="false" customHeight="false" outlineLevel="0" collapsed="false">
      <c r="A18" s="0" t="s">
        <v>415</v>
      </c>
      <c r="B18" s="4" t="n">
        <f aca="false">B5/Inputs!$C$33</f>
        <v>2.7422654052672</v>
      </c>
    </row>
    <row r="20" customFormat="false" ht="15" hidden="false" customHeight="false" outlineLevel="0" collapsed="false">
      <c r="A20" s="7" t="s">
        <v>47</v>
      </c>
      <c r="B20" s="7" t="s">
        <v>229</v>
      </c>
      <c r="C20" s="7" t="s">
        <v>230</v>
      </c>
      <c r="D20" s="7" t="s">
        <v>231</v>
      </c>
      <c r="E20" s="7" t="s">
        <v>232</v>
      </c>
      <c r="F20" s="7" t="s">
        <v>233</v>
      </c>
      <c r="G20" s="7" t="s">
        <v>234</v>
      </c>
    </row>
    <row r="21" customFormat="false" ht="15" hidden="false" customHeight="false" outlineLevel="0" collapsed="false">
      <c r="A21" s="0" t="s">
        <v>173</v>
      </c>
      <c r="B21" s="6" t="n">
        <f aca="false">History!D5</f>
        <v>689.5</v>
      </c>
      <c r="C21" s="27" t="n">
        <f aca="false">B21*(1+C22)</f>
        <v>772.24</v>
      </c>
      <c r="D21" s="27" t="n">
        <f aca="false">C21*(1+D22)</f>
        <v>841.7416</v>
      </c>
      <c r="E21" s="27" t="n">
        <f aca="false">D21*(1+E22)</f>
        <v>900.663512</v>
      </c>
      <c r="F21" s="27" t="n">
        <f aca="false">E21*(1+F22)</f>
        <v>954.70332272</v>
      </c>
      <c r="G21" s="27" t="n">
        <f aca="false">F21*(1+G22)</f>
        <v>1002.438488856</v>
      </c>
    </row>
    <row r="22" customFormat="false" ht="15" hidden="false" customHeight="false" outlineLevel="0" collapsed="false">
      <c r="A22" s="0" t="s">
        <v>174</v>
      </c>
      <c r="C22" s="3" t="n">
        <f aca="false">Inputs!$F$93</f>
        <v>0.12</v>
      </c>
      <c r="D22" s="3" t="n">
        <f aca="false">Inputs!$G$93</f>
        <v>0.09</v>
      </c>
      <c r="E22" s="3" t="n">
        <f aca="false">Inputs!$H$93</f>
        <v>0.07</v>
      </c>
      <c r="F22" s="3" t="n">
        <f aca="false">Inputs!$I$93</f>
        <v>0.06</v>
      </c>
      <c r="G22" s="3" t="n">
        <f aca="false">Inputs!$J$93</f>
        <v>0.05</v>
      </c>
    </row>
    <row r="23" customFormat="false" ht="15" hidden="false" customHeight="false" outlineLevel="0" collapsed="false">
      <c r="A23" s="0" t="s">
        <v>237</v>
      </c>
      <c r="C23" s="27" t="n">
        <f aca="false">C21*C24</f>
        <v>185.3376</v>
      </c>
      <c r="D23" s="27" t="n">
        <f aca="false">D21*D24</f>
        <v>210.4354</v>
      </c>
      <c r="E23" s="27" t="n">
        <f aca="false">E21*E24</f>
        <v>234.17251312</v>
      </c>
      <c r="F23" s="27" t="n">
        <f aca="false">F21*F24</f>
        <v>257.7698971344</v>
      </c>
      <c r="G23" s="27" t="n">
        <f aca="false">G21*G24</f>
        <v>280.68277687968</v>
      </c>
    </row>
    <row r="24" customFormat="false" ht="15" hidden="false" customHeight="false" outlineLevel="0" collapsed="false">
      <c r="A24" s="0" t="s">
        <v>178</v>
      </c>
      <c r="C24" s="3" t="n">
        <f aca="false">Inputs!$F$94</f>
        <v>0.24</v>
      </c>
      <c r="D24" s="3" t="n">
        <f aca="false">Inputs!$G$94</f>
        <v>0.25</v>
      </c>
      <c r="E24" s="3" t="n">
        <f aca="false">Inputs!$H$94</f>
        <v>0.26</v>
      </c>
      <c r="F24" s="3" t="n">
        <f aca="false">Inputs!$I$94</f>
        <v>0.27</v>
      </c>
      <c r="G24" s="3" t="n">
        <f aca="false">Inputs!$J$94</f>
        <v>0.28</v>
      </c>
    </row>
    <row r="25" customFormat="false" ht="15" hidden="false" customHeight="false" outlineLevel="0" collapsed="false">
      <c r="A25" s="0" t="s">
        <v>242</v>
      </c>
      <c r="C25" s="6" t="n">
        <f aca="false">C21*Inputs!$C$101</f>
        <v>18.703966091432</v>
      </c>
      <c r="D25" s="6" t="n">
        <f aca="false">D21*Inputs!$C$101</f>
        <v>20.3873230396609</v>
      </c>
      <c r="E25" s="6" t="n">
        <f aca="false">E21*Inputs!$C$101</f>
        <v>21.8144356524372</v>
      </c>
      <c r="F25" s="6" t="n">
        <f aca="false">F21*Inputs!$C$101</f>
        <v>23.1233017915834</v>
      </c>
      <c r="G25" s="6" t="n">
        <f aca="false">G21*Inputs!$C$101</f>
        <v>24.2794668811626</v>
      </c>
    </row>
    <row r="26" customFormat="false" ht="15" hidden="false" customHeight="false" outlineLevel="0" collapsed="false">
      <c r="A26" s="0" t="s">
        <v>243</v>
      </c>
      <c r="C26" s="6" t="n">
        <f aca="false">(C21-B21)*Inputs!$C$46</f>
        <v>8.27400000000001</v>
      </c>
      <c r="D26" s="6" t="n">
        <f aca="false">(D21-C21)*Inputs!$C$46</f>
        <v>6.95016000000001</v>
      </c>
      <c r="E26" s="6" t="n">
        <f aca="false">(E21-D21)*Inputs!$C$46</f>
        <v>5.8921912</v>
      </c>
      <c r="F26" s="6" t="n">
        <f aca="false">(F21-E21)*Inputs!$C$46</f>
        <v>5.40398107200001</v>
      </c>
      <c r="G26" s="6" t="n">
        <f aca="false">(G21-F21)*Inputs!$C$46</f>
        <v>4.77351661360001</v>
      </c>
    </row>
    <row r="27" customFormat="false" ht="15" hidden="false" customHeight="false" outlineLevel="0" collapsed="false">
      <c r="A27" s="0" t="s">
        <v>416</v>
      </c>
      <c r="C27" s="6" t="n">
        <f aca="false">C21*Inputs!$C$102</f>
        <v>31.5629427792916</v>
      </c>
      <c r="D27" s="6" t="n">
        <f aca="false">D21*Inputs!$C$102</f>
        <v>34.4036076294278</v>
      </c>
      <c r="E27" s="6" t="n">
        <f aca="false">E21*Inputs!$C$102</f>
        <v>36.8118601634877</v>
      </c>
      <c r="F27" s="6" t="n">
        <f aca="false">F21*Inputs!$C$102</f>
        <v>39.020571773297</v>
      </c>
      <c r="G27" s="6" t="n">
        <f aca="false">G21*Inputs!$C$102</f>
        <v>40.9716003619619</v>
      </c>
    </row>
    <row r="28" customFormat="false" ht="15" hidden="false" customHeight="false" outlineLevel="0" collapsed="false">
      <c r="A28" s="0" t="s">
        <v>417</v>
      </c>
      <c r="C28" s="38" t="n">
        <f aca="false">Inputs!$C$84</f>
        <v>0.75</v>
      </c>
      <c r="D28" s="34" t="n">
        <f aca="false">1</f>
        <v>1</v>
      </c>
      <c r="E28" s="34" t="n">
        <f aca="false">1</f>
        <v>1</v>
      </c>
      <c r="F28" s="34" t="n">
        <f aca="false">1</f>
        <v>1</v>
      </c>
      <c r="G28" s="34" t="n">
        <f aca="false">1</f>
        <v>1</v>
      </c>
    </row>
    <row r="29" customFormat="false" ht="15" hidden="false" customHeight="false" outlineLevel="0" collapsed="false">
      <c r="A29" s="0" t="s">
        <v>418</v>
      </c>
      <c r="C29" s="22" t="n">
        <f aca="false">Inputs!$F$75</f>
        <v>0.046</v>
      </c>
      <c r="D29" s="22" t="n">
        <f aca="false">Inputs!$G$75</f>
        <v>0.039</v>
      </c>
      <c r="E29" s="22" t="n">
        <f aca="false">Inputs!$H$75</f>
        <v>0.036</v>
      </c>
      <c r="F29" s="22" t="n">
        <f aca="false">Inputs!$I$75</f>
        <v>0.035</v>
      </c>
      <c r="G29" s="22" t="n">
        <f aca="false">Inputs!$J$75</f>
        <v>0.035</v>
      </c>
    </row>
    <row r="30" customFormat="false" ht="15" hidden="false" customHeight="false" outlineLevel="0" collapsed="false">
      <c r="A30" s="0" t="s">
        <v>419</v>
      </c>
      <c r="C30" s="27" t="n">
        <f aca="false">$B$6</f>
        <v>1735</v>
      </c>
      <c r="D30" s="27" t="n">
        <f aca="false">C41</f>
        <v>1721.9875</v>
      </c>
      <c r="E30" s="27" t="n">
        <f aca="false">D41</f>
        <v>1704.6375</v>
      </c>
      <c r="F30" s="27" t="n">
        <f aca="false">E41</f>
        <v>1687.2875</v>
      </c>
      <c r="G30" s="27" t="n">
        <f aca="false">F41</f>
        <v>1669.9375</v>
      </c>
    </row>
    <row r="31" customFormat="false" ht="15" hidden="false" customHeight="false" outlineLevel="0" collapsed="false">
      <c r="A31" s="0" t="s">
        <v>420</v>
      </c>
      <c r="C31" s="6" t="n">
        <f aca="false">C30*(C29+Inputs!$C$67)*C28</f>
        <v>102.148125</v>
      </c>
      <c r="D31" s="6" t="n">
        <f aca="false">D30*(D29+Inputs!$C$67)*D28</f>
        <v>123.12210625</v>
      </c>
      <c r="E31" s="6" t="n">
        <f aca="false">E30*(E29+Inputs!$C$67)*E28</f>
        <v>116.76766875</v>
      </c>
      <c r="F31" s="6" t="n">
        <f aca="false">F30*(F29+Inputs!$C$67)*F28</f>
        <v>113.89190625</v>
      </c>
      <c r="G31" s="6" t="n">
        <f aca="false">G30*(G29+Inputs!$C$67)*G28</f>
        <v>112.72078125</v>
      </c>
    </row>
    <row r="32" customFormat="false" ht="15" hidden="false" customHeight="false" outlineLevel="0" collapsed="false">
      <c r="A32" s="0" t="s">
        <v>421</v>
      </c>
      <c r="C32" s="6" t="n">
        <f aca="false">C42*(C29+Inputs!$C$72)*C28</f>
        <v>30.28875</v>
      </c>
      <c r="D32" s="6" t="n">
        <f aca="false">D42*(D29+Inputs!$C$72)*D28</f>
        <v>37.515</v>
      </c>
      <c r="E32" s="6" t="n">
        <f aca="false">E42*(E29+Inputs!$C$72)*E28</f>
        <v>36.285</v>
      </c>
      <c r="F32" s="6" t="n">
        <f aca="false">F42*(F29+Inputs!$C$72)*F28</f>
        <v>35.875</v>
      </c>
      <c r="G32" s="6" t="n">
        <f aca="false">G42*(G29+Inputs!$C$72)*G28</f>
        <v>35.875</v>
      </c>
    </row>
    <row r="33" customFormat="false" ht="15" hidden="false" customHeight="false" outlineLevel="0" collapsed="false">
      <c r="A33" s="0" t="s">
        <v>422</v>
      </c>
      <c r="C33" s="27" t="n">
        <f aca="false">C31+C32</f>
        <v>132.436875</v>
      </c>
      <c r="D33" s="27" t="n">
        <f aca="false">D31+D32</f>
        <v>160.63710625</v>
      </c>
      <c r="E33" s="27" t="n">
        <f aca="false">E31+E32</f>
        <v>153.05266875</v>
      </c>
      <c r="F33" s="27" t="n">
        <f aca="false">F31+F32</f>
        <v>149.76690625</v>
      </c>
      <c r="G33" s="27" t="n">
        <f aca="false">G31+G32</f>
        <v>148.59578125</v>
      </c>
    </row>
    <row r="34" customFormat="false" ht="15" hidden="false" customHeight="false" outlineLevel="0" collapsed="false">
      <c r="A34" s="0" t="s">
        <v>423</v>
      </c>
      <c r="C34" s="6" t="n">
        <f aca="false">MIN(C33,Inputs!$C$45*C23*C28)</f>
        <v>41.70096</v>
      </c>
      <c r="D34" s="6" t="n">
        <f aca="false">MIN(D33,Inputs!$C$45*D23*D28)</f>
        <v>63.13062</v>
      </c>
      <c r="E34" s="6" t="n">
        <f aca="false">MIN(E33,Inputs!$C$45*E23*E28)</f>
        <v>70.251753936</v>
      </c>
      <c r="F34" s="6" t="n">
        <f aca="false">MIN(F33,Inputs!$C$45*F23*F28)</f>
        <v>77.33096914032</v>
      </c>
      <c r="G34" s="6" t="n">
        <f aca="false">MIN(G33,Inputs!$C$45*G23*G28)</f>
        <v>84.2048330639041</v>
      </c>
    </row>
    <row r="35" customFormat="false" ht="15" hidden="false" customHeight="false" outlineLevel="0" collapsed="false">
      <c r="A35" s="0" t="s">
        <v>424</v>
      </c>
      <c r="C35" s="6" t="n">
        <f aca="false">MAX(0,(C23-C27)*C28-C34)*Inputs!$C$44</f>
        <v>18.4075082288828</v>
      </c>
      <c r="D35" s="6" t="n">
        <f aca="false">MAX(0,(D23-D27)*D28-D34)*Inputs!$C$44</f>
        <v>28.2252930926431</v>
      </c>
      <c r="E35" s="6" t="n">
        <f aca="false">MAX(0,(E23-E27)*E28-E34)*Inputs!$C$44</f>
        <v>31.7772247551281</v>
      </c>
      <c r="F35" s="6" t="n">
        <f aca="false">MAX(0,(F23-F27)*F28-F34)*Inputs!$C$44</f>
        <v>35.3545890551958</v>
      </c>
      <c r="G35" s="6" t="n">
        <f aca="false">MAX(0,(G23-G27)*G28-G34)*Inputs!$C$44</f>
        <v>38.8765858634536</v>
      </c>
    </row>
    <row r="36" customFormat="false" ht="15" hidden="false" customHeight="false" outlineLevel="0" collapsed="false">
      <c r="A36" s="0" t="s">
        <v>425</v>
      </c>
      <c r="C36" s="28" t="n">
        <f aca="false">(C23-C25+C26-Inputs!$C$81)*C28-C33-C35</f>
        <v>-34.6636577974568</v>
      </c>
      <c r="D36" s="28" t="n">
        <f aca="false">(D23-D25+D26-Inputs!$C$81)*D28-D33-D35</f>
        <v>-11.8641623823039</v>
      </c>
      <c r="E36" s="28" t="n">
        <f aca="false">(E23-E25+E26-Inputs!$C$81)*E28-E33-E35</f>
        <v>13.4203751624348</v>
      </c>
      <c r="F36" s="28" t="n">
        <f aca="false">(F23-F25+F26-Inputs!$C$81)*F28-F33-F35</f>
        <v>34.9290811096209</v>
      </c>
      <c r="G36" s="28" t="n">
        <f aca="false">(G23-G25+G26-Inputs!$C$81)*G28-G33-G35</f>
        <v>53.704459498664</v>
      </c>
    </row>
    <row r="37" customFormat="false" ht="15" hidden="false" customHeight="false" outlineLevel="0" collapsed="false">
      <c r="A37" s="0" t="s">
        <v>426</v>
      </c>
      <c r="C37" s="6" t="n">
        <f aca="false">MIN(C30,$B$6*Inputs!$C$70*C28)</f>
        <v>13.0125</v>
      </c>
      <c r="D37" s="6" t="n">
        <f aca="false">MIN(D30,$B$6*Inputs!$C$70*D28)</f>
        <v>17.35</v>
      </c>
      <c r="E37" s="6" t="n">
        <f aca="false">MIN(E30,$B$6*Inputs!$C$70*E28)</f>
        <v>17.35</v>
      </c>
      <c r="F37" s="6" t="n">
        <f aca="false">MIN(F30,$B$6*Inputs!$C$70*F28)</f>
        <v>17.35</v>
      </c>
      <c r="G37" s="6" t="n">
        <f aca="false">MIN(G30,$B$6*Inputs!$C$70*G28)</f>
        <v>17.35</v>
      </c>
    </row>
    <row r="38" customFormat="false" ht="15" hidden="false" customHeight="false" outlineLevel="0" collapsed="false">
      <c r="A38" s="0" t="s">
        <v>427</v>
      </c>
      <c r="C38" s="6" t="n">
        <f aca="false">Inputs!$C$79</f>
        <v>100</v>
      </c>
      <c r="D38" s="27" t="n">
        <f aca="false">C43</f>
        <v>52.3238422025432</v>
      </c>
      <c r="E38" s="27" t="n">
        <f aca="false">D43</f>
        <v>23.1096798202392</v>
      </c>
      <c r="F38" s="27" t="n">
        <f aca="false">E43</f>
        <v>19.180054982674</v>
      </c>
      <c r="G38" s="27" t="n">
        <f aca="false">F43</f>
        <v>36.7591360922949</v>
      </c>
    </row>
    <row r="39" customFormat="false" ht="15" hidden="false" customHeight="false" outlineLevel="0" collapsed="false">
      <c r="A39" s="0" t="s">
        <v>428</v>
      </c>
      <c r="C39" s="27" t="n">
        <f aca="false">C38+C36-C37</f>
        <v>52.3238422025432</v>
      </c>
      <c r="D39" s="27" t="n">
        <f aca="false">D38+D36-D37</f>
        <v>23.1096798202392</v>
      </c>
      <c r="E39" s="27" t="n">
        <f aca="false">E38+E36-E37</f>
        <v>19.180054982674</v>
      </c>
      <c r="F39" s="27" t="n">
        <f aca="false">F38+F36-F37</f>
        <v>36.7591360922949</v>
      </c>
      <c r="G39" s="27" t="n">
        <f aca="false">G38+G36-G37</f>
        <v>73.1135955909589</v>
      </c>
    </row>
    <row r="40" customFormat="false" ht="15" hidden="false" customHeight="false" outlineLevel="0" collapsed="false">
      <c r="A40" s="0" t="s">
        <v>429</v>
      </c>
      <c r="C40" s="6" t="n">
        <f aca="false">MIN(MAX(0,C39-Inputs!$C$79)*Inputs!$C$80,C30-C37)</f>
        <v>0</v>
      </c>
      <c r="D40" s="6" t="n">
        <f aca="false">MIN(MAX(0,D39-Inputs!$C$79)*Inputs!$C$80,D30-D37)</f>
        <v>0</v>
      </c>
      <c r="E40" s="6" t="n">
        <f aca="false">MIN(MAX(0,E39-Inputs!$C$79)*Inputs!$C$80,E30-E37)</f>
        <v>0</v>
      </c>
      <c r="F40" s="6" t="n">
        <f aca="false">MIN(MAX(0,F39-Inputs!$C$79)*Inputs!$C$80,F30-F37)</f>
        <v>0</v>
      </c>
      <c r="G40" s="6" t="n">
        <f aca="false">MIN(MAX(0,G39-Inputs!$C$79)*Inputs!$C$80,G30-G37)</f>
        <v>0</v>
      </c>
    </row>
    <row r="41" customFormat="false" ht="15" hidden="false" customHeight="false" outlineLevel="0" collapsed="false">
      <c r="A41" s="0" t="s">
        <v>430</v>
      </c>
      <c r="C41" s="27" t="n">
        <f aca="false">C30-C37-C40</f>
        <v>1721.9875</v>
      </c>
      <c r="D41" s="27" t="n">
        <f aca="false">D30-D37-D40</f>
        <v>1704.6375</v>
      </c>
      <c r="E41" s="27" t="n">
        <f aca="false">E30-E37-E40</f>
        <v>1687.2875</v>
      </c>
      <c r="F41" s="27" t="n">
        <f aca="false">F30-F37-F40</f>
        <v>1669.9375</v>
      </c>
      <c r="G41" s="27" t="n">
        <f aca="false">G30-G37-G40</f>
        <v>1652.5875</v>
      </c>
    </row>
    <row r="42" customFormat="false" ht="15" hidden="false" customHeight="false" outlineLevel="0" collapsed="false">
      <c r="A42" s="0" t="s">
        <v>431</v>
      </c>
      <c r="C42" s="27" t="n">
        <f aca="false">$B$7</f>
        <v>410</v>
      </c>
      <c r="D42" s="27" t="n">
        <f aca="false">$B$7</f>
        <v>410</v>
      </c>
      <c r="E42" s="27" t="n">
        <f aca="false">$B$7</f>
        <v>410</v>
      </c>
      <c r="F42" s="27" t="n">
        <f aca="false">$B$7</f>
        <v>410</v>
      </c>
      <c r="G42" s="27" t="n">
        <f aca="false">$B$7</f>
        <v>410</v>
      </c>
    </row>
    <row r="43" customFormat="false" ht="15" hidden="false" customHeight="false" outlineLevel="0" collapsed="false">
      <c r="A43" s="0" t="s">
        <v>432</v>
      </c>
      <c r="C43" s="27" t="n">
        <f aca="false">C39-C40</f>
        <v>52.3238422025432</v>
      </c>
      <c r="D43" s="27" t="n">
        <f aca="false">D39-D40</f>
        <v>23.1096798202392</v>
      </c>
      <c r="E43" s="27" t="n">
        <f aca="false">E39-E40</f>
        <v>19.180054982674</v>
      </c>
      <c r="F43" s="27" t="n">
        <f aca="false">F39-F40</f>
        <v>36.7591360922949</v>
      </c>
      <c r="G43" s="27" t="n">
        <f aca="false">G39-G40</f>
        <v>73.1135955909589</v>
      </c>
    </row>
    <row r="44" customFormat="false" ht="15" hidden="false" customHeight="false" outlineLevel="0" collapsed="false">
      <c r="A44" s="0" t="s">
        <v>433</v>
      </c>
      <c r="C44" s="39" t="n">
        <f aca="false">C41+C42-C43</f>
        <v>2079.66365779746</v>
      </c>
      <c r="D44" s="39" t="n">
        <f aca="false">D41+D42-D43</f>
        <v>2091.52782017976</v>
      </c>
      <c r="E44" s="39" t="n">
        <f aca="false">E41+E42-E43</f>
        <v>2078.10744501733</v>
      </c>
      <c r="F44" s="39" t="n">
        <f aca="false">F41+F42-F43</f>
        <v>2043.17836390771</v>
      </c>
      <c r="G44" s="39" t="n">
        <f aca="false">G41+G42-G43</f>
        <v>1989.47390440904</v>
      </c>
    </row>
    <row r="45" customFormat="false" ht="15" hidden="false" customHeight="false" outlineLevel="0" collapsed="false">
      <c r="A45" s="0" t="s">
        <v>434</v>
      </c>
      <c r="C45" s="32" t="n">
        <f aca="false">(C41+C42)/C23</f>
        <v>11.5032648528955</v>
      </c>
      <c r="D45" s="32" t="n">
        <f aca="false">(D41+D42)/D23</f>
        <v>10.0488677285286</v>
      </c>
      <c r="E45" s="32" t="n">
        <f aca="false">(E41+E42)/E23</f>
        <v>8.95616429126018</v>
      </c>
      <c r="F45" s="32" t="n">
        <f aca="false">(F41+F42)/F23</f>
        <v>8.06896974054162</v>
      </c>
      <c r="G45" s="32" t="n">
        <f aca="false">(G41+G42)/G23</f>
        <v>7.34846477909889</v>
      </c>
    </row>
    <row r="46" customFormat="false" ht="15" hidden="false" customHeight="false" outlineLevel="0" collapsed="false">
      <c r="A46" s="0" t="s">
        <v>435</v>
      </c>
      <c r="C46" s="32" t="n">
        <f aca="false">C23*C28/C33</f>
        <v>1.04958079084847</v>
      </c>
      <c r="D46" s="32" t="n">
        <f aca="false">D23*D28/D33</f>
        <v>1.31000492297526</v>
      </c>
      <c r="E46" s="32" t="n">
        <f aca="false">E23*E28/E33</f>
        <v>1.53001260959718</v>
      </c>
      <c r="F46" s="32" t="n">
        <f aca="false">F23*F28/F33</f>
        <v>1.72114056161456</v>
      </c>
      <c r="G46" s="32" t="n">
        <f aca="false">G23*G28/G33</f>
        <v>1.88890138413455</v>
      </c>
    </row>
    <row r="48" customFormat="false" ht="15" hidden="false" customHeight="false" outlineLevel="0" collapsed="false">
      <c r="A48" s="7" t="s">
        <v>436</v>
      </c>
      <c r="B48" s="7" t="s">
        <v>437</v>
      </c>
      <c r="C48" s="7" t="s">
        <v>438</v>
      </c>
      <c r="D48" s="7" t="s">
        <v>439</v>
      </c>
      <c r="E48" s="7" t="s">
        <v>440</v>
      </c>
      <c r="F48" s="7" t="s">
        <v>441</v>
      </c>
      <c r="G48" s="7" t="s">
        <v>442</v>
      </c>
      <c r="H48" s="7" t="s">
        <v>443</v>
      </c>
    </row>
    <row r="49" customFormat="false" ht="15" hidden="false" customHeight="false" outlineLevel="0" collapsed="false">
      <c r="B49" s="4" t="n">
        <f aca="false">Inputs!$C$95</f>
        <v>14</v>
      </c>
      <c r="C49" s="33" t="n">
        <f aca="false">B49*G23</f>
        <v>3929.55887631552</v>
      </c>
      <c r="D49" s="5" t="n">
        <f aca="false">G44+Inputs!$C$83</f>
        <v>2049.67390440904</v>
      </c>
      <c r="E49" s="33" t="n">
        <f aca="false">C49-D49</f>
        <v>1879.88497190648</v>
      </c>
      <c r="F49" s="5" t="n">
        <f aca="false">E49*(1-Inputs!$C$82)</f>
        <v>1729.49417415396</v>
      </c>
      <c r="G49" s="32" t="n">
        <f aca="false">F49/$B$15</f>
        <v>0.576292513721427</v>
      </c>
      <c r="H49" s="40" t="n">
        <f aca="false">G49^(1/Inputs!$C$85)-1</f>
        <v>-0.109551005192626</v>
      </c>
    </row>
    <row r="50" customFormat="false" ht="15" hidden="false" customHeight="false" outlineLevel="0" collapsed="false">
      <c r="B50" s="4" t="n">
        <f aca="false">Inputs!$C$90</f>
        <v>18</v>
      </c>
      <c r="C50" s="33" t="n">
        <f aca="false">B50*G23</f>
        <v>5052.28998383424</v>
      </c>
      <c r="D50" s="5" t="n">
        <f aca="false">G44+Inputs!$C$83</f>
        <v>2049.67390440904</v>
      </c>
      <c r="E50" s="33" t="n">
        <f aca="false">C50-D50</f>
        <v>3002.6160794252</v>
      </c>
      <c r="F50" s="5" t="n">
        <f aca="false">E50*(1-Inputs!$C$82)</f>
        <v>2762.40679307119</v>
      </c>
      <c r="G50" s="32" t="n">
        <f aca="false">F50/$B$15</f>
        <v>0.92047396197729</v>
      </c>
      <c r="H50" s="40" t="n">
        <f aca="false">G50^(1/Inputs!$C$85)-1</f>
        <v>-0.0172942994688413</v>
      </c>
    </row>
    <row r="52" customFormat="false" ht="15" hidden="false" customHeight="false" outlineLevel="0" collapsed="false">
      <c r="A52" s="0" t="s">
        <v>444</v>
      </c>
      <c r="B52" s="27" t="n">
        <f aca="false">MIN(C43:G43)</f>
        <v>19.180054982674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7.35" hidden="false" customHeight="false" outlineLevel="0" collapsed="false">
      <c r="A1" s="1" t="s">
        <v>457</v>
      </c>
    </row>
    <row r="2" customFormat="false" ht="15" hidden="false" customHeight="false" outlineLevel="0" collapsed="false">
      <c r="A2" s="0" t="s">
        <v>458</v>
      </c>
    </row>
    <row r="3" customFormat="false" ht="15" hidden="false" customHeight="false" outlineLevel="0" collapsed="false">
      <c r="A3" s="25" t="s">
        <v>459</v>
      </c>
      <c r="B3" s="12" t="n">
        <v>1500</v>
      </c>
      <c r="C3" s="12" t="n">
        <v>1800</v>
      </c>
      <c r="D3" s="12" t="n">
        <v>2145</v>
      </c>
      <c r="E3" s="12" t="n">
        <v>2400</v>
      </c>
      <c r="F3" s="12" t="n">
        <v>2700</v>
      </c>
    </row>
    <row r="4" customFormat="false" ht="15" hidden="false" customHeight="false" outlineLevel="0" collapsed="false">
      <c r="A4" s="25" t="s">
        <v>460</v>
      </c>
      <c r="B4" s="4" t="n">
        <f aca="false">B3/Inputs!$C$12</f>
        <v>10.2739726027397</v>
      </c>
      <c r="C4" s="4" t="n">
        <f aca="false">C3/Inputs!$C$12</f>
        <v>12.3287671232877</v>
      </c>
      <c r="D4" s="4" t="n">
        <f aca="false">D3/Inputs!$C$12</f>
        <v>14.6917808219178</v>
      </c>
      <c r="E4" s="4" t="n">
        <f aca="false">E3/Inputs!$C$12</f>
        <v>16.4383561643836</v>
      </c>
      <c r="F4" s="4" t="n">
        <f aca="false">F3/Inputs!$C$12</f>
        <v>18.4931506849315</v>
      </c>
    </row>
    <row r="5" customFormat="false" ht="15" hidden="false" customHeight="false" outlineLevel="0" collapsed="false">
      <c r="A5" s="25" t="s">
        <v>461</v>
      </c>
    </row>
    <row r="6" customFormat="false" ht="15" hidden="false" customHeight="false" outlineLevel="0" collapsed="false">
      <c r="A6" s="13" t="n">
        <v>14</v>
      </c>
      <c r="B6" s="24" t="n">
        <f aca="false">$H$60</f>
        <v>0.138868217169653</v>
      </c>
      <c r="C6" s="24" t="n">
        <f aca="false">$H$114</f>
        <v>0.145421128069321</v>
      </c>
      <c r="D6" s="24" t="n">
        <f aca="false">$H$168</f>
        <v>0.154183656270494</v>
      </c>
      <c r="E6" s="24" t="n">
        <f aca="false">$H$222</f>
        <v>0.16164605222909</v>
      </c>
      <c r="F6" s="24" t="n">
        <f aca="false">$H$276</f>
        <v>0.172022249789113</v>
      </c>
    </row>
    <row r="7" customFormat="false" ht="15" hidden="false" customHeight="false" outlineLevel="0" collapsed="false">
      <c r="A7" s="13" t="n">
        <v>16</v>
      </c>
      <c r="B7" s="24" t="n">
        <f aca="false">$H$61</f>
        <v>0.17349532960176</v>
      </c>
      <c r="C7" s="24" t="n">
        <f aca="false">$H$115</f>
        <v>0.182153109470912</v>
      </c>
      <c r="D7" s="24" t="n">
        <f aca="false">$H$169</f>
        <v>0.193700569818676</v>
      </c>
      <c r="E7" s="24" t="n">
        <f aca="false">$H$223</f>
        <v>0.203540721229722</v>
      </c>
      <c r="F7" s="24" t="n">
        <f aca="false">$H$277</f>
        <v>0.21712627301005</v>
      </c>
    </row>
    <row r="8" customFormat="false" ht="15" hidden="false" customHeight="false" outlineLevel="0" collapsed="false">
      <c r="A8" s="13" t="n">
        <v>18</v>
      </c>
      <c r="B8" s="24" t="n">
        <f aca="false">$H$62</f>
        <v>0.204667010385379</v>
      </c>
      <c r="C8" s="24" t="n">
        <f aca="false">$H$116</f>
        <v>0.215044959027619</v>
      </c>
      <c r="D8" s="24" t="n">
        <f aca="false">$H$170</f>
        <v>0.228844889161838</v>
      </c>
      <c r="E8" s="24" t="n">
        <f aca="false">$H$224</f>
        <v>0.240587616831935</v>
      </c>
      <c r="F8" s="24" t="n">
        <f aca="false">$H$278</f>
        <v>0.256713799428665</v>
      </c>
    </row>
    <row r="9" customFormat="false" ht="15" hidden="false" customHeight="false" outlineLevel="0" collapsed="false">
      <c r="A9" s="13" t="n">
        <v>20</v>
      </c>
      <c r="B9" s="24" t="n">
        <f aca="false">$H$63</f>
        <v>0.233078017894524</v>
      </c>
      <c r="C9" s="24" t="n">
        <f aca="false">$H$117</f>
        <v>0.244901359268088</v>
      </c>
      <c r="D9" s="24" t="n">
        <f aca="false">$H$171</f>
        <v>0.260579951339997</v>
      </c>
      <c r="E9" s="24" t="n">
        <f aca="false">$H$225</f>
        <v>0.273897515794818</v>
      </c>
      <c r="F9" s="24" t="n">
        <f aca="false">$H$279</f>
        <v>0.292111406629668</v>
      </c>
    </row>
    <row r="10" customFormat="false" ht="15" hidden="false" customHeight="false" outlineLevel="0" collapsed="false">
      <c r="A10" s="13" t="n">
        <v>22</v>
      </c>
      <c r="B10" s="24" t="n">
        <f aca="false">$H$64</f>
        <v>0.25922715304758</v>
      </c>
      <c r="C10" s="24" t="n">
        <f aca="false">$H$118</f>
        <v>0.272291440828233</v>
      </c>
      <c r="D10" s="24" t="n">
        <f aca="false">$H$172</f>
        <v>0.289574167830816</v>
      </c>
      <c r="E10" s="24" t="n">
        <f aca="false">$H$226</f>
        <v>0.304229033107436</v>
      </c>
      <c r="F10" s="24" t="n">
        <f aca="false">$H$280</f>
        <v>0.324206688249359</v>
      </c>
    </row>
    <row r="12" customFormat="false" ht="15" hidden="false" customHeight="false" outlineLevel="0" collapsed="false">
      <c r="A12" s="25" t="s">
        <v>18</v>
      </c>
      <c r="B12" s="33" t="n">
        <f aca="false">$B$26</f>
        <v>3626.72</v>
      </c>
      <c r="C12" s="33" t="n">
        <f aca="false">$B$80</f>
        <v>3335.72</v>
      </c>
      <c r="D12" s="33" t="n">
        <f aca="false">$B$134</f>
        <v>3001.07</v>
      </c>
      <c r="E12" s="33" t="n">
        <f aca="false">$B$188</f>
        <v>2753.72</v>
      </c>
      <c r="F12" s="33" t="n">
        <f aca="false">$B$242</f>
        <v>2462.72</v>
      </c>
    </row>
    <row r="15" customFormat="false" ht="15" hidden="false" customHeight="false" outlineLevel="0" collapsed="false">
      <c r="A15" s="36" t="s">
        <v>462</v>
      </c>
    </row>
    <row r="16" customFormat="false" ht="15" hidden="false" customHeight="false" outlineLevel="0" collapsed="false">
      <c r="A16" s="0" t="s">
        <v>404</v>
      </c>
      <c r="B16" s="5" t="n">
        <f aca="false">'LBO grid'!$B$3</f>
        <v>1500</v>
      </c>
    </row>
    <row r="17" customFormat="false" ht="15" hidden="false" customHeight="false" outlineLevel="0" collapsed="false">
      <c r="A17" s="0" t="s">
        <v>121</v>
      </c>
      <c r="B17" s="5" t="n">
        <f aca="false">B16*Inputs!$C$66/(Inputs!$C$66+Inputs!$C$71)</f>
        <v>1213.28671328671</v>
      </c>
    </row>
    <row r="18" customFormat="false" ht="15" hidden="false" customHeight="false" outlineLevel="0" collapsed="false">
      <c r="A18" s="0" t="s">
        <v>131</v>
      </c>
      <c r="B18" s="33" t="n">
        <f aca="false">B16-B17</f>
        <v>286.713286713287</v>
      </c>
    </row>
    <row r="19" customFormat="false" ht="15" hidden="false" customHeight="false" outlineLevel="0" collapsed="false">
      <c r="A19" s="0" t="s">
        <v>405</v>
      </c>
      <c r="B19" s="5" t="n">
        <f aca="false">Inputs!$C$7*Inputs!$C$99</f>
        <v>5315</v>
      </c>
    </row>
    <row r="20" customFormat="false" ht="15" hidden="false" customHeight="false" outlineLevel="0" collapsed="false">
      <c r="A20" s="0" t="s">
        <v>406</v>
      </c>
      <c r="B20" s="5" t="n">
        <f aca="false">B19-Inputs!$C$100</f>
        <v>4992</v>
      </c>
    </row>
    <row r="21" customFormat="false" ht="15" hidden="false" customHeight="false" outlineLevel="0" collapsed="false">
      <c r="A21" s="0" t="s">
        <v>407</v>
      </c>
      <c r="B21" s="6" t="n">
        <f aca="false">B17*(1-Inputs!$C$68)+B18*(1-Inputs!$C$73)</f>
        <v>7.50000000000001</v>
      </c>
    </row>
    <row r="22" customFormat="false" ht="15" hidden="false" customHeight="false" outlineLevel="0" collapsed="false">
      <c r="A22" s="0" t="s">
        <v>408</v>
      </c>
      <c r="B22" s="6" t="n">
        <f aca="false">B16*Inputs!$C$76</f>
        <v>37.5</v>
      </c>
    </row>
    <row r="23" customFormat="false" ht="15" hidden="false" customHeight="false" outlineLevel="0" collapsed="false">
      <c r="A23" s="0" t="s">
        <v>409</v>
      </c>
      <c r="B23" s="6" t="n">
        <f aca="false">B20*Inputs!$C$77</f>
        <v>49.92</v>
      </c>
    </row>
    <row r="24" customFormat="false" ht="15" hidden="false" customHeight="false" outlineLevel="0" collapsed="false">
      <c r="A24" s="0" t="s">
        <v>410</v>
      </c>
      <c r="B24" s="37" t="n">
        <f aca="false">B19+B21+B22+B23</f>
        <v>5409.92</v>
      </c>
    </row>
    <row r="25" customFormat="false" ht="15" hidden="false" customHeight="false" outlineLevel="0" collapsed="false">
      <c r="A25" s="0" t="s">
        <v>411</v>
      </c>
      <c r="B25" s="6" t="n">
        <f aca="false">Inputs!$C$78-Inputs!$C$79</f>
        <v>283.2</v>
      </c>
    </row>
    <row r="26" customFormat="false" ht="15" hidden="false" customHeight="false" outlineLevel="0" collapsed="false">
      <c r="A26" s="0" t="s">
        <v>412</v>
      </c>
      <c r="B26" s="37" t="n">
        <f aca="false">B24-B16-B25</f>
        <v>3626.72</v>
      </c>
    </row>
    <row r="27" customFormat="false" ht="15" hidden="false" customHeight="false" outlineLevel="0" collapsed="false">
      <c r="A27" s="0" t="s">
        <v>413</v>
      </c>
      <c r="B27" s="24" t="n">
        <f aca="false">B26/B24</f>
        <v>0.670383295871288</v>
      </c>
    </row>
    <row r="28" customFormat="false" ht="15" hidden="false" customHeight="false" outlineLevel="0" collapsed="false">
      <c r="A28" s="0" t="s">
        <v>414</v>
      </c>
      <c r="B28" s="4" t="n">
        <f aca="false">B16/Inputs!$C$12</f>
        <v>10.2739726027397</v>
      </c>
    </row>
    <row r="29" customFormat="false" ht="15" hidden="false" customHeight="false" outlineLevel="0" collapsed="false">
      <c r="A29" s="0" t="s">
        <v>415</v>
      </c>
      <c r="B29" s="4" t="n">
        <f aca="false">B16/Inputs!$C$33</f>
        <v>1.91766811557147</v>
      </c>
    </row>
    <row r="31" customFormat="false" ht="15" hidden="false" customHeight="false" outlineLevel="0" collapsed="false">
      <c r="A31" s="7" t="s">
        <v>47</v>
      </c>
      <c r="B31" s="7" t="s">
        <v>229</v>
      </c>
      <c r="C31" s="7" t="s">
        <v>230</v>
      </c>
      <c r="D31" s="7" t="s">
        <v>231</v>
      </c>
      <c r="E31" s="7" t="s">
        <v>232</v>
      </c>
      <c r="F31" s="7" t="s">
        <v>233</v>
      </c>
      <c r="G31" s="7" t="s">
        <v>234</v>
      </c>
    </row>
    <row r="32" customFormat="false" ht="15" hidden="false" customHeight="false" outlineLevel="0" collapsed="false">
      <c r="A32" s="0" t="s">
        <v>173</v>
      </c>
      <c r="B32" s="6" t="n">
        <f aca="false">History!D5</f>
        <v>689.5</v>
      </c>
      <c r="C32" s="27" t="n">
        <f aca="false">B32*(1+C33)</f>
        <v>820.505</v>
      </c>
      <c r="D32" s="27" t="n">
        <f aca="false">C32*(1+D33)</f>
        <v>959.99085</v>
      </c>
      <c r="E32" s="27" t="n">
        <f aca="false">D32*(1+E33)</f>
        <v>1103.9894775</v>
      </c>
      <c r="F32" s="27" t="n">
        <f aca="false">E32*(1+F33)</f>
        <v>1247.508109575</v>
      </c>
      <c r="G32" s="27" t="n">
        <f aca="false">F32*(1+G33)</f>
        <v>1397.209082724</v>
      </c>
    </row>
    <row r="33" customFormat="false" ht="15" hidden="false" customHeight="false" outlineLevel="0" collapsed="false">
      <c r="A33" s="0" t="s">
        <v>174</v>
      </c>
      <c r="C33" s="3" t="n">
        <f aca="false">Inputs!$F$88</f>
        <v>0.19</v>
      </c>
      <c r="D33" s="3" t="n">
        <f aca="false">Inputs!$G$88</f>
        <v>0.17</v>
      </c>
      <c r="E33" s="3" t="n">
        <f aca="false">Inputs!$H$88</f>
        <v>0.15</v>
      </c>
      <c r="F33" s="3" t="n">
        <f aca="false">Inputs!$I$88</f>
        <v>0.13</v>
      </c>
      <c r="G33" s="3" t="n">
        <f aca="false">Inputs!$J$88</f>
        <v>0.12</v>
      </c>
    </row>
    <row r="34" customFormat="false" ht="15" hidden="false" customHeight="false" outlineLevel="0" collapsed="false">
      <c r="A34" s="0" t="s">
        <v>237</v>
      </c>
      <c r="C34" s="27" t="n">
        <f aca="false">C32*C35</f>
        <v>221.53635</v>
      </c>
      <c r="D34" s="27" t="n">
        <f aca="false">D32*D35</f>
        <v>297.5971635</v>
      </c>
      <c r="E34" s="27" t="n">
        <f aca="false">E32*E35</f>
        <v>386.396317125</v>
      </c>
      <c r="F34" s="27" t="n">
        <f aca="false">F32*F35</f>
        <v>474.0530816385</v>
      </c>
      <c r="G34" s="27" t="n">
        <f aca="false">G32*G35</f>
        <v>558.8836330896</v>
      </c>
    </row>
    <row r="35" customFormat="false" ht="15" hidden="false" customHeight="false" outlineLevel="0" collapsed="false">
      <c r="A35" s="0" t="s">
        <v>178</v>
      </c>
      <c r="C35" s="3" t="n">
        <f aca="false">Inputs!$F$89</f>
        <v>0.27</v>
      </c>
      <c r="D35" s="3" t="n">
        <f aca="false">Inputs!$G$89</f>
        <v>0.31</v>
      </c>
      <c r="E35" s="3" t="n">
        <f aca="false">Inputs!$H$89</f>
        <v>0.35</v>
      </c>
      <c r="F35" s="3" t="n">
        <f aca="false">Inputs!$I$89</f>
        <v>0.38</v>
      </c>
      <c r="G35" s="3" t="n">
        <f aca="false">Inputs!$J$89</f>
        <v>0.4</v>
      </c>
    </row>
    <row r="36" customFormat="false" ht="15" hidden="false" customHeight="false" outlineLevel="0" collapsed="false">
      <c r="A36" s="0" t="s">
        <v>242</v>
      </c>
      <c r="C36" s="6" t="n">
        <f aca="false">C32*Inputs!$C$101</f>
        <v>19.8729639721465</v>
      </c>
      <c r="D36" s="6" t="n">
        <f aca="false">D32*Inputs!$C$101</f>
        <v>23.2513678474114</v>
      </c>
      <c r="E36" s="6" t="n">
        <f aca="false">E32*Inputs!$C$101</f>
        <v>26.7390730245232</v>
      </c>
      <c r="F36" s="6" t="n">
        <f aca="false">F32*Inputs!$C$101</f>
        <v>30.2151525177112</v>
      </c>
      <c r="G36" s="6" t="n">
        <f aca="false">G32*Inputs!$C$101</f>
        <v>33.8409708198365</v>
      </c>
    </row>
    <row r="37" customFormat="false" ht="15" hidden="false" customHeight="false" outlineLevel="0" collapsed="false">
      <c r="A37" s="0" t="s">
        <v>243</v>
      </c>
      <c r="C37" s="6" t="n">
        <f aca="false">(C32-B32)*Inputs!$C$46</f>
        <v>13.1005</v>
      </c>
      <c r="D37" s="6" t="n">
        <f aca="false">(D32-C32)*Inputs!$C$46</f>
        <v>13.948585</v>
      </c>
      <c r="E37" s="6" t="n">
        <f aca="false">(E32-D32)*Inputs!$C$46</f>
        <v>14.39986275</v>
      </c>
      <c r="F37" s="6" t="n">
        <f aca="false">(F32-E32)*Inputs!$C$46</f>
        <v>14.3518632075</v>
      </c>
      <c r="G37" s="6" t="n">
        <f aca="false">(G32-F32)*Inputs!$C$46</f>
        <v>14.9700973149</v>
      </c>
    </row>
    <row r="38" customFormat="false" ht="15" hidden="false" customHeight="false" outlineLevel="0" collapsed="false">
      <c r="A38" s="0" t="s">
        <v>416</v>
      </c>
      <c r="C38" s="6" t="n">
        <f aca="false">C32*Inputs!$C$102</f>
        <v>33.5356267029973</v>
      </c>
      <c r="D38" s="6" t="n">
        <f aca="false">D32*Inputs!$C$102</f>
        <v>39.2366832425068</v>
      </c>
      <c r="E38" s="6" t="n">
        <f aca="false">E32*Inputs!$C$102</f>
        <v>45.1221857288828</v>
      </c>
      <c r="F38" s="6" t="n">
        <f aca="false">F32*Inputs!$C$102</f>
        <v>50.9880698736376</v>
      </c>
      <c r="G38" s="6" t="n">
        <f aca="false">G32*Inputs!$C$102</f>
        <v>57.1066382584741</v>
      </c>
    </row>
    <row r="39" customFormat="false" ht="15" hidden="false" customHeight="false" outlineLevel="0" collapsed="false">
      <c r="A39" s="0" t="s">
        <v>417</v>
      </c>
      <c r="C39" s="38" t="n">
        <f aca="false">Inputs!$C$84</f>
        <v>0.75</v>
      </c>
      <c r="D39" s="34" t="n">
        <f aca="false">1</f>
        <v>1</v>
      </c>
      <c r="E39" s="34" t="n">
        <f aca="false">1</f>
        <v>1</v>
      </c>
      <c r="F39" s="34" t="n">
        <f aca="false">1</f>
        <v>1</v>
      </c>
      <c r="G39" s="34" t="n">
        <f aca="false">1</f>
        <v>1</v>
      </c>
    </row>
    <row r="40" customFormat="false" ht="15" hidden="false" customHeight="false" outlineLevel="0" collapsed="false">
      <c r="A40" s="0" t="s">
        <v>418</v>
      </c>
      <c r="C40" s="22" t="n">
        <f aca="false">Inputs!$F$75</f>
        <v>0.046</v>
      </c>
      <c r="D40" s="22" t="n">
        <f aca="false">Inputs!$G$75</f>
        <v>0.039</v>
      </c>
      <c r="E40" s="22" t="n">
        <f aca="false">Inputs!$H$75</f>
        <v>0.036</v>
      </c>
      <c r="F40" s="22" t="n">
        <f aca="false">Inputs!$I$75</f>
        <v>0.035</v>
      </c>
      <c r="G40" s="22" t="n">
        <f aca="false">Inputs!$J$75</f>
        <v>0.035</v>
      </c>
    </row>
    <row r="41" customFormat="false" ht="15" hidden="false" customHeight="false" outlineLevel="0" collapsed="false">
      <c r="A41" s="0" t="s">
        <v>419</v>
      </c>
      <c r="C41" s="27" t="n">
        <f aca="false">$B$17</f>
        <v>1213.28671328671</v>
      </c>
      <c r="D41" s="27" t="n">
        <f aca="false">C52</f>
        <v>1188.00855123217</v>
      </c>
      <c r="E41" s="27" t="n">
        <f aca="false">D52</f>
        <v>1094.79532849522</v>
      </c>
      <c r="F41" s="27" t="n">
        <f aca="false">E52</f>
        <v>926.394870615177</v>
      </c>
      <c r="G41" s="27" t="n">
        <f aca="false">F52</f>
        <v>684.26282642895</v>
      </c>
    </row>
    <row r="42" customFormat="false" ht="15" hidden="false" customHeight="false" outlineLevel="0" collapsed="false">
      <c r="A42" s="0" t="s">
        <v>420</v>
      </c>
      <c r="C42" s="6" t="n">
        <f aca="false">C41*(C40+Inputs!$C$67)*C39</f>
        <v>71.4322552447553</v>
      </c>
      <c r="D42" s="6" t="n">
        <f aca="false">D41*(D40+Inputs!$C$67)*D39</f>
        <v>84.9426114131004</v>
      </c>
      <c r="E42" s="6" t="n">
        <f aca="false">E41*(E40+Inputs!$C$67)*E39</f>
        <v>74.9934800019228</v>
      </c>
      <c r="F42" s="6" t="n">
        <f aca="false">F41*(F40+Inputs!$C$67)*F39</f>
        <v>62.5316537665244</v>
      </c>
      <c r="G42" s="6" t="n">
        <f aca="false">G41*(G40+Inputs!$C$67)*G39</f>
        <v>46.1877407839541</v>
      </c>
    </row>
    <row r="43" customFormat="false" ht="15" hidden="false" customHeight="false" outlineLevel="0" collapsed="false">
      <c r="A43" s="0" t="s">
        <v>421</v>
      </c>
      <c r="C43" s="6" t="n">
        <f aca="false">C53*(C40+Inputs!$C$72)*C39</f>
        <v>21.1809440559441</v>
      </c>
      <c r="D43" s="6" t="n">
        <f aca="false">D53*(D40+Inputs!$C$72)*D39</f>
        <v>26.2342657342657</v>
      </c>
      <c r="E43" s="6" t="n">
        <f aca="false">E53*(E40+Inputs!$C$72)*E39</f>
        <v>25.3741258741259</v>
      </c>
      <c r="F43" s="6" t="n">
        <f aca="false">F53*(F40+Inputs!$C$72)*F39</f>
        <v>25.0874125874126</v>
      </c>
      <c r="G43" s="6" t="n">
        <f aca="false">G53*(G40+Inputs!$C$72)*G39</f>
        <v>25.0874125874126</v>
      </c>
    </row>
    <row r="44" customFormat="false" ht="15" hidden="false" customHeight="false" outlineLevel="0" collapsed="false">
      <c r="A44" s="0" t="s">
        <v>422</v>
      </c>
      <c r="C44" s="27" t="n">
        <f aca="false">C42+C43</f>
        <v>92.6131993006993</v>
      </c>
      <c r="D44" s="27" t="n">
        <f aca="false">D42+D43</f>
        <v>111.176877147366</v>
      </c>
      <c r="E44" s="27" t="n">
        <f aca="false">E42+E43</f>
        <v>100.367605876049</v>
      </c>
      <c r="F44" s="27" t="n">
        <f aca="false">F42+F43</f>
        <v>87.619066353937</v>
      </c>
      <c r="G44" s="27" t="n">
        <f aca="false">G42+G43</f>
        <v>71.2751533713667</v>
      </c>
    </row>
    <row r="45" customFormat="false" ht="15" hidden="false" customHeight="false" outlineLevel="0" collapsed="false">
      <c r="A45" s="0" t="s">
        <v>423</v>
      </c>
      <c r="C45" s="6" t="n">
        <f aca="false">MIN(C44,Inputs!$C$45*C34*C39)</f>
        <v>49.84567875</v>
      </c>
      <c r="D45" s="6" t="n">
        <f aca="false">MIN(D44,Inputs!$C$45*D34*D39)</f>
        <v>89.27914905</v>
      </c>
      <c r="E45" s="6" t="n">
        <f aca="false">MIN(E44,Inputs!$C$45*E34*E39)</f>
        <v>100.367605876049</v>
      </c>
      <c r="F45" s="6" t="n">
        <f aca="false">MIN(F44,Inputs!$C$45*F34*F39)</f>
        <v>87.619066353937</v>
      </c>
      <c r="G45" s="6" t="n">
        <f aca="false">MIN(G44,Inputs!$C$45*G34*G39)</f>
        <v>71.2751533713667</v>
      </c>
    </row>
    <row r="46" customFormat="false" ht="15" hidden="false" customHeight="false" outlineLevel="0" collapsed="false">
      <c r="A46" s="0" t="s">
        <v>424</v>
      </c>
      <c r="C46" s="6" t="n">
        <f aca="false">MAX(0,(C34-C38)*C39-C45)*Inputs!$C$44</f>
        <v>22.788715930688</v>
      </c>
      <c r="D46" s="6" t="n">
        <f aca="false">MAX(0,(D34-D38)*D39-D45)*Inputs!$C$44</f>
        <v>42.2703328018733</v>
      </c>
      <c r="E46" s="6" t="n">
        <f aca="false">MAX(0,(E34-E38)*E39-E45)*Inputs!$C$44</f>
        <v>60.2266313800171</v>
      </c>
      <c r="F46" s="6" t="n">
        <f aca="false">MAX(0,(F34-F38)*F39-F45)*Inputs!$C$44</f>
        <v>83.8614863527313</v>
      </c>
      <c r="G46" s="6" t="n">
        <f aca="false">MAX(0,(G34-G38)*G39-G45)*Inputs!$C$44</f>
        <v>107.62546036494</v>
      </c>
    </row>
    <row r="47" customFormat="false" ht="15" hidden="false" customHeight="false" outlineLevel="0" collapsed="false">
      <c r="A47" s="0" t="s">
        <v>425</v>
      </c>
      <c r="C47" s="28" t="n">
        <f aca="false">(C34-C36+C37-Inputs!$C$81)*C39-C44-C46</f>
        <v>30.6709992895028</v>
      </c>
      <c r="D47" s="28" t="n">
        <f aca="false">(D34-D36+D37-Inputs!$C$81)*D39-D44-D46</f>
        <v>114.847170703349</v>
      </c>
      <c r="E47" s="28" t="n">
        <f aca="false">(E34-E36+E37-Inputs!$C$81)*E39-E44-E46</f>
        <v>193.462869594411</v>
      </c>
      <c r="F47" s="28" t="n">
        <f aca="false">(F34-F36+F37-Inputs!$C$81)*F39-F44-F46</f>
        <v>266.70923962162</v>
      </c>
      <c r="G47" s="28" t="n">
        <f aca="false">(G34-G36+G37-Inputs!$C$81)*G39-G44-G46</f>
        <v>341.112145848357</v>
      </c>
    </row>
    <row r="48" customFormat="false" ht="15" hidden="false" customHeight="false" outlineLevel="0" collapsed="false">
      <c r="A48" s="0" t="s">
        <v>426</v>
      </c>
      <c r="C48" s="6" t="n">
        <f aca="false">MIN(C41,$B$17*Inputs!$C$70*C39)</f>
        <v>9.09965034965035</v>
      </c>
      <c r="D48" s="6" t="n">
        <f aca="false">MIN(D41,$B$17*Inputs!$C$70*D39)</f>
        <v>12.1328671328671</v>
      </c>
      <c r="E48" s="6" t="n">
        <f aca="false">MIN(E41,$B$17*Inputs!$C$70*E39)</f>
        <v>12.1328671328671</v>
      </c>
      <c r="F48" s="6" t="n">
        <f aca="false">MIN(F41,$B$17*Inputs!$C$70*F39)</f>
        <v>12.1328671328671</v>
      </c>
      <c r="G48" s="6" t="n">
        <f aca="false">MIN(G41,$B$17*Inputs!$C$70*G39)</f>
        <v>12.1328671328671</v>
      </c>
    </row>
    <row r="49" customFormat="false" ht="15" hidden="false" customHeight="false" outlineLevel="0" collapsed="false">
      <c r="A49" s="0" t="s">
        <v>427</v>
      </c>
      <c r="C49" s="6" t="n">
        <f aca="false">Inputs!$C$79</f>
        <v>100</v>
      </c>
      <c r="D49" s="27" t="n">
        <f aca="false">C54</f>
        <v>105.392837234963</v>
      </c>
      <c r="E49" s="27" t="n">
        <f aca="false">D54</f>
        <v>127.026785201361</v>
      </c>
      <c r="F49" s="27" t="n">
        <f aca="false">E54</f>
        <v>152.089196915726</v>
      </c>
      <c r="G49" s="27" t="n">
        <f aca="false">F54</f>
        <v>176.66639235112</v>
      </c>
    </row>
    <row r="50" customFormat="false" ht="15" hidden="false" customHeight="false" outlineLevel="0" collapsed="false">
      <c r="A50" s="0" t="s">
        <v>428</v>
      </c>
      <c r="C50" s="27" t="n">
        <f aca="false">C49+C47-C48</f>
        <v>121.571348939852</v>
      </c>
      <c r="D50" s="27" t="n">
        <f aca="false">D49+D47-D48</f>
        <v>208.107140805445</v>
      </c>
      <c r="E50" s="27" t="n">
        <f aca="false">E49+E47-E48</f>
        <v>308.356787662905</v>
      </c>
      <c r="F50" s="27" t="n">
        <f aca="false">F49+F47-F48</f>
        <v>406.66556940448</v>
      </c>
      <c r="G50" s="27" t="n">
        <f aca="false">G49+G47-G48</f>
        <v>505.64567106661</v>
      </c>
    </row>
    <row r="51" customFormat="false" ht="15" hidden="false" customHeight="false" outlineLevel="0" collapsed="false">
      <c r="A51" s="0" t="s">
        <v>429</v>
      </c>
      <c r="C51" s="6" t="n">
        <f aca="false">MIN(MAX(0,C50-Inputs!$C$79)*Inputs!$C$80,C41-C48)</f>
        <v>16.1785117048894</v>
      </c>
      <c r="D51" s="6" t="n">
        <f aca="false">MIN(MAX(0,D50-Inputs!$C$79)*Inputs!$C$80,D41-D48)</f>
        <v>81.0803556040838</v>
      </c>
      <c r="E51" s="6" t="n">
        <f aca="false">MIN(MAX(0,E50-Inputs!$C$79)*Inputs!$C$80,E41-E48)</f>
        <v>156.267590747179</v>
      </c>
      <c r="F51" s="6" t="n">
        <f aca="false">MIN(MAX(0,F50-Inputs!$C$79)*Inputs!$C$80,F41-F48)</f>
        <v>229.99917705336</v>
      </c>
      <c r="G51" s="6" t="n">
        <f aca="false">MIN(MAX(0,G50-Inputs!$C$79)*Inputs!$C$80,G41-G48)</f>
        <v>304.234253299957</v>
      </c>
    </row>
    <row r="52" customFormat="false" ht="15" hidden="false" customHeight="false" outlineLevel="0" collapsed="false">
      <c r="A52" s="0" t="s">
        <v>430</v>
      </c>
      <c r="C52" s="27" t="n">
        <f aca="false">C41-C48-C51</f>
        <v>1188.00855123217</v>
      </c>
      <c r="D52" s="27" t="n">
        <f aca="false">D41-D48-D51</f>
        <v>1094.79532849522</v>
      </c>
      <c r="E52" s="27" t="n">
        <f aca="false">E41-E48-E51</f>
        <v>926.394870615177</v>
      </c>
      <c r="F52" s="27" t="n">
        <f aca="false">F41-F48-F51</f>
        <v>684.26282642895</v>
      </c>
      <c r="G52" s="27" t="n">
        <f aca="false">G41-G48-G51</f>
        <v>367.895705996125</v>
      </c>
    </row>
    <row r="53" customFormat="false" ht="15" hidden="false" customHeight="false" outlineLevel="0" collapsed="false">
      <c r="A53" s="0" t="s">
        <v>431</v>
      </c>
      <c r="C53" s="27" t="n">
        <f aca="false">$B$18</f>
        <v>286.713286713287</v>
      </c>
      <c r="D53" s="27" t="n">
        <f aca="false">$B$18</f>
        <v>286.713286713287</v>
      </c>
      <c r="E53" s="27" t="n">
        <f aca="false">$B$18</f>
        <v>286.713286713287</v>
      </c>
      <c r="F53" s="27" t="n">
        <f aca="false">$B$18</f>
        <v>286.713286713287</v>
      </c>
      <c r="G53" s="27" t="n">
        <f aca="false">$B$18</f>
        <v>286.713286713287</v>
      </c>
    </row>
    <row r="54" customFormat="false" ht="15" hidden="false" customHeight="false" outlineLevel="0" collapsed="false">
      <c r="A54" s="0" t="s">
        <v>432</v>
      </c>
      <c r="C54" s="27" t="n">
        <f aca="false">C50-C51</f>
        <v>105.392837234963</v>
      </c>
      <c r="D54" s="27" t="n">
        <f aca="false">D50-D51</f>
        <v>127.026785201361</v>
      </c>
      <c r="E54" s="27" t="n">
        <f aca="false">E50-E51</f>
        <v>152.089196915726</v>
      </c>
      <c r="F54" s="27" t="n">
        <f aca="false">F50-F51</f>
        <v>176.66639235112</v>
      </c>
      <c r="G54" s="27" t="n">
        <f aca="false">G50-G51</f>
        <v>201.411417766652</v>
      </c>
    </row>
    <row r="55" customFormat="false" ht="15" hidden="false" customHeight="false" outlineLevel="0" collapsed="false">
      <c r="A55" s="0" t="s">
        <v>433</v>
      </c>
      <c r="C55" s="39" t="n">
        <f aca="false">C52+C53-C54</f>
        <v>1369.3290007105</v>
      </c>
      <c r="D55" s="39" t="n">
        <f aca="false">D52+D53-D54</f>
        <v>1254.48183000715</v>
      </c>
      <c r="E55" s="39" t="n">
        <f aca="false">E52+E53-E54</f>
        <v>1061.01896041274</v>
      </c>
      <c r="F55" s="39" t="n">
        <f aca="false">F52+F53-F54</f>
        <v>794.309720791117</v>
      </c>
      <c r="G55" s="39" t="n">
        <f aca="false">G52+G53-G54</f>
        <v>453.19757494276</v>
      </c>
    </row>
    <row r="56" customFormat="false" ht="15" hidden="false" customHeight="false" outlineLevel="0" collapsed="false">
      <c r="A56" s="0" t="s">
        <v>434</v>
      </c>
      <c r="C56" s="32" t="n">
        <f aca="false">(C52+C53)/C34</f>
        <v>6.6567939660713</v>
      </c>
      <c r="D56" s="32" t="n">
        <f aca="false">(D52+D53)/D34</f>
        <v>4.64221029179436</v>
      </c>
      <c r="E56" s="32" t="n">
        <f aca="false">(E52+E53)/E34</f>
        <v>3.13954378849843</v>
      </c>
      <c r="F56" s="32" t="n">
        <f aca="false">(F52+F53)/F34</f>
        <v>2.04824343676069</v>
      </c>
      <c r="G56" s="32" t="n">
        <f aca="false">(G52+G53)/G34</f>
        <v>1.1712795901548</v>
      </c>
    </row>
    <row r="57" customFormat="false" ht="15" hidden="false" customHeight="false" outlineLevel="0" collapsed="false">
      <c r="A57" s="0" t="s">
        <v>435</v>
      </c>
      <c r="C57" s="32" t="n">
        <f aca="false">C34*C39/C44</f>
        <v>1.79404516585732</v>
      </c>
      <c r="D57" s="32" t="n">
        <f aca="false">D34*D39/D44</f>
        <v>2.6767900946303</v>
      </c>
      <c r="E57" s="32" t="n">
        <f aca="false">E34*E39/E44</f>
        <v>3.84981103965147</v>
      </c>
      <c r="F57" s="32" t="n">
        <f aca="false">F34*F39/F44</f>
        <v>5.41038727488334</v>
      </c>
      <c r="G57" s="32" t="n">
        <f aca="false">G34*G39/G44</f>
        <v>7.84121263377203</v>
      </c>
    </row>
    <row r="59" customFormat="false" ht="15" hidden="false" customHeight="false" outlineLevel="0" collapsed="false">
      <c r="A59" s="7" t="s">
        <v>436</v>
      </c>
      <c r="B59" s="7" t="s">
        <v>437</v>
      </c>
      <c r="C59" s="7" t="s">
        <v>438</v>
      </c>
      <c r="D59" s="7" t="s">
        <v>439</v>
      </c>
      <c r="E59" s="7" t="s">
        <v>440</v>
      </c>
      <c r="F59" s="7" t="s">
        <v>441</v>
      </c>
      <c r="G59" s="7" t="s">
        <v>442</v>
      </c>
      <c r="H59" s="7" t="s">
        <v>443</v>
      </c>
    </row>
    <row r="60" customFormat="false" ht="15" hidden="false" customHeight="false" outlineLevel="0" collapsed="false">
      <c r="B60" s="4" t="n">
        <f aca="false">'LBO grid'!$A$6</f>
        <v>14</v>
      </c>
      <c r="C60" s="33" t="n">
        <f aca="false">B60*G34</f>
        <v>7824.3708632544</v>
      </c>
      <c r="D60" s="5" t="n">
        <f aca="false">G55+Inputs!$C$83</f>
        <v>513.39757494276</v>
      </c>
      <c r="E60" s="33" t="n">
        <f aca="false">C60-D60</f>
        <v>7310.97328831164</v>
      </c>
      <c r="F60" s="5" t="n">
        <f aca="false">E60*(1-Inputs!$C$82)</f>
        <v>6726.09542524671</v>
      </c>
      <c r="G60" s="32" t="n">
        <f aca="false">F60/$B$26</f>
        <v>1.85459462689337</v>
      </c>
      <c r="H60" s="40" t="n">
        <f aca="false">G60^(1/Inputs!$C$85)-1</f>
        <v>0.138868217169653</v>
      </c>
    </row>
    <row r="61" customFormat="false" ht="15" hidden="false" customHeight="false" outlineLevel="0" collapsed="false">
      <c r="B61" s="4" t="n">
        <f aca="false">'LBO grid'!$A$7</f>
        <v>16</v>
      </c>
      <c r="C61" s="33" t="n">
        <f aca="false">B61*G34</f>
        <v>8942.1381294336</v>
      </c>
      <c r="D61" s="5" t="n">
        <f aca="false">G55+Inputs!$C$83</f>
        <v>513.39757494276</v>
      </c>
      <c r="E61" s="33" t="n">
        <f aca="false">C61-D61</f>
        <v>8428.74055449084</v>
      </c>
      <c r="F61" s="5" t="n">
        <f aca="false">E61*(1-Inputs!$C$82)</f>
        <v>7754.44131013157</v>
      </c>
      <c r="G61" s="32" t="n">
        <f aca="false">F61/$B$26</f>
        <v>2.13814171210669</v>
      </c>
      <c r="H61" s="40" t="n">
        <f aca="false">G61^(1/Inputs!$C$85)-1</f>
        <v>0.17349532960176</v>
      </c>
    </row>
    <row r="62" customFormat="false" ht="15" hidden="false" customHeight="false" outlineLevel="0" collapsed="false">
      <c r="B62" s="4" t="n">
        <f aca="false">'LBO grid'!$A$8</f>
        <v>18</v>
      </c>
      <c r="C62" s="33" t="n">
        <f aca="false">B62*G34</f>
        <v>10059.9053956128</v>
      </c>
      <c r="D62" s="5" t="n">
        <f aca="false">G55+Inputs!$C$83</f>
        <v>513.39757494276</v>
      </c>
      <c r="E62" s="33" t="n">
        <f aca="false">C62-D62</f>
        <v>9546.50782067004</v>
      </c>
      <c r="F62" s="5" t="n">
        <f aca="false">E62*(1-Inputs!$C$82)</f>
        <v>8782.78719501644</v>
      </c>
      <c r="G62" s="32" t="n">
        <f aca="false">F62/$B$26</f>
        <v>2.42168879732001</v>
      </c>
      <c r="H62" s="40" t="n">
        <f aca="false">G62^(1/Inputs!$C$85)-1</f>
        <v>0.204667010385379</v>
      </c>
    </row>
    <row r="63" customFormat="false" ht="15" hidden="false" customHeight="false" outlineLevel="0" collapsed="false">
      <c r="B63" s="4" t="n">
        <f aca="false">'LBO grid'!$A$9</f>
        <v>20</v>
      </c>
      <c r="C63" s="33" t="n">
        <f aca="false">B63*G34</f>
        <v>11177.672661792</v>
      </c>
      <c r="D63" s="5" t="n">
        <f aca="false">G55+Inputs!$C$83</f>
        <v>513.39757494276</v>
      </c>
      <c r="E63" s="33" t="n">
        <f aca="false">C63-D63</f>
        <v>10664.2750868492</v>
      </c>
      <c r="F63" s="5" t="n">
        <f aca="false">E63*(1-Inputs!$C$82)</f>
        <v>9811.1330799013</v>
      </c>
      <c r="G63" s="32" t="n">
        <f aca="false">F63/$B$26</f>
        <v>2.70523588253334</v>
      </c>
      <c r="H63" s="40" t="n">
        <f aca="false">G63^(1/Inputs!$C$85)-1</f>
        <v>0.233078017894524</v>
      </c>
    </row>
    <row r="64" customFormat="false" ht="15" hidden="false" customHeight="false" outlineLevel="0" collapsed="false">
      <c r="B64" s="4" t="n">
        <f aca="false">'LBO grid'!$A$10</f>
        <v>22</v>
      </c>
      <c r="C64" s="33" t="n">
        <f aca="false">B64*G34</f>
        <v>12295.4399279712</v>
      </c>
      <c r="D64" s="5" t="n">
        <f aca="false">G55+Inputs!$C$83</f>
        <v>513.39757494276</v>
      </c>
      <c r="E64" s="33" t="n">
        <f aca="false">C64-D64</f>
        <v>11782.0423530284</v>
      </c>
      <c r="F64" s="5" t="n">
        <f aca="false">E64*(1-Inputs!$C$82)</f>
        <v>10839.4789647862</v>
      </c>
      <c r="G64" s="32" t="n">
        <f aca="false">F64/$B$26</f>
        <v>2.98878296774666</v>
      </c>
      <c r="H64" s="40" t="n">
        <f aca="false">G64^(1/Inputs!$C$85)-1</f>
        <v>0.25922715304758</v>
      </c>
    </row>
    <row r="66" customFormat="false" ht="15" hidden="false" customHeight="false" outlineLevel="0" collapsed="false">
      <c r="A66" s="0" t="s">
        <v>444</v>
      </c>
      <c r="B66" s="27" t="n">
        <f aca="false">MIN(C54:G54)</f>
        <v>105.392837234963</v>
      </c>
    </row>
    <row r="69" customFormat="false" ht="15" hidden="false" customHeight="false" outlineLevel="0" collapsed="false">
      <c r="A69" s="36" t="s">
        <v>463</v>
      </c>
    </row>
    <row r="70" customFormat="false" ht="15" hidden="false" customHeight="false" outlineLevel="0" collapsed="false">
      <c r="A70" s="0" t="s">
        <v>404</v>
      </c>
      <c r="B70" s="5" t="n">
        <f aca="false">'LBO grid'!$C$3</f>
        <v>1800</v>
      </c>
    </row>
    <row r="71" customFormat="false" ht="15" hidden="false" customHeight="false" outlineLevel="0" collapsed="false">
      <c r="A71" s="0" t="s">
        <v>121</v>
      </c>
      <c r="B71" s="5" t="n">
        <f aca="false">B70*Inputs!$C$66/(Inputs!$C$66+Inputs!$C$71)</f>
        <v>1455.94405594406</v>
      </c>
    </row>
    <row r="72" customFormat="false" ht="15" hidden="false" customHeight="false" outlineLevel="0" collapsed="false">
      <c r="A72" s="0" t="s">
        <v>131</v>
      </c>
      <c r="B72" s="33" t="n">
        <f aca="false">B70-B71</f>
        <v>344.055944055944</v>
      </c>
    </row>
    <row r="73" customFormat="false" ht="15" hidden="false" customHeight="false" outlineLevel="0" collapsed="false">
      <c r="A73" s="0" t="s">
        <v>405</v>
      </c>
      <c r="B73" s="5" t="n">
        <f aca="false">Inputs!$C$7*Inputs!$C$99</f>
        <v>5315</v>
      </c>
    </row>
    <row r="74" customFormat="false" ht="15" hidden="false" customHeight="false" outlineLevel="0" collapsed="false">
      <c r="A74" s="0" t="s">
        <v>406</v>
      </c>
      <c r="B74" s="5" t="n">
        <f aca="false">B73-Inputs!$C$100</f>
        <v>4992</v>
      </c>
    </row>
    <row r="75" customFormat="false" ht="15" hidden="false" customHeight="false" outlineLevel="0" collapsed="false">
      <c r="A75" s="0" t="s">
        <v>407</v>
      </c>
      <c r="B75" s="6" t="n">
        <f aca="false">B71*(1-Inputs!$C$68)+B72*(1-Inputs!$C$73)</f>
        <v>9.00000000000001</v>
      </c>
    </row>
    <row r="76" customFormat="false" ht="15" hidden="false" customHeight="false" outlineLevel="0" collapsed="false">
      <c r="A76" s="0" t="s">
        <v>408</v>
      </c>
      <c r="B76" s="6" t="n">
        <f aca="false">B70*Inputs!$C$76</f>
        <v>45</v>
      </c>
    </row>
    <row r="77" customFormat="false" ht="15" hidden="false" customHeight="false" outlineLevel="0" collapsed="false">
      <c r="A77" s="0" t="s">
        <v>409</v>
      </c>
      <c r="B77" s="6" t="n">
        <f aca="false">B74*Inputs!$C$77</f>
        <v>49.92</v>
      </c>
    </row>
    <row r="78" customFormat="false" ht="15" hidden="false" customHeight="false" outlineLevel="0" collapsed="false">
      <c r="A78" s="0" t="s">
        <v>410</v>
      </c>
      <c r="B78" s="37" t="n">
        <f aca="false">B73+B75+B76+B77</f>
        <v>5418.92</v>
      </c>
    </row>
    <row r="79" customFormat="false" ht="15" hidden="false" customHeight="false" outlineLevel="0" collapsed="false">
      <c r="A79" s="0" t="s">
        <v>411</v>
      </c>
      <c r="B79" s="6" t="n">
        <f aca="false">Inputs!$C$78-Inputs!$C$79</f>
        <v>283.2</v>
      </c>
    </row>
    <row r="80" customFormat="false" ht="15" hidden="false" customHeight="false" outlineLevel="0" collapsed="false">
      <c r="A80" s="0" t="s">
        <v>412</v>
      </c>
      <c r="B80" s="37" t="n">
        <f aca="false">B78-B70-B79</f>
        <v>3335.72</v>
      </c>
    </row>
    <row r="81" customFormat="false" ht="15" hidden="false" customHeight="false" outlineLevel="0" collapsed="false">
      <c r="A81" s="0" t="s">
        <v>413</v>
      </c>
      <c r="B81" s="24" t="n">
        <f aca="false">B80/B78</f>
        <v>0.615569154001166</v>
      </c>
    </row>
    <row r="82" customFormat="false" ht="15" hidden="false" customHeight="false" outlineLevel="0" collapsed="false">
      <c r="A82" s="0" t="s">
        <v>414</v>
      </c>
      <c r="B82" s="4" t="n">
        <f aca="false">B70/Inputs!$C$12</f>
        <v>12.3287671232877</v>
      </c>
    </row>
    <row r="83" customFormat="false" ht="15" hidden="false" customHeight="false" outlineLevel="0" collapsed="false">
      <c r="A83" s="0" t="s">
        <v>415</v>
      </c>
      <c r="B83" s="4" t="n">
        <f aca="false">B70/Inputs!$C$33</f>
        <v>2.30120173868576</v>
      </c>
    </row>
    <row r="85" customFormat="false" ht="15" hidden="false" customHeight="false" outlineLevel="0" collapsed="false">
      <c r="A85" s="7" t="s">
        <v>47</v>
      </c>
      <c r="B85" s="7" t="s">
        <v>229</v>
      </c>
      <c r="C85" s="7" t="s">
        <v>230</v>
      </c>
      <c r="D85" s="7" t="s">
        <v>231</v>
      </c>
      <c r="E85" s="7" t="s">
        <v>232</v>
      </c>
      <c r="F85" s="7" t="s">
        <v>233</v>
      </c>
      <c r="G85" s="7" t="s">
        <v>234</v>
      </c>
    </row>
    <row r="86" customFormat="false" ht="15" hidden="false" customHeight="false" outlineLevel="0" collapsed="false">
      <c r="A86" s="0" t="s">
        <v>173</v>
      </c>
      <c r="B86" s="6" t="n">
        <f aca="false">History!D5</f>
        <v>689.5</v>
      </c>
      <c r="C86" s="27" t="n">
        <f aca="false">B86*(1+C87)</f>
        <v>820.505</v>
      </c>
      <c r="D86" s="27" t="n">
        <f aca="false">C86*(1+D87)</f>
        <v>959.99085</v>
      </c>
      <c r="E86" s="27" t="n">
        <f aca="false">D86*(1+E87)</f>
        <v>1103.9894775</v>
      </c>
      <c r="F86" s="27" t="n">
        <f aca="false">E86*(1+F87)</f>
        <v>1247.508109575</v>
      </c>
      <c r="G86" s="27" t="n">
        <f aca="false">F86*(1+G87)</f>
        <v>1397.209082724</v>
      </c>
    </row>
    <row r="87" customFormat="false" ht="15" hidden="false" customHeight="false" outlineLevel="0" collapsed="false">
      <c r="A87" s="0" t="s">
        <v>174</v>
      </c>
      <c r="C87" s="3" t="n">
        <f aca="false">Inputs!$F$88</f>
        <v>0.19</v>
      </c>
      <c r="D87" s="3" t="n">
        <f aca="false">Inputs!$G$88</f>
        <v>0.17</v>
      </c>
      <c r="E87" s="3" t="n">
        <f aca="false">Inputs!$H$88</f>
        <v>0.15</v>
      </c>
      <c r="F87" s="3" t="n">
        <f aca="false">Inputs!$I$88</f>
        <v>0.13</v>
      </c>
      <c r="G87" s="3" t="n">
        <f aca="false">Inputs!$J$88</f>
        <v>0.12</v>
      </c>
    </row>
    <row r="88" customFormat="false" ht="15" hidden="false" customHeight="false" outlineLevel="0" collapsed="false">
      <c r="A88" s="0" t="s">
        <v>237</v>
      </c>
      <c r="C88" s="27" t="n">
        <f aca="false">C86*C89</f>
        <v>221.53635</v>
      </c>
      <c r="D88" s="27" t="n">
        <f aca="false">D86*D89</f>
        <v>297.5971635</v>
      </c>
      <c r="E88" s="27" t="n">
        <f aca="false">E86*E89</f>
        <v>386.396317125</v>
      </c>
      <c r="F88" s="27" t="n">
        <f aca="false">F86*F89</f>
        <v>474.0530816385</v>
      </c>
      <c r="G88" s="27" t="n">
        <f aca="false">G86*G89</f>
        <v>558.8836330896</v>
      </c>
    </row>
    <row r="89" customFormat="false" ht="15" hidden="false" customHeight="false" outlineLevel="0" collapsed="false">
      <c r="A89" s="0" t="s">
        <v>178</v>
      </c>
      <c r="C89" s="3" t="n">
        <f aca="false">Inputs!$F$89</f>
        <v>0.27</v>
      </c>
      <c r="D89" s="3" t="n">
        <f aca="false">Inputs!$G$89</f>
        <v>0.31</v>
      </c>
      <c r="E89" s="3" t="n">
        <f aca="false">Inputs!$H$89</f>
        <v>0.35</v>
      </c>
      <c r="F89" s="3" t="n">
        <f aca="false">Inputs!$I$89</f>
        <v>0.38</v>
      </c>
      <c r="G89" s="3" t="n">
        <f aca="false">Inputs!$J$89</f>
        <v>0.4</v>
      </c>
    </row>
    <row r="90" customFormat="false" ht="15" hidden="false" customHeight="false" outlineLevel="0" collapsed="false">
      <c r="A90" s="0" t="s">
        <v>242</v>
      </c>
      <c r="C90" s="6" t="n">
        <f aca="false">C86*Inputs!$C$101</f>
        <v>19.8729639721465</v>
      </c>
      <c r="D90" s="6" t="n">
        <f aca="false">D86*Inputs!$C$101</f>
        <v>23.2513678474114</v>
      </c>
      <c r="E90" s="6" t="n">
        <f aca="false">E86*Inputs!$C$101</f>
        <v>26.7390730245232</v>
      </c>
      <c r="F90" s="6" t="n">
        <f aca="false">F86*Inputs!$C$101</f>
        <v>30.2151525177112</v>
      </c>
      <c r="G90" s="6" t="n">
        <f aca="false">G86*Inputs!$C$101</f>
        <v>33.8409708198365</v>
      </c>
    </row>
    <row r="91" customFormat="false" ht="15" hidden="false" customHeight="false" outlineLevel="0" collapsed="false">
      <c r="A91" s="0" t="s">
        <v>243</v>
      </c>
      <c r="C91" s="6" t="n">
        <f aca="false">(C86-B86)*Inputs!$C$46</f>
        <v>13.1005</v>
      </c>
      <c r="D91" s="6" t="n">
        <f aca="false">(D86-C86)*Inputs!$C$46</f>
        <v>13.948585</v>
      </c>
      <c r="E91" s="6" t="n">
        <f aca="false">(E86-D86)*Inputs!$C$46</f>
        <v>14.39986275</v>
      </c>
      <c r="F91" s="6" t="n">
        <f aca="false">(F86-E86)*Inputs!$C$46</f>
        <v>14.3518632075</v>
      </c>
      <c r="G91" s="6" t="n">
        <f aca="false">(G86-F86)*Inputs!$C$46</f>
        <v>14.9700973149</v>
      </c>
    </row>
    <row r="92" customFormat="false" ht="15" hidden="false" customHeight="false" outlineLevel="0" collapsed="false">
      <c r="A92" s="0" t="s">
        <v>416</v>
      </c>
      <c r="C92" s="6" t="n">
        <f aca="false">C86*Inputs!$C$102</f>
        <v>33.5356267029973</v>
      </c>
      <c r="D92" s="6" t="n">
        <f aca="false">D86*Inputs!$C$102</f>
        <v>39.2366832425068</v>
      </c>
      <c r="E92" s="6" t="n">
        <f aca="false">E86*Inputs!$C$102</f>
        <v>45.1221857288828</v>
      </c>
      <c r="F92" s="6" t="n">
        <f aca="false">F86*Inputs!$C$102</f>
        <v>50.9880698736376</v>
      </c>
      <c r="G92" s="6" t="n">
        <f aca="false">G86*Inputs!$C$102</f>
        <v>57.1066382584741</v>
      </c>
    </row>
    <row r="93" customFormat="false" ht="15" hidden="false" customHeight="false" outlineLevel="0" collapsed="false">
      <c r="A93" s="0" t="s">
        <v>417</v>
      </c>
      <c r="C93" s="38" t="n">
        <f aca="false">Inputs!$C$84</f>
        <v>0.75</v>
      </c>
      <c r="D93" s="34" t="n">
        <f aca="false">1</f>
        <v>1</v>
      </c>
      <c r="E93" s="34" t="n">
        <f aca="false">1</f>
        <v>1</v>
      </c>
      <c r="F93" s="34" t="n">
        <f aca="false">1</f>
        <v>1</v>
      </c>
      <c r="G93" s="34" t="n">
        <f aca="false">1</f>
        <v>1</v>
      </c>
    </row>
    <row r="94" customFormat="false" ht="15" hidden="false" customHeight="false" outlineLevel="0" collapsed="false">
      <c r="A94" s="0" t="s">
        <v>418</v>
      </c>
      <c r="C94" s="22" t="n">
        <f aca="false">Inputs!$F$75</f>
        <v>0.046</v>
      </c>
      <c r="D94" s="22" t="n">
        <f aca="false">Inputs!$G$75</f>
        <v>0.039</v>
      </c>
      <c r="E94" s="22" t="n">
        <f aca="false">Inputs!$H$75</f>
        <v>0.036</v>
      </c>
      <c r="F94" s="22" t="n">
        <f aca="false">Inputs!$I$75</f>
        <v>0.035</v>
      </c>
      <c r="G94" s="22" t="n">
        <f aca="false">Inputs!$J$75</f>
        <v>0.035</v>
      </c>
    </row>
    <row r="95" customFormat="false" ht="15" hidden="false" customHeight="false" outlineLevel="0" collapsed="false">
      <c r="A95" s="0" t="s">
        <v>419</v>
      </c>
      <c r="C95" s="27" t="n">
        <f aca="false">$B$71</f>
        <v>1455.94405594406</v>
      </c>
      <c r="D95" s="27" t="n">
        <f aca="false">C106</f>
        <v>1444.10289126714</v>
      </c>
      <c r="E95" s="27" t="n">
        <f aca="false">D106</f>
        <v>1371.76545587995</v>
      </c>
      <c r="F95" s="27" t="n">
        <f aca="false">E106</f>
        <v>1223.70353727633</v>
      </c>
      <c r="G95" s="27" t="n">
        <f aca="false">F106</f>
        <v>1000.76690026258</v>
      </c>
    </row>
    <row r="96" customFormat="false" ht="15" hidden="false" customHeight="false" outlineLevel="0" collapsed="false">
      <c r="A96" s="0" t="s">
        <v>420</v>
      </c>
      <c r="C96" s="6" t="n">
        <f aca="false">C95*(C94+Inputs!$C$67)*C93</f>
        <v>85.7187062937063</v>
      </c>
      <c r="D96" s="6" t="n">
        <f aca="false">D95*(D94+Inputs!$C$67)*D93</f>
        <v>103.2533567256</v>
      </c>
      <c r="E96" s="6" t="n">
        <f aca="false">E95*(E94+Inputs!$C$67)*E93</f>
        <v>93.9659337277764</v>
      </c>
      <c r="F96" s="6" t="n">
        <f aca="false">F95*(F94+Inputs!$C$67)*F93</f>
        <v>82.5999887661522</v>
      </c>
      <c r="G96" s="6" t="n">
        <f aca="false">G95*(G94+Inputs!$C$67)*G93</f>
        <v>67.5517657677243</v>
      </c>
    </row>
    <row r="97" customFormat="false" ht="15" hidden="false" customHeight="false" outlineLevel="0" collapsed="false">
      <c r="A97" s="0" t="s">
        <v>421</v>
      </c>
      <c r="C97" s="6" t="n">
        <f aca="false">C107*(C94+Inputs!$C$72)*C93</f>
        <v>25.4171328671329</v>
      </c>
      <c r="D97" s="6" t="n">
        <f aca="false">D107*(D94+Inputs!$C$72)*D93</f>
        <v>31.4811188811189</v>
      </c>
      <c r="E97" s="6" t="n">
        <f aca="false">E107*(E94+Inputs!$C$72)*E93</f>
        <v>30.4489510489511</v>
      </c>
      <c r="F97" s="6" t="n">
        <f aca="false">F107*(F94+Inputs!$C$72)*F93</f>
        <v>30.1048951048951</v>
      </c>
      <c r="G97" s="6" t="n">
        <f aca="false">G107*(G94+Inputs!$C$72)*G93</f>
        <v>30.1048951048951</v>
      </c>
    </row>
    <row r="98" customFormat="false" ht="15" hidden="false" customHeight="false" outlineLevel="0" collapsed="false">
      <c r="A98" s="0" t="s">
        <v>422</v>
      </c>
      <c r="C98" s="27" t="n">
        <f aca="false">C96+C97</f>
        <v>111.135839160839</v>
      </c>
      <c r="D98" s="27" t="n">
        <f aca="false">D96+D97</f>
        <v>134.734475606719</v>
      </c>
      <c r="E98" s="27" t="n">
        <f aca="false">E96+E97</f>
        <v>124.414884776727</v>
      </c>
      <c r="F98" s="27" t="n">
        <f aca="false">F96+F97</f>
        <v>112.704883871047</v>
      </c>
      <c r="G98" s="27" t="n">
        <f aca="false">G96+G97</f>
        <v>97.6566608726194</v>
      </c>
    </row>
    <row r="99" customFormat="false" ht="15" hidden="false" customHeight="false" outlineLevel="0" collapsed="false">
      <c r="A99" s="0" t="s">
        <v>423</v>
      </c>
      <c r="C99" s="6" t="n">
        <f aca="false">MIN(C98,Inputs!$C$45*C88*C93)</f>
        <v>49.84567875</v>
      </c>
      <c r="D99" s="6" t="n">
        <f aca="false">MIN(D98,Inputs!$C$45*D88*D93)</f>
        <v>89.27914905</v>
      </c>
      <c r="E99" s="6" t="n">
        <f aca="false">MIN(E98,Inputs!$C$45*E88*E93)</f>
        <v>115.9188951375</v>
      </c>
      <c r="F99" s="6" t="n">
        <f aca="false">MIN(F98,Inputs!$C$45*F88*F93)</f>
        <v>112.704883871047</v>
      </c>
      <c r="G99" s="6" t="n">
        <f aca="false">MIN(G98,Inputs!$C$45*G88*G93)</f>
        <v>97.6566608726194</v>
      </c>
    </row>
    <row r="100" customFormat="false" ht="15" hidden="false" customHeight="false" outlineLevel="0" collapsed="false">
      <c r="A100" s="0" t="s">
        <v>424</v>
      </c>
      <c r="C100" s="6" t="n">
        <f aca="false">MAX(0,(C88-C92)*C93-C99)*Inputs!$C$44</f>
        <v>22.788715930688</v>
      </c>
      <c r="D100" s="6" t="n">
        <f aca="false">MAX(0,(D88-D92)*D93-D99)*Inputs!$C$44</f>
        <v>42.2703328018733</v>
      </c>
      <c r="E100" s="6" t="n">
        <f aca="false">MAX(0,(E88-E92)*E93-E99)*Inputs!$C$44</f>
        <v>56.3388090646543</v>
      </c>
      <c r="F100" s="6" t="n">
        <f aca="false">MAX(0,(F88-F92)*F93-F99)*Inputs!$C$44</f>
        <v>77.5900319734538</v>
      </c>
      <c r="G100" s="6" t="n">
        <f aca="false">MAX(0,(G88-G92)*G93-G99)*Inputs!$C$44</f>
        <v>101.030083489627</v>
      </c>
    </row>
    <row r="101" customFormat="false" ht="15" hidden="false" customHeight="false" outlineLevel="0" collapsed="false">
      <c r="A101" s="0" t="s">
        <v>425</v>
      </c>
      <c r="C101" s="28" t="n">
        <f aca="false">(C88-C90+C91-Inputs!$C$81)*C93-C98-C100</f>
        <v>12.148359429363</v>
      </c>
      <c r="D101" s="28" t="n">
        <f aca="false">(D88-D90+D91-Inputs!$C$81)*D93-D98-D100</f>
        <v>91.2895722439959</v>
      </c>
      <c r="E101" s="28" t="n">
        <f aca="false">(E88-E90+E91-Inputs!$C$81)*E93-E98-E100</f>
        <v>173.303413009095</v>
      </c>
      <c r="F101" s="28" t="n">
        <f aca="false">(F88-F90+F91-Inputs!$C$81)*F93-F98-F100</f>
        <v>247.894876483788</v>
      </c>
      <c r="G101" s="28" t="n">
        <f aca="false">(G88-G90+G91-Inputs!$C$81)*G93-G98-G100</f>
        <v>321.326015222418</v>
      </c>
    </row>
    <row r="102" customFormat="false" ht="15" hidden="false" customHeight="false" outlineLevel="0" collapsed="false">
      <c r="A102" s="0" t="s">
        <v>426</v>
      </c>
      <c r="C102" s="6" t="n">
        <f aca="false">MIN(C95,$B$71*Inputs!$C$70*C93)</f>
        <v>10.9195804195804</v>
      </c>
      <c r="D102" s="6" t="n">
        <f aca="false">MIN(D95,$B$71*Inputs!$C$70*D93)</f>
        <v>14.5594405594406</v>
      </c>
      <c r="E102" s="6" t="n">
        <f aca="false">MIN(E95,$B$71*Inputs!$C$70*E93)</f>
        <v>14.5594405594406</v>
      </c>
      <c r="F102" s="6" t="n">
        <f aca="false">MIN(F95,$B$71*Inputs!$C$70*F93)</f>
        <v>14.5594405594406</v>
      </c>
      <c r="G102" s="6" t="n">
        <f aca="false">MIN(G95,$B$71*Inputs!$C$70*G93)</f>
        <v>14.5594405594406</v>
      </c>
    </row>
    <row r="103" customFormat="false" ht="15" hidden="false" customHeight="false" outlineLevel="0" collapsed="false">
      <c r="A103" s="0" t="s">
        <v>427</v>
      </c>
      <c r="C103" s="6" t="n">
        <f aca="false">Inputs!$C$79</f>
        <v>100</v>
      </c>
      <c r="D103" s="27" t="n">
        <f aca="false">C108</f>
        <v>100.307194752446</v>
      </c>
      <c r="E103" s="27" t="n">
        <f aca="false">D108</f>
        <v>119.25933160925</v>
      </c>
      <c r="F103" s="27" t="n">
        <f aca="false">E108</f>
        <v>144.500826014726</v>
      </c>
      <c r="G103" s="27" t="n">
        <f aca="false">F108</f>
        <v>169.459065484768</v>
      </c>
    </row>
    <row r="104" customFormat="false" ht="15" hidden="false" customHeight="false" outlineLevel="0" collapsed="false">
      <c r="A104" s="0" t="s">
        <v>428</v>
      </c>
      <c r="C104" s="27" t="n">
        <f aca="false">C103+C101-C102</f>
        <v>101.228779009783</v>
      </c>
      <c r="D104" s="27" t="n">
        <f aca="false">D103+D101-D102</f>
        <v>177.037326437001</v>
      </c>
      <c r="E104" s="27" t="n">
        <f aca="false">E103+E101-E102</f>
        <v>278.003304058905</v>
      </c>
      <c r="F104" s="27" t="n">
        <f aca="false">F103+F101-F102</f>
        <v>377.836261939073</v>
      </c>
      <c r="G104" s="27" t="n">
        <f aca="false">G103+G101-G102</f>
        <v>476.225640147745</v>
      </c>
    </row>
    <row r="105" customFormat="false" ht="15" hidden="false" customHeight="false" outlineLevel="0" collapsed="false">
      <c r="A105" s="0" t="s">
        <v>429</v>
      </c>
      <c r="C105" s="6" t="n">
        <f aca="false">MIN(MAX(0,C104-Inputs!$C$79)*Inputs!$C$80,C95-C102)</f>
        <v>0.921584257336917</v>
      </c>
      <c r="D105" s="6" t="n">
        <f aca="false">MIN(MAX(0,D104-Inputs!$C$79)*Inputs!$C$80,D95-D102)</f>
        <v>57.7779948277507</v>
      </c>
      <c r="E105" s="6" t="n">
        <f aca="false">MIN(MAX(0,E104-Inputs!$C$79)*Inputs!$C$80,E95-E102)</f>
        <v>133.502478044179</v>
      </c>
      <c r="F105" s="6" t="n">
        <f aca="false">MIN(MAX(0,F104-Inputs!$C$79)*Inputs!$C$80,F95-F102)</f>
        <v>208.377196454305</v>
      </c>
      <c r="G105" s="6" t="n">
        <f aca="false">MIN(MAX(0,G104-Inputs!$C$79)*Inputs!$C$80,G95-G102)</f>
        <v>282.169230110809</v>
      </c>
    </row>
    <row r="106" customFormat="false" ht="15" hidden="false" customHeight="false" outlineLevel="0" collapsed="false">
      <c r="A106" s="0" t="s">
        <v>430</v>
      </c>
      <c r="C106" s="27" t="n">
        <f aca="false">C95-C102-C105</f>
        <v>1444.10289126714</v>
      </c>
      <c r="D106" s="27" t="n">
        <f aca="false">D95-D102-D105</f>
        <v>1371.76545587995</v>
      </c>
      <c r="E106" s="27" t="n">
        <f aca="false">E95-E102-E105</f>
        <v>1223.70353727633</v>
      </c>
      <c r="F106" s="27" t="n">
        <f aca="false">F95-F102-F105</f>
        <v>1000.76690026258</v>
      </c>
      <c r="G106" s="27" t="n">
        <f aca="false">G95-G102-G105</f>
        <v>704.038229592333</v>
      </c>
    </row>
    <row r="107" customFormat="false" ht="15" hidden="false" customHeight="false" outlineLevel="0" collapsed="false">
      <c r="A107" s="0" t="s">
        <v>431</v>
      </c>
      <c r="C107" s="27" t="n">
        <f aca="false">$B$72</f>
        <v>344.055944055944</v>
      </c>
      <c r="D107" s="27" t="n">
        <f aca="false">$B$72</f>
        <v>344.055944055944</v>
      </c>
      <c r="E107" s="27" t="n">
        <f aca="false">$B$72</f>
        <v>344.055944055944</v>
      </c>
      <c r="F107" s="27" t="n">
        <f aca="false">$B$72</f>
        <v>344.055944055944</v>
      </c>
      <c r="G107" s="27" t="n">
        <f aca="false">$B$72</f>
        <v>344.055944055944</v>
      </c>
    </row>
    <row r="108" customFormat="false" ht="15" hidden="false" customHeight="false" outlineLevel="0" collapsed="false">
      <c r="A108" s="0" t="s">
        <v>432</v>
      </c>
      <c r="C108" s="27" t="n">
        <f aca="false">C104-C105</f>
        <v>100.307194752446</v>
      </c>
      <c r="D108" s="27" t="n">
        <f aca="false">D104-D105</f>
        <v>119.25933160925</v>
      </c>
      <c r="E108" s="27" t="n">
        <f aca="false">E104-E105</f>
        <v>144.500826014726</v>
      </c>
      <c r="F108" s="27" t="n">
        <f aca="false">F104-F105</f>
        <v>169.459065484768</v>
      </c>
      <c r="G108" s="27" t="n">
        <f aca="false">G104-G105</f>
        <v>194.056410036936</v>
      </c>
    </row>
    <row r="109" customFormat="false" ht="15" hidden="false" customHeight="false" outlineLevel="0" collapsed="false">
      <c r="A109" s="0" t="s">
        <v>433</v>
      </c>
      <c r="C109" s="39" t="n">
        <f aca="false">C106+C107-C108</f>
        <v>1687.85164057064</v>
      </c>
      <c r="D109" s="39" t="n">
        <f aca="false">D106+D107-D108</f>
        <v>1596.56206832664</v>
      </c>
      <c r="E109" s="39" t="n">
        <f aca="false">E106+E107-E108</f>
        <v>1423.25865531755</v>
      </c>
      <c r="F109" s="39" t="n">
        <f aca="false">F106+F107-F108</f>
        <v>1175.36377883376</v>
      </c>
      <c r="G109" s="39" t="n">
        <f aca="false">G106+G107-G108</f>
        <v>854.037763611341</v>
      </c>
    </row>
    <row r="110" customFormat="false" ht="15" hidden="false" customHeight="false" outlineLevel="0" collapsed="false">
      <c r="A110" s="0" t="s">
        <v>434</v>
      </c>
      <c r="C110" s="32" t="n">
        <f aca="false">(C106+C107)/C88</f>
        <v>8.07162723103041</v>
      </c>
      <c r="D110" s="32" t="n">
        <f aca="false">(D106+D107)/D88</f>
        <v>5.76558385085512</v>
      </c>
      <c r="E110" s="32" t="n">
        <f aca="false">(E106+E107)/E88</f>
        <v>4.05738722614455</v>
      </c>
      <c r="F110" s="32" t="n">
        <f aca="false">(F106+F107)/F88</f>
        <v>2.8368613060595</v>
      </c>
      <c r="G110" s="32" t="n">
        <f aca="false">(G106+G107)/G88</f>
        <v>1.87533524260541</v>
      </c>
    </row>
    <row r="111" customFormat="false" ht="15" hidden="false" customHeight="false" outlineLevel="0" collapsed="false">
      <c r="A111" s="0" t="s">
        <v>435</v>
      </c>
      <c r="C111" s="32" t="n">
        <f aca="false">C88*C93/C98</f>
        <v>1.49503763821443</v>
      </c>
      <c r="D111" s="32" t="n">
        <f aca="false">D88*D93/D98</f>
        <v>2.20876774233097</v>
      </c>
      <c r="E111" s="32" t="n">
        <f aca="false">E88*E93/E98</f>
        <v>3.10570811377127</v>
      </c>
      <c r="F111" s="32" t="n">
        <f aca="false">F88*F93/F98</f>
        <v>4.20614498108967</v>
      </c>
      <c r="G111" s="32" t="n">
        <f aca="false">G88*G93/G98</f>
        <v>5.72294432448998</v>
      </c>
    </row>
    <row r="113" customFormat="false" ht="15" hidden="false" customHeight="false" outlineLevel="0" collapsed="false">
      <c r="A113" s="7" t="s">
        <v>436</v>
      </c>
      <c r="B113" s="7" t="s">
        <v>437</v>
      </c>
      <c r="C113" s="7" t="s">
        <v>438</v>
      </c>
      <c r="D113" s="7" t="s">
        <v>439</v>
      </c>
      <c r="E113" s="7" t="s">
        <v>440</v>
      </c>
      <c r="F113" s="7" t="s">
        <v>441</v>
      </c>
      <c r="G113" s="7" t="s">
        <v>442</v>
      </c>
      <c r="H113" s="7" t="s">
        <v>443</v>
      </c>
    </row>
    <row r="114" customFormat="false" ht="15" hidden="false" customHeight="false" outlineLevel="0" collapsed="false">
      <c r="B114" s="4" t="n">
        <f aca="false">'LBO grid'!$A$6</f>
        <v>14</v>
      </c>
      <c r="C114" s="33" t="n">
        <f aca="false">B114*G88</f>
        <v>7824.3708632544</v>
      </c>
      <c r="D114" s="5" t="n">
        <f aca="false">G109+Inputs!$C$83</f>
        <v>914.237763611341</v>
      </c>
      <c r="E114" s="33" t="n">
        <f aca="false">C114-D114</f>
        <v>6910.13309964306</v>
      </c>
      <c r="F114" s="5" t="n">
        <f aca="false">E114*(1-Inputs!$C$82)</f>
        <v>6357.32245167161</v>
      </c>
      <c r="G114" s="32" t="n">
        <f aca="false">F114/$B$80</f>
        <v>1.90583215967516</v>
      </c>
      <c r="H114" s="40" t="n">
        <f aca="false">G114^(1/Inputs!$C$85)-1</f>
        <v>0.145421128069321</v>
      </c>
    </row>
    <row r="115" customFormat="false" ht="15" hidden="false" customHeight="false" outlineLevel="0" collapsed="false">
      <c r="B115" s="4" t="n">
        <f aca="false">'LBO grid'!$A$7</f>
        <v>16</v>
      </c>
      <c r="C115" s="33" t="n">
        <f aca="false">B115*G88</f>
        <v>8942.1381294336</v>
      </c>
      <c r="D115" s="5" t="n">
        <f aca="false">G109+Inputs!$C$83</f>
        <v>914.237763611341</v>
      </c>
      <c r="E115" s="33" t="n">
        <f aca="false">C115-D115</f>
        <v>8027.90036582226</v>
      </c>
      <c r="F115" s="5" t="n">
        <f aca="false">E115*(1-Inputs!$C$82)</f>
        <v>7385.66833655648</v>
      </c>
      <c r="G115" s="32" t="n">
        <f aca="false">F115/$B$80</f>
        <v>2.21411519448769</v>
      </c>
      <c r="H115" s="40" t="n">
        <f aca="false">G115^(1/Inputs!$C$85)-1</f>
        <v>0.182153109470912</v>
      </c>
    </row>
    <row r="116" customFormat="false" ht="15" hidden="false" customHeight="false" outlineLevel="0" collapsed="false">
      <c r="B116" s="4" t="n">
        <f aca="false">'LBO grid'!$A$8</f>
        <v>18</v>
      </c>
      <c r="C116" s="33" t="n">
        <f aca="false">B116*G88</f>
        <v>10059.9053956128</v>
      </c>
      <c r="D116" s="5" t="n">
        <f aca="false">G109+Inputs!$C$83</f>
        <v>914.237763611341</v>
      </c>
      <c r="E116" s="33" t="n">
        <f aca="false">C116-D116</f>
        <v>9145.66763200146</v>
      </c>
      <c r="F116" s="5" t="n">
        <f aca="false">E116*(1-Inputs!$C$82)</f>
        <v>8414.01422144134</v>
      </c>
      <c r="G116" s="32" t="n">
        <f aca="false">F116/$B$80</f>
        <v>2.52239822930022</v>
      </c>
      <c r="H116" s="40" t="n">
        <f aca="false">G116^(1/Inputs!$C$85)-1</f>
        <v>0.215044959027619</v>
      </c>
    </row>
    <row r="117" customFormat="false" ht="15" hidden="false" customHeight="false" outlineLevel="0" collapsed="false">
      <c r="B117" s="4" t="n">
        <f aca="false">'LBO grid'!$A$9</f>
        <v>20</v>
      </c>
      <c r="C117" s="33" t="n">
        <f aca="false">B117*G88</f>
        <v>11177.672661792</v>
      </c>
      <c r="D117" s="5" t="n">
        <f aca="false">G109+Inputs!$C$83</f>
        <v>914.237763611341</v>
      </c>
      <c r="E117" s="33" t="n">
        <f aca="false">C117-D117</f>
        <v>10263.4348981807</v>
      </c>
      <c r="F117" s="5" t="n">
        <f aca="false">E117*(1-Inputs!$C$82)</f>
        <v>9442.36010632621</v>
      </c>
      <c r="G117" s="32" t="n">
        <f aca="false">F117/$B$80</f>
        <v>2.83068126411276</v>
      </c>
      <c r="H117" s="40" t="n">
        <f aca="false">G117^(1/Inputs!$C$85)-1</f>
        <v>0.244901359268088</v>
      </c>
    </row>
    <row r="118" customFormat="false" ht="15" hidden="false" customHeight="false" outlineLevel="0" collapsed="false">
      <c r="B118" s="4" t="n">
        <f aca="false">'LBO grid'!$A$10</f>
        <v>22</v>
      </c>
      <c r="C118" s="33" t="n">
        <f aca="false">B118*G88</f>
        <v>12295.4399279712</v>
      </c>
      <c r="D118" s="5" t="n">
        <f aca="false">G109+Inputs!$C$83</f>
        <v>914.237763611341</v>
      </c>
      <c r="E118" s="33" t="n">
        <f aca="false">C118-D118</f>
        <v>11381.2021643599</v>
      </c>
      <c r="F118" s="5" t="n">
        <f aca="false">E118*(1-Inputs!$C$82)</f>
        <v>10470.7059912111</v>
      </c>
      <c r="G118" s="32" t="n">
        <f aca="false">F118/$B$80</f>
        <v>3.13896429892529</v>
      </c>
      <c r="H118" s="40" t="n">
        <f aca="false">G118^(1/Inputs!$C$85)-1</f>
        <v>0.272291440828233</v>
      </c>
    </row>
    <row r="120" customFormat="false" ht="15" hidden="false" customHeight="false" outlineLevel="0" collapsed="false">
      <c r="A120" s="0" t="s">
        <v>444</v>
      </c>
      <c r="B120" s="27" t="n">
        <f aca="false">MIN(C108:G108)</f>
        <v>100.307194752446</v>
      </c>
    </row>
    <row r="123" customFormat="false" ht="15" hidden="false" customHeight="false" outlineLevel="0" collapsed="false">
      <c r="A123" s="36" t="s">
        <v>464</v>
      </c>
    </row>
    <row r="124" customFormat="false" ht="15" hidden="false" customHeight="false" outlineLevel="0" collapsed="false">
      <c r="A124" s="0" t="s">
        <v>404</v>
      </c>
      <c r="B124" s="5" t="n">
        <f aca="false">'LBO grid'!$D$3</f>
        <v>2145</v>
      </c>
    </row>
    <row r="125" customFormat="false" ht="15" hidden="false" customHeight="false" outlineLevel="0" collapsed="false">
      <c r="A125" s="0" t="s">
        <v>121</v>
      </c>
      <c r="B125" s="5" t="n">
        <f aca="false">B124*Inputs!$C$66/(Inputs!$C$66+Inputs!$C$71)</f>
        <v>1735</v>
      </c>
    </row>
    <row r="126" customFormat="false" ht="15" hidden="false" customHeight="false" outlineLevel="0" collapsed="false">
      <c r="A126" s="0" t="s">
        <v>131</v>
      </c>
      <c r="B126" s="33" t="n">
        <f aca="false">B124-B125</f>
        <v>410</v>
      </c>
    </row>
    <row r="127" customFormat="false" ht="15" hidden="false" customHeight="false" outlineLevel="0" collapsed="false">
      <c r="A127" s="0" t="s">
        <v>405</v>
      </c>
      <c r="B127" s="5" t="n">
        <f aca="false">Inputs!$C$7*Inputs!$C$99</f>
        <v>5315</v>
      </c>
    </row>
    <row r="128" customFormat="false" ht="15" hidden="false" customHeight="false" outlineLevel="0" collapsed="false">
      <c r="A128" s="0" t="s">
        <v>406</v>
      </c>
      <c r="B128" s="5" t="n">
        <f aca="false">B127-Inputs!$C$100</f>
        <v>4992</v>
      </c>
    </row>
    <row r="129" customFormat="false" ht="15" hidden="false" customHeight="false" outlineLevel="0" collapsed="false">
      <c r="A129" s="0" t="s">
        <v>407</v>
      </c>
      <c r="B129" s="6" t="n">
        <f aca="false">B125*(1-Inputs!$C$68)+B126*(1-Inputs!$C$73)</f>
        <v>10.725</v>
      </c>
    </row>
    <row r="130" customFormat="false" ht="15" hidden="false" customHeight="false" outlineLevel="0" collapsed="false">
      <c r="A130" s="0" t="s">
        <v>408</v>
      </c>
      <c r="B130" s="6" t="n">
        <f aca="false">B124*Inputs!$C$76</f>
        <v>53.625</v>
      </c>
    </row>
    <row r="131" customFormat="false" ht="15" hidden="false" customHeight="false" outlineLevel="0" collapsed="false">
      <c r="A131" s="0" t="s">
        <v>409</v>
      </c>
      <c r="B131" s="6" t="n">
        <f aca="false">B128*Inputs!$C$77</f>
        <v>49.92</v>
      </c>
    </row>
    <row r="132" customFormat="false" ht="15" hidden="false" customHeight="false" outlineLevel="0" collapsed="false">
      <c r="A132" s="0" t="s">
        <v>410</v>
      </c>
      <c r="B132" s="37" t="n">
        <f aca="false">B127+B129+B130+B131</f>
        <v>5429.27</v>
      </c>
    </row>
    <row r="133" customFormat="false" ht="15" hidden="false" customHeight="false" outlineLevel="0" collapsed="false">
      <c r="A133" s="0" t="s">
        <v>411</v>
      </c>
      <c r="B133" s="6" t="n">
        <f aca="false">Inputs!$C$78-Inputs!$C$79</f>
        <v>283.2</v>
      </c>
    </row>
    <row r="134" customFormat="false" ht="15" hidden="false" customHeight="false" outlineLevel="0" collapsed="false">
      <c r="A134" s="0" t="s">
        <v>412</v>
      </c>
      <c r="B134" s="37" t="n">
        <f aca="false">B132-B124-B133</f>
        <v>3001.07</v>
      </c>
    </row>
    <row r="135" customFormat="false" ht="15" hidden="false" customHeight="false" outlineLevel="0" collapsed="false">
      <c r="A135" s="0" t="s">
        <v>413</v>
      </c>
      <c r="B135" s="24" t="n">
        <f aca="false">B134/B132</f>
        <v>0.552757553041201</v>
      </c>
    </row>
    <row r="136" customFormat="false" ht="15" hidden="false" customHeight="false" outlineLevel="0" collapsed="false">
      <c r="A136" s="0" t="s">
        <v>414</v>
      </c>
      <c r="B136" s="4" t="n">
        <f aca="false">B124/Inputs!$C$12</f>
        <v>14.6917808219178</v>
      </c>
    </row>
    <row r="137" customFormat="false" ht="15" hidden="false" customHeight="false" outlineLevel="0" collapsed="false">
      <c r="A137" s="0" t="s">
        <v>415</v>
      </c>
      <c r="B137" s="4" t="n">
        <f aca="false">B124/Inputs!$C$33</f>
        <v>2.7422654052672</v>
      </c>
    </row>
    <row r="139" customFormat="false" ht="15" hidden="false" customHeight="false" outlineLevel="0" collapsed="false">
      <c r="A139" s="7" t="s">
        <v>47</v>
      </c>
      <c r="B139" s="7" t="s">
        <v>229</v>
      </c>
      <c r="C139" s="7" t="s">
        <v>230</v>
      </c>
      <c r="D139" s="7" t="s">
        <v>231</v>
      </c>
      <c r="E139" s="7" t="s">
        <v>232</v>
      </c>
      <c r="F139" s="7" t="s">
        <v>233</v>
      </c>
      <c r="G139" s="7" t="s">
        <v>234</v>
      </c>
    </row>
    <row r="140" customFormat="false" ht="15" hidden="false" customHeight="false" outlineLevel="0" collapsed="false">
      <c r="A140" s="0" t="s">
        <v>173</v>
      </c>
      <c r="B140" s="6" t="n">
        <f aca="false">History!D5</f>
        <v>689.5</v>
      </c>
      <c r="C140" s="27" t="n">
        <f aca="false">B140*(1+C141)</f>
        <v>820.505</v>
      </c>
      <c r="D140" s="27" t="n">
        <f aca="false">C140*(1+D141)</f>
        <v>959.99085</v>
      </c>
      <c r="E140" s="27" t="n">
        <f aca="false">D140*(1+E141)</f>
        <v>1103.9894775</v>
      </c>
      <c r="F140" s="27" t="n">
        <f aca="false">E140*(1+F141)</f>
        <v>1247.508109575</v>
      </c>
      <c r="G140" s="27" t="n">
        <f aca="false">F140*(1+G141)</f>
        <v>1397.209082724</v>
      </c>
    </row>
    <row r="141" customFormat="false" ht="15" hidden="false" customHeight="false" outlineLevel="0" collapsed="false">
      <c r="A141" s="0" t="s">
        <v>174</v>
      </c>
      <c r="C141" s="3" t="n">
        <f aca="false">Inputs!$F$88</f>
        <v>0.19</v>
      </c>
      <c r="D141" s="3" t="n">
        <f aca="false">Inputs!$G$88</f>
        <v>0.17</v>
      </c>
      <c r="E141" s="3" t="n">
        <f aca="false">Inputs!$H$88</f>
        <v>0.15</v>
      </c>
      <c r="F141" s="3" t="n">
        <f aca="false">Inputs!$I$88</f>
        <v>0.13</v>
      </c>
      <c r="G141" s="3" t="n">
        <f aca="false">Inputs!$J$88</f>
        <v>0.12</v>
      </c>
    </row>
    <row r="142" customFormat="false" ht="15" hidden="false" customHeight="false" outlineLevel="0" collapsed="false">
      <c r="A142" s="0" t="s">
        <v>237</v>
      </c>
      <c r="C142" s="27" t="n">
        <f aca="false">C140*C143</f>
        <v>221.53635</v>
      </c>
      <c r="D142" s="27" t="n">
        <f aca="false">D140*D143</f>
        <v>297.5971635</v>
      </c>
      <c r="E142" s="27" t="n">
        <f aca="false">E140*E143</f>
        <v>386.396317125</v>
      </c>
      <c r="F142" s="27" t="n">
        <f aca="false">F140*F143</f>
        <v>474.0530816385</v>
      </c>
      <c r="G142" s="27" t="n">
        <f aca="false">G140*G143</f>
        <v>558.8836330896</v>
      </c>
    </row>
    <row r="143" customFormat="false" ht="15" hidden="false" customHeight="false" outlineLevel="0" collapsed="false">
      <c r="A143" s="0" t="s">
        <v>178</v>
      </c>
      <c r="C143" s="3" t="n">
        <f aca="false">Inputs!$F$89</f>
        <v>0.27</v>
      </c>
      <c r="D143" s="3" t="n">
        <f aca="false">Inputs!$G$89</f>
        <v>0.31</v>
      </c>
      <c r="E143" s="3" t="n">
        <f aca="false">Inputs!$H$89</f>
        <v>0.35</v>
      </c>
      <c r="F143" s="3" t="n">
        <f aca="false">Inputs!$I$89</f>
        <v>0.38</v>
      </c>
      <c r="G143" s="3" t="n">
        <f aca="false">Inputs!$J$89</f>
        <v>0.4</v>
      </c>
    </row>
    <row r="144" customFormat="false" ht="15" hidden="false" customHeight="false" outlineLevel="0" collapsed="false">
      <c r="A144" s="0" t="s">
        <v>242</v>
      </c>
      <c r="C144" s="6" t="n">
        <f aca="false">C140*Inputs!$C$101</f>
        <v>19.8729639721465</v>
      </c>
      <c r="D144" s="6" t="n">
        <f aca="false">D140*Inputs!$C$101</f>
        <v>23.2513678474114</v>
      </c>
      <c r="E144" s="6" t="n">
        <f aca="false">E140*Inputs!$C$101</f>
        <v>26.7390730245232</v>
      </c>
      <c r="F144" s="6" t="n">
        <f aca="false">F140*Inputs!$C$101</f>
        <v>30.2151525177112</v>
      </c>
      <c r="G144" s="6" t="n">
        <f aca="false">G140*Inputs!$C$101</f>
        <v>33.8409708198365</v>
      </c>
    </row>
    <row r="145" customFormat="false" ht="15" hidden="false" customHeight="false" outlineLevel="0" collapsed="false">
      <c r="A145" s="0" t="s">
        <v>243</v>
      </c>
      <c r="C145" s="6" t="n">
        <f aca="false">(C140-B140)*Inputs!$C$46</f>
        <v>13.1005</v>
      </c>
      <c r="D145" s="6" t="n">
        <f aca="false">(D140-C140)*Inputs!$C$46</f>
        <v>13.948585</v>
      </c>
      <c r="E145" s="6" t="n">
        <f aca="false">(E140-D140)*Inputs!$C$46</f>
        <v>14.39986275</v>
      </c>
      <c r="F145" s="6" t="n">
        <f aca="false">(F140-E140)*Inputs!$C$46</f>
        <v>14.3518632075</v>
      </c>
      <c r="G145" s="6" t="n">
        <f aca="false">(G140-F140)*Inputs!$C$46</f>
        <v>14.9700973149</v>
      </c>
    </row>
    <row r="146" customFormat="false" ht="15" hidden="false" customHeight="false" outlineLevel="0" collapsed="false">
      <c r="A146" s="0" t="s">
        <v>416</v>
      </c>
      <c r="C146" s="6" t="n">
        <f aca="false">C140*Inputs!$C$102</f>
        <v>33.5356267029973</v>
      </c>
      <c r="D146" s="6" t="n">
        <f aca="false">D140*Inputs!$C$102</f>
        <v>39.2366832425068</v>
      </c>
      <c r="E146" s="6" t="n">
        <f aca="false">E140*Inputs!$C$102</f>
        <v>45.1221857288828</v>
      </c>
      <c r="F146" s="6" t="n">
        <f aca="false">F140*Inputs!$C$102</f>
        <v>50.9880698736376</v>
      </c>
      <c r="G146" s="6" t="n">
        <f aca="false">G140*Inputs!$C$102</f>
        <v>57.1066382584741</v>
      </c>
    </row>
    <row r="147" customFormat="false" ht="15" hidden="false" customHeight="false" outlineLevel="0" collapsed="false">
      <c r="A147" s="0" t="s">
        <v>417</v>
      </c>
      <c r="C147" s="38" t="n">
        <f aca="false">Inputs!$C$84</f>
        <v>0.75</v>
      </c>
      <c r="D147" s="34" t="n">
        <f aca="false">1</f>
        <v>1</v>
      </c>
      <c r="E147" s="34" t="n">
        <f aca="false">1</f>
        <v>1</v>
      </c>
      <c r="F147" s="34" t="n">
        <f aca="false">1</f>
        <v>1</v>
      </c>
      <c r="G147" s="34" t="n">
        <f aca="false">1</f>
        <v>1</v>
      </c>
    </row>
    <row r="148" customFormat="false" ht="15" hidden="false" customHeight="false" outlineLevel="0" collapsed="false">
      <c r="A148" s="0" t="s">
        <v>418</v>
      </c>
      <c r="C148" s="22" t="n">
        <f aca="false">Inputs!$F$75</f>
        <v>0.046</v>
      </c>
      <c r="D148" s="22" t="n">
        <f aca="false">Inputs!$G$75</f>
        <v>0.039</v>
      </c>
      <c r="E148" s="22" t="n">
        <f aca="false">Inputs!$H$75</f>
        <v>0.036</v>
      </c>
      <c r="F148" s="22" t="n">
        <f aca="false">Inputs!$I$75</f>
        <v>0.035</v>
      </c>
      <c r="G148" s="22" t="n">
        <f aca="false">Inputs!$J$75</f>
        <v>0.035</v>
      </c>
    </row>
    <row r="149" customFormat="false" ht="15" hidden="false" customHeight="false" outlineLevel="0" collapsed="false">
      <c r="A149" s="0" t="s">
        <v>419</v>
      </c>
      <c r="C149" s="27" t="n">
        <f aca="false">$B$125</f>
        <v>1735</v>
      </c>
      <c r="D149" s="27" t="n">
        <f aca="false">C160</f>
        <v>1721.9875</v>
      </c>
      <c r="E149" s="27" t="n">
        <f aca="false">D160</f>
        <v>1685.23367610681</v>
      </c>
      <c r="F149" s="27" t="n">
        <f aca="false">E160</f>
        <v>1566.54912690414</v>
      </c>
      <c r="G149" s="27" t="n">
        <f aca="false">F160</f>
        <v>1367.2199347253</v>
      </c>
    </row>
    <row r="150" customFormat="false" ht="15" hidden="false" customHeight="false" outlineLevel="0" collapsed="false">
      <c r="A150" s="0" t="s">
        <v>420</v>
      </c>
      <c r="C150" s="6" t="n">
        <f aca="false">C149*(C148+Inputs!$C$67)*C147</f>
        <v>102.148125</v>
      </c>
      <c r="D150" s="6" t="n">
        <f aca="false">D149*(D148+Inputs!$C$67)*D147</f>
        <v>123.12210625</v>
      </c>
      <c r="E150" s="6" t="n">
        <f aca="false">E149*(E148+Inputs!$C$67)*E147</f>
        <v>115.438506813317</v>
      </c>
      <c r="F150" s="6" t="n">
        <f aca="false">F149*(F148+Inputs!$C$67)*F147</f>
        <v>105.742066066029</v>
      </c>
      <c r="G150" s="6" t="n">
        <f aca="false">G149*(G148+Inputs!$C$67)*G147</f>
        <v>92.287345593958</v>
      </c>
    </row>
    <row r="151" customFormat="false" ht="15" hidden="false" customHeight="false" outlineLevel="0" collapsed="false">
      <c r="A151" s="0" t="s">
        <v>421</v>
      </c>
      <c r="C151" s="6" t="n">
        <f aca="false">C161*(C148+Inputs!$C$72)*C147</f>
        <v>30.28875</v>
      </c>
      <c r="D151" s="6" t="n">
        <f aca="false">D161*(D148+Inputs!$C$72)*D147</f>
        <v>37.515</v>
      </c>
      <c r="E151" s="6" t="n">
        <f aca="false">E161*(E148+Inputs!$C$72)*E147</f>
        <v>36.285</v>
      </c>
      <c r="F151" s="6" t="n">
        <f aca="false">F161*(F148+Inputs!$C$72)*F147</f>
        <v>35.875</v>
      </c>
      <c r="G151" s="6" t="n">
        <f aca="false">G161*(G148+Inputs!$C$72)*G147</f>
        <v>35.875</v>
      </c>
    </row>
    <row r="152" customFormat="false" ht="15" hidden="false" customHeight="false" outlineLevel="0" collapsed="false">
      <c r="A152" s="0" t="s">
        <v>422</v>
      </c>
      <c r="C152" s="27" t="n">
        <f aca="false">C150+C151</f>
        <v>132.436875</v>
      </c>
      <c r="D152" s="27" t="n">
        <f aca="false">D150+D151</f>
        <v>160.63710625</v>
      </c>
      <c r="E152" s="27" t="n">
        <f aca="false">E150+E151</f>
        <v>151.723506813317</v>
      </c>
      <c r="F152" s="27" t="n">
        <f aca="false">F150+F151</f>
        <v>141.617066066029</v>
      </c>
      <c r="G152" s="27" t="n">
        <f aca="false">G150+G151</f>
        <v>128.162345593958</v>
      </c>
    </row>
    <row r="153" customFormat="false" ht="15" hidden="false" customHeight="false" outlineLevel="0" collapsed="false">
      <c r="A153" s="0" t="s">
        <v>423</v>
      </c>
      <c r="C153" s="6" t="n">
        <f aca="false">MIN(C152,Inputs!$C$45*C142*C147)</f>
        <v>49.84567875</v>
      </c>
      <c r="D153" s="6" t="n">
        <f aca="false">MIN(D152,Inputs!$C$45*D142*D147)</f>
        <v>89.27914905</v>
      </c>
      <c r="E153" s="6" t="n">
        <f aca="false">MIN(E152,Inputs!$C$45*E142*E147)</f>
        <v>115.9188951375</v>
      </c>
      <c r="F153" s="6" t="n">
        <f aca="false">MIN(F152,Inputs!$C$45*F142*F147)</f>
        <v>141.617066066029</v>
      </c>
      <c r="G153" s="6" t="n">
        <f aca="false">MIN(G152,Inputs!$C$45*G142*G147)</f>
        <v>128.162345593958</v>
      </c>
    </row>
    <row r="154" customFormat="false" ht="15" hidden="false" customHeight="false" outlineLevel="0" collapsed="false">
      <c r="A154" s="0" t="s">
        <v>424</v>
      </c>
      <c r="C154" s="6" t="n">
        <f aca="false">MAX(0,(C142-C146)*C147-C153)*Inputs!$C$44</f>
        <v>22.788715930688</v>
      </c>
      <c r="D154" s="6" t="n">
        <f aca="false">MAX(0,(D142-D146)*D147-D153)*Inputs!$C$44</f>
        <v>42.2703328018733</v>
      </c>
      <c r="E154" s="6" t="n">
        <f aca="false">MAX(0,(E142-E146)*E147-E153)*Inputs!$C$44</f>
        <v>56.3388090646543</v>
      </c>
      <c r="F154" s="6" t="n">
        <f aca="false">MAX(0,(F142-F146)*F147-F153)*Inputs!$C$44</f>
        <v>70.3619864247083</v>
      </c>
      <c r="G154" s="6" t="n">
        <f aca="false">MAX(0,(G142-G146)*G147-G153)*Inputs!$C$44</f>
        <v>93.403662309292</v>
      </c>
    </row>
    <row r="155" customFormat="false" ht="15" hidden="false" customHeight="false" outlineLevel="0" collapsed="false">
      <c r="A155" s="0" t="s">
        <v>425</v>
      </c>
      <c r="C155" s="28" t="n">
        <f aca="false">(C142-C144+C145-Inputs!$C$81)*C147-C152-C154</f>
        <v>-9.15267640979785</v>
      </c>
      <c r="D155" s="28" t="n">
        <f aca="false">(D142-D144+D145-Inputs!$C$81)*D147-D152-D154</f>
        <v>65.3869416007152</v>
      </c>
      <c r="E155" s="28" t="n">
        <f aca="false">(E142-E144+E145-Inputs!$C$81)*E147-E152-E154</f>
        <v>145.994790972506</v>
      </c>
      <c r="F155" s="28" t="n">
        <f aca="false">(F142-F144+F145-Inputs!$C$81)*F147-F152-F154</f>
        <v>226.210739837551</v>
      </c>
      <c r="G155" s="28" t="n">
        <f aca="false">(G142-G144+G145-Inputs!$C$81)*G147-G152-G154</f>
        <v>298.446751681414</v>
      </c>
    </row>
    <row r="156" customFormat="false" ht="15" hidden="false" customHeight="false" outlineLevel="0" collapsed="false">
      <c r="A156" s="0" t="s">
        <v>426</v>
      </c>
      <c r="C156" s="6" t="n">
        <f aca="false">MIN(C149,$B$125*Inputs!$C$70*C147)</f>
        <v>13.0125</v>
      </c>
      <c r="D156" s="6" t="n">
        <f aca="false">MIN(D149,$B$125*Inputs!$C$70*D147)</f>
        <v>17.35</v>
      </c>
      <c r="E156" s="6" t="n">
        <f aca="false">MIN(E149,$B$125*Inputs!$C$70*E147)</f>
        <v>17.35</v>
      </c>
      <c r="F156" s="6" t="n">
        <f aca="false">MIN(F149,$B$125*Inputs!$C$70*F147)</f>
        <v>17.35</v>
      </c>
      <c r="G156" s="6" t="n">
        <f aca="false">MIN(G149,$B$125*Inputs!$C$70*G147)</f>
        <v>17.35</v>
      </c>
    </row>
    <row r="157" customFormat="false" ht="15" hidden="false" customHeight="false" outlineLevel="0" collapsed="false">
      <c r="A157" s="0" t="s">
        <v>427</v>
      </c>
      <c r="C157" s="6" t="n">
        <f aca="false">Inputs!$C$79</f>
        <v>100</v>
      </c>
      <c r="D157" s="27" t="n">
        <f aca="false">C162</f>
        <v>77.8348235902022</v>
      </c>
      <c r="E157" s="27" t="n">
        <f aca="false">D162</f>
        <v>106.467941297729</v>
      </c>
      <c r="F157" s="27" t="n">
        <f aca="false">E162</f>
        <v>133.778183067559</v>
      </c>
      <c r="G157" s="27" t="n">
        <f aca="false">F162</f>
        <v>160.659730726278</v>
      </c>
    </row>
    <row r="158" customFormat="false" ht="15" hidden="false" customHeight="false" outlineLevel="0" collapsed="false">
      <c r="A158" s="0" t="s">
        <v>428</v>
      </c>
      <c r="C158" s="27" t="n">
        <f aca="false">C157+C155-C156</f>
        <v>77.8348235902022</v>
      </c>
      <c r="D158" s="27" t="n">
        <f aca="false">D157+D155-D156</f>
        <v>125.871765190917</v>
      </c>
      <c r="E158" s="27" t="n">
        <f aca="false">E157+E155-E156</f>
        <v>235.112732270235</v>
      </c>
      <c r="F158" s="27" t="n">
        <f aca="false">F157+F155-F156</f>
        <v>342.63892290511</v>
      </c>
      <c r="G158" s="27" t="n">
        <f aca="false">G157+G155-G156</f>
        <v>441.756482407691</v>
      </c>
    </row>
    <row r="159" customFormat="false" ht="15" hidden="false" customHeight="false" outlineLevel="0" collapsed="false">
      <c r="A159" s="0" t="s">
        <v>429</v>
      </c>
      <c r="C159" s="6" t="n">
        <f aca="false">MIN(MAX(0,C158-Inputs!$C$79)*Inputs!$C$80,C149-C156)</f>
        <v>0</v>
      </c>
      <c r="D159" s="6" t="n">
        <f aca="false">MIN(MAX(0,D158-Inputs!$C$79)*Inputs!$C$80,D149-D156)</f>
        <v>19.403823893188</v>
      </c>
      <c r="E159" s="6" t="n">
        <f aca="false">MIN(MAX(0,E158-Inputs!$C$79)*Inputs!$C$80,E149-E156)</f>
        <v>101.334549202676</v>
      </c>
      <c r="F159" s="6" t="n">
        <f aca="false">MIN(MAX(0,F158-Inputs!$C$79)*Inputs!$C$80,F149-F156)</f>
        <v>181.979192178833</v>
      </c>
      <c r="G159" s="6" t="n">
        <f aca="false">MIN(MAX(0,G158-Inputs!$C$79)*Inputs!$C$80,G149-G156)</f>
        <v>256.317361805768</v>
      </c>
    </row>
    <row r="160" customFormat="false" ht="15" hidden="false" customHeight="false" outlineLevel="0" collapsed="false">
      <c r="A160" s="0" t="s">
        <v>430</v>
      </c>
      <c r="C160" s="27" t="n">
        <f aca="false">C149-C156-C159</f>
        <v>1721.9875</v>
      </c>
      <c r="D160" s="27" t="n">
        <f aca="false">D149-D156-D159</f>
        <v>1685.23367610681</v>
      </c>
      <c r="E160" s="27" t="n">
        <f aca="false">E149-E156-E159</f>
        <v>1566.54912690414</v>
      </c>
      <c r="F160" s="27" t="n">
        <f aca="false">F149-F156-F159</f>
        <v>1367.2199347253</v>
      </c>
      <c r="G160" s="27" t="n">
        <f aca="false">G149-G156-G159</f>
        <v>1093.55257291954</v>
      </c>
    </row>
    <row r="161" customFormat="false" ht="15" hidden="false" customHeight="false" outlineLevel="0" collapsed="false">
      <c r="A161" s="0" t="s">
        <v>431</v>
      </c>
      <c r="C161" s="27" t="n">
        <f aca="false">$B$126</f>
        <v>410</v>
      </c>
      <c r="D161" s="27" t="n">
        <f aca="false">$B$126</f>
        <v>410</v>
      </c>
      <c r="E161" s="27" t="n">
        <f aca="false">$B$126</f>
        <v>410</v>
      </c>
      <c r="F161" s="27" t="n">
        <f aca="false">$B$126</f>
        <v>410</v>
      </c>
      <c r="G161" s="27" t="n">
        <f aca="false">$B$126</f>
        <v>410</v>
      </c>
    </row>
    <row r="162" customFormat="false" ht="15" hidden="false" customHeight="false" outlineLevel="0" collapsed="false">
      <c r="A162" s="0" t="s">
        <v>432</v>
      </c>
      <c r="C162" s="27" t="n">
        <f aca="false">C158-C159</f>
        <v>77.8348235902022</v>
      </c>
      <c r="D162" s="27" t="n">
        <f aca="false">D158-D159</f>
        <v>106.467941297729</v>
      </c>
      <c r="E162" s="27" t="n">
        <f aca="false">E158-E159</f>
        <v>133.778183067559</v>
      </c>
      <c r="F162" s="27" t="n">
        <f aca="false">F158-F159</f>
        <v>160.659730726278</v>
      </c>
      <c r="G162" s="27" t="n">
        <f aca="false">G158-G159</f>
        <v>185.439120601923</v>
      </c>
    </row>
    <row r="163" customFormat="false" ht="15" hidden="false" customHeight="false" outlineLevel="0" collapsed="false">
      <c r="A163" s="0" t="s">
        <v>433</v>
      </c>
      <c r="C163" s="39" t="n">
        <f aca="false">C160+C161-C162</f>
        <v>2054.1526764098</v>
      </c>
      <c r="D163" s="39" t="n">
        <f aca="false">D160+D161-D162</f>
        <v>1988.76573480908</v>
      </c>
      <c r="E163" s="39" t="n">
        <f aca="false">E160+E161-E162</f>
        <v>1842.77094383658</v>
      </c>
      <c r="F163" s="39" t="n">
        <f aca="false">F160+F161-F162</f>
        <v>1616.56020399903</v>
      </c>
      <c r="G163" s="39" t="n">
        <f aca="false">G160+G161-G162</f>
        <v>1318.11345231761</v>
      </c>
    </row>
    <row r="164" customFormat="false" ht="15" hidden="false" customHeight="false" outlineLevel="0" collapsed="false">
      <c r="A164" s="0" t="s">
        <v>434</v>
      </c>
      <c r="C164" s="32" t="n">
        <f aca="false">(C160+C161)/C142</f>
        <v>9.62364641287987</v>
      </c>
      <c r="D164" s="32" t="n">
        <f aca="false">(D160+D161)/D142</f>
        <v>7.04050284439896</v>
      </c>
      <c r="E164" s="32" t="n">
        <f aca="false">(E160+E161)/E142</f>
        <v>5.11534152708997</v>
      </c>
      <c r="F164" s="32" t="n">
        <f aca="false">(F160+F161)/F142</f>
        <v>3.7489893085023</v>
      </c>
      <c r="G164" s="32" t="n">
        <f aca="false">(G160+G161)/G142</f>
        <v>2.69027841199724</v>
      </c>
    </row>
    <row r="165" customFormat="false" ht="15" hidden="false" customHeight="false" outlineLevel="0" collapsed="false">
      <c r="A165" s="0" t="s">
        <v>435</v>
      </c>
      <c r="C165" s="32" t="n">
        <f aca="false">C142*C147/C152</f>
        <v>1.25457703906106</v>
      </c>
      <c r="D165" s="32" t="n">
        <f aca="false">D142*D147/D152</f>
        <v>1.85260535655348</v>
      </c>
      <c r="E165" s="32" t="n">
        <f aca="false">E142*E147/E152</f>
        <v>2.54671359264342</v>
      </c>
      <c r="F165" s="32" t="n">
        <f aca="false">F142*F147/F152</f>
        <v>3.34742905503686</v>
      </c>
      <c r="G165" s="32" t="n">
        <f aca="false">G142*G147/G152</f>
        <v>4.36074753859645</v>
      </c>
    </row>
    <row r="167" customFormat="false" ht="15" hidden="false" customHeight="false" outlineLevel="0" collapsed="false">
      <c r="A167" s="7" t="s">
        <v>436</v>
      </c>
      <c r="B167" s="7" t="s">
        <v>437</v>
      </c>
      <c r="C167" s="7" t="s">
        <v>438</v>
      </c>
      <c r="D167" s="7" t="s">
        <v>439</v>
      </c>
      <c r="E167" s="7" t="s">
        <v>440</v>
      </c>
      <c r="F167" s="7" t="s">
        <v>441</v>
      </c>
      <c r="G167" s="7" t="s">
        <v>442</v>
      </c>
      <c r="H167" s="7" t="s">
        <v>443</v>
      </c>
    </row>
    <row r="168" customFormat="false" ht="15" hidden="false" customHeight="false" outlineLevel="0" collapsed="false">
      <c r="B168" s="4" t="n">
        <f aca="false">'LBO grid'!$A$6</f>
        <v>14</v>
      </c>
      <c r="C168" s="33" t="n">
        <f aca="false">B168*G142</f>
        <v>7824.3708632544</v>
      </c>
      <c r="D168" s="5" t="n">
        <f aca="false">G163+Inputs!$C$83</f>
        <v>1378.31345231761</v>
      </c>
      <c r="E168" s="33" t="n">
        <f aca="false">C168-D168</f>
        <v>6446.05741093679</v>
      </c>
      <c r="F168" s="5" t="n">
        <f aca="false">E168*(1-Inputs!$C$82)</f>
        <v>5930.37281806184</v>
      </c>
      <c r="G168" s="32" t="n">
        <f aca="false">F168/$B$134</f>
        <v>1.97608613529902</v>
      </c>
      <c r="H168" s="40" t="n">
        <f aca="false">G168^(1/Inputs!$C$85)-1</f>
        <v>0.154183656270494</v>
      </c>
    </row>
    <row r="169" customFormat="false" ht="15" hidden="false" customHeight="false" outlineLevel="0" collapsed="false">
      <c r="B169" s="4" t="n">
        <f aca="false">'LBO grid'!$A$7</f>
        <v>16</v>
      </c>
      <c r="C169" s="33" t="n">
        <f aca="false">B169*G142</f>
        <v>8942.1381294336</v>
      </c>
      <c r="D169" s="5" t="n">
        <f aca="false">G163+Inputs!$C$83</f>
        <v>1378.31345231761</v>
      </c>
      <c r="E169" s="33" t="n">
        <f aca="false">C169-D169</f>
        <v>7563.82467711599</v>
      </c>
      <c r="F169" s="5" t="n">
        <f aca="false">E169*(1-Inputs!$C$82)</f>
        <v>6958.71870294671</v>
      </c>
      <c r="G169" s="32" t="n">
        <f aca="false">F169/$B$134</f>
        <v>2.31874588161779</v>
      </c>
      <c r="H169" s="40" t="n">
        <f aca="false">G169^(1/Inputs!$C$85)-1</f>
        <v>0.193700569818676</v>
      </c>
    </row>
    <row r="170" customFormat="false" ht="15" hidden="false" customHeight="false" outlineLevel="0" collapsed="false">
      <c r="B170" s="4" t="n">
        <f aca="false">'LBO grid'!$A$8</f>
        <v>18</v>
      </c>
      <c r="C170" s="33" t="n">
        <f aca="false">B170*G142</f>
        <v>10059.9053956128</v>
      </c>
      <c r="D170" s="5" t="n">
        <f aca="false">G163+Inputs!$C$83</f>
        <v>1378.31345231761</v>
      </c>
      <c r="E170" s="33" t="n">
        <f aca="false">C170-D170</f>
        <v>8681.59194329519</v>
      </c>
      <c r="F170" s="5" t="n">
        <f aca="false">E170*(1-Inputs!$C$82)</f>
        <v>7987.06458783157</v>
      </c>
      <c r="G170" s="32" t="n">
        <f aca="false">F170/$B$134</f>
        <v>2.66140562793656</v>
      </c>
      <c r="H170" s="40" t="n">
        <f aca="false">G170^(1/Inputs!$C$85)-1</f>
        <v>0.228844889161838</v>
      </c>
    </row>
    <row r="171" customFormat="false" ht="15" hidden="false" customHeight="false" outlineLevel="0" collapsed="false">
      <c r="B171" s="4" t="n">
        <f aca="false">'LBO grid'!$A$9</f>
        <v>20</v>
      </c>
      <c r="C171" s="33" t="n">
        <f aca="false">B171*G142</f>
        <v>11177.672661792</v>
      </c>
      <c r="D171" s="5" t="n">
        <f aca="false">G163+Inputs!$C$83</f>
        <v>1378.31345231761</v>
      </c>
      <c r="E171" s="33" t="n">
        <f aca="false">C171-D171</f>
        <v>9799.35920947439</v>
      </c>
      <c r="F171" s="5" t="n">
        <f aca="false">E171*(1-Inputs!$C$82)</f>
        <v>9015.41047271644</v>
      </c>
      <c r="G171" s="32" t="n">
        <f aca="false">F171/$B$134</f>
        <v>3.00406537425533</v>
      </c>
      <c r="H171" s="40" t="n">
        <f aca="false">G171^(1/Inputs!$C$85)-1</f>
        <v>0.260579951339997</v>
      </c>
    </row>
    <row r="172" customFormat="false" ht="15" hidden="false" customHeight="false" outlineLevel="0" collapsed="false">
      <c r="B172" s="4" t="n">
        <f aca="false">'LBO grid'!$A$10</f>
        <v>22</v>
      </c>
      <c r="C172" s="33" t="n">
        <f aca="false">B172*G142</f>
        <v>12295.4399279712</v>
      </c>
      <c r="D172" s="5" t="n">
        <f aca="false">G163+Inputs!$C$83</f>
        <v>1378.31345231761</v>
      </c>
      <c r="E172" s="33" t="n">
        <f aca="false">C172-D172</f>
        <v>10917.1264756536</v>
      </c>
      <c r="F172" s="5" t="n">
        <f aca="false">E172*(1-Inputs!$C$82)</f>
        <v>10043.7563576013</v>
      </c>
      <c r="G172" s="32" t="n">
        <f aca="false">F172/$B$134</f>
        <v>3.34672512057409</v>
      </c>
      <c r="H172" s="40" t="n">
        <f aca="false">G172^(1/Inputs!$C$85)-1</f>
        <v>0.289574167830816</v>
      </c>
    </row>
    <row r="174" customFormat="false" ht="15" hidden="false" customHeight="false" outlineLevel="0" collapsed="false">
      <c r="A174" s="0" t="s">
        <v>444</v>
      </c>
      <c r="B174" s="27" t="n">
        <f aca="false">MIN(C162:G162)</f>
        <v>77.8348235902022</v>
      </c>
    </row>
    <row r="177" customFormat="false" ht="15" hidden="false" customHeight="false" outlineLevel="0" collapsed="false">
      <c r="A177" s="36" t="s">
        <v>465</v>
      </c>
    </row>
    <row r="178" customFormat="false" ht="15" hidden="false" customHeight="false" outlineLevel="0" collapsed="false">
      <c r="A178" s="0" t="s">
        <v>404</v>
      </c>
      <c r="B178" s="5" t="n">
        <f aca="false">'LBO grid'!$E$3</f>
        <v>2400</v>
      </c>
    </row>
    <row r="179" customFormat="false" ht="15" hidden="false" customHeight="false" outlineLevel="0" collapsed="false">
      <c r="A179" s="0" t="s">
        <v>121</v>
      </c>
      <c r="B179" s="5" t="n">
        <f aca="false">B178*Inputs!$C$66/(Inputs!$C$66+Inputs!$C$71)</f>
        <v>1941.25874125874</v>
      </c>
    </row>
    <row r="180" customFormat="false" ht="15" hidden="false" customHeight="false" outlineLevel="0" collapsed="false">
      <c r="A180" s="0" t="s">
        <v>131</v>
      </c>
      <c r="B180" s="33" t="n">
        <f aca="false">B178-B179</f>
        <v>458.741258741259</v>
      </c>
    </row>
    <row r="181" customFormat="false" ht="15" hidden="false" customHeight="false" outlineLevel="0" collapsed="false">
      <c r="A181" s="0" t="s">
        <v>405</v>
      </c>
      <c r="B181" s="5" t="n">
        <f aca="false">Inputs!$C$7*Inputs!$C$99</f>
        <v>5315</v>
      </c>
    </row>
    <row r="182" customFormat="false" ht="15" hidden="false" customHeight="false" outlineLevel="0" collapsed="false">
      <c r="A182" s="0" t="s">
        <v>406</v>
      </c>
      <c r="B182" s="5" t="n">
        <f aca="false">B181-Inputs!$C$100</f>
        <v>4992</v>
      </c>
    </row>
    <row r="183" customFormat="false" ht="15" hidden="false" customHeight="false" outlineLevel="0" collapsed="false">
      <c r="A183" s="0" t="s">
        <v>407</v>
      </c>
      <c r="B183" s="6" t="n">
        <f aca="false">B179*(1-Inputs!$C$68)+B180*(1-Inputs!$C$73)</f>
        <v>12</v>
      </c>
    </row>
    <row r="184" customFormat="false" ht="15" hidden="false" customHeight="false" outlineLevel="0" collapsed="false">
      <c r="A184" s="0" t="s">
        <v>408</v>
      </c>
      <c r="B184" s="6" t="n">
        <f aca="false">B178*Inputs!$C$76</f>
        <v>60</v>
      </c>
    </row>
    <row r="185" customFormat="false" ht="15" hidden="false" customHeight="false" outlineLevel="0" collapsed="false">
      <c r="A185" s="0" t="s">
        <v>409</v>
      </c>
      <c r="B185" s="6" t="n">
        <f aca="false">B182*Inputs!$C$77</f>
        <v>49.92</v>
      </c>
    </row>
    <row r="186" customFormat="false" ht="15" hidden="false" customHeight="false" outlineLevel="0" collapsed="false">
      <c r="A186" s="0" t="s">
        <v>410</v>
      </c>
      <c r="B186" s="37" t="n">
        <f aca="false">B181+B183+B184+B185</f>
        <v>5436.92</v>
      </c>
    </row>
    <row r="187" customFormat="false" ht="15" hidden="false" customHeight="false" outlineLevel="0" collapsed="false">
      <c r="A187" s="0" t="s">
        <v>411</v>
      </c>
      <c r="B187" s="6" t="n">
        <f aca="false">Inputs!$C$78-Inputs!$C$79</f>
        <v>283.2</v>
      </c>
    </row>
    <row r="188" customFormat="false" ht="15" hidden="false" customHeight="false" outlineLevel="0" collapsed="false">
      <c r="A188" s="0" t="s">
        <v>412</v>
      </c>
      <c r="B188" s="37" t="n">
        <f aca="false">B186-B178-B187</f>
        <v>2753.72</v>
      </c>
    </row>
    <row r="189" customFormat="false" ht="15" hidden="false" customHeight="false" outlineLevel="0" collapsed="false">
      <c r="A189" s="0" t="s">
        <v>413</v>
      </c>
      <c r="B189" s="24" t="n">
        <f aca="false">B188/B186</f>
        <v>0.506485289465359</v>
      </c>
    </row>
    <row r="190" customFormat="false" ht="15" hidden="false" customHeight="false" outlineLevel="0" collapsed="false">
      <c r="A190" s="0" t="s">
        <v>414</v>
      </c>
      <c r="B190" s="4" t="n">
        <f aca="false">B178/Inputs!$C$12</f>
        <v>16.4383561643836</v>
      </c>
    </row>
    <row r="191" customFormat="false" ht="15" hidden="false" customHeight="false" outlineLevel="0" collapsed="false">
      <c r="A191" s="0" t="s">
        <v>415</v>
      </c>
      <c r="B191" s="4" t="n">
        <f aca="false">B178/Inputs!$C$33</f>
        <v>3.06826898491434</v>
      </c>
    </row>
    <row r="193" customFormat="false" ht="15" hidden="false" customHeight="false" outlineLevel="0" collapsed="false">
      <c r="A193" s="7" t="s">
        <v>47</v>
      </c>
      <c r="B193" s="7" t="s">
        <v>229</v>
      </c>
      <c r="C193" s="7" t="s">
        <v>230</v>
      </c>
      <c r="D193" s="7" t="s">
        <v>231</v>
      </c>
      <c r="E193" s="7" t="s">
        <v>232</v>
      </c>
      <c r="F193" s="7" t="s">
        <v>233</v>
      </c>
      <c r="G193" s="7" t="s">
        <v>234</v>
      </c>
    </row>
    <row r="194" customFormat="false" ht="15" hidden="false" customHeight="false" outlineLevel="0" collapsed="false">
      <c r="A194" s="0" t="s">
        <v>173</v>
      </c>
      <c r="B194" s="6" t="n">
        <f aca="false">History!D5</f>
        <v>689.5</v>
      </c>
      <c r="C194" s="27" t="n">
        <f aca="false">B194*(1+C195)</f>
        <v>820.505</v>
      </c>
      <c r="D194" s="27" t="n">
        <f aca="false">C194*(1+D195)</f>
        <v>959.99085</v>
      </c>
      <c r="E194" s="27" t="n">
        <f aca="false">D194*(1+E195)</f>
        <v>1103.9894775</v>
      </c>
      <c r="F194" s="27" t="n">
        <f aca="false">E194*(1+F195)</f>
        <v>1247.508109575</v>
      </c>
      <c r="G194" s="27" t="n">
        <f aca="false">F194*(1+G195)</f>
        <v>1397.209082724</v>
      </c>
    </row>
    <row r="195" customFormat="false" ht="15" hidden="false" customHeight="false" outlineLevel="0" collapsed="false">
      <c r="A195" s="0" t="s">
        <v>174</v>
      </c>
      <c r="C195" s="3" t="n">
        <f aca="false">Inputs!$F$88</f>
        <v>0.19</v>
      </c>
      <c r="D195" s="3" t="n">
        <f aca="false">Inputs!$G$88</f>
        <v>0.17</v>
      </c>
      <c r="E195" s="3" t="n">
        <f aca="false">Inputs!$H$88</f>
        <v>0.15</v>
      </c>
      <c r="F195" s="3" t="n">
        <f aca="false">Inputs!$I$88</f>
        <v>0.13</v>
      </c>
      <c r="G195" s="3" t="n">
        <f aca="false">Inputs!$J$88</f>
        <v>0.12</v>
      </c>
    </row>
    <row r="196" customFormat="false" ht="15" hidden="false" customHeight="false" outlineLevel="0" collapsed="false">
      <c r="A196" s="0" t="s">
        <v>237</v>
      </c>
      <c r="C196" s="27" t="n">
        <f aca="false">C194*C197</f>
        <v>221.53635</v>
      </c>
      <c r="D196" s="27" t="n">
        <f aca="false">D194*D197</f>
        <v>297.5971635</v>
      </c>
      <c r="E196" s="27" t="n">
        <f aca="false">E194*E197</f>
        <v>386.396317125</v>
      </c>
      <c r="F196" s="27" t="n">
        <f aca="false">F194*F197</f>
        <v>474.0530816385</v>
      </c>
      <c r="G196" s="27" t="n">
        <f aca="false">G194*G197</f>
        <v>558.8836330896</v>
      </c>
    </row>
    <row r="197" customFormat="false" ht="15" hidden="false" customHeight="false" outlineLevel="0" collapsed="false">
      <c r="A197" s="0" t="s">
        <v>178</v>
      </c>
      <c r="C197" s="3" t="n">
        <f aca="false">Inputs!$F$89</f>
        <v>0.27</v>
      </c>
      <c r="D197" s="3" t="n">
        <f aca="false">Inputs!$G$89</f>
        <v>0.31</v>
      </c>
      <c r="E197" s="3" t="n">
        <f aca="false">Inputs!$H$89</f>
        <v>0.35</v>
      </c>
      <c r="F197" s="3" t="n">
        <f aca="false">Inputs!$I$89</f>
        <v>0.38</v>
      </c>
      <c r="G197" s="3" t="n">
        <f aca="false">Inputs!$J$89</f>
        <v>0.4</v>
      </c>
    </row>
    <row r="198" customFormat="false" ht="15" hidden="false" customHeight="false" outlineLevel="0" collapsed="false">
      <c r="A198" s="0" t="s">
        <v>242</v>
      </c>
      <c r="C198" s="6" t="n">
        <f aca="false">C194*Inputs!$C$101</f>
        <v>19.8729639721465</v>
      </c>
      <c r="D198" s="6" t="n">
        <f aca="false">D194*Inputs!$C$101</f>
        <v>23.2513678474114</v>
      </c>
      <c r="E198" s="6" t="n">
        <f aca="false">E194*Inputs!$C$101</f>
        <v>26.7390730245232</v>
      </c>
      <c r="F198" s="6" t="n">
        <f aca="false">F194*Inputs!$C$101</f>
        <v>30.2151525177112</v>
      </c>
      <c r="G198" s="6" t="n">
        <f aca="false">G194*Inputs!$C$101</f>
        <v>33.8409708198365</v>
      </c>
    </row>
    <row r="199" customFormat="false" ht="15" hidden="false" customHeight="false" outlineLevel="0" collapsed="false">
      <c r="A199" s="0" t="s">
        <v>243</v>
      </c>
      <c r="C199" s="6" t="n">
        <f aca="false">(C194-B194)*Inputs!$C$46</f>
        <v>13.1005</v>
      </c>
      <c r="D199" s="6" t="n">
        <f aca="false">(D194-C194)*Inputs!$C$46</f>
        <v>13.948585</v>
      </c>
      <c r="E199" s="6" t="n">
        <f aca="false">(E194-D194)*Inputs!$C$46</f>
        <v>14.39986275</v>
      </c>
      <c r="F199" s="6" t="n">
        <f aca="false">(F194-E194)*Inputs!$C$46</f>
        <v>14.3518632075</v>
      </c>
      <c r="G199" s="6" t="n">
        <f aca="false">(G194-F194)*Inputs!$C$46</f>
        <v>14.9700973149</v>
      </c>
    </row>
    <row r="200" customFormat="false" ht="15" hidden="false" customHeight="false" outlineLevel="0" collapsed="false">
      <c r="A200" s="0" t="s">
        <v>416</v>
      </c>
      <c r="C200" s="6" t="n">
        <f aca="false">C194*Inputs!$C$102</f>
        <v>33.5356267029973</v>
      </c>
      <c r="D200" s="6" t="n">
        <f aca="false">D194*Inputs!$C$102</f>
        <v>39.2366832425068</v>
      </c>
      <c r="E200" s="6" t="n">
        <f aca="false">E194*Inputs!$C$102</f>
        <v>45.1221857288828</v>
      </c>
      <c r="F200" s="6" t="n">
        <f aca="false">F194*Inputs!$C$102</f>
        <v>50.9880698736376</v>
      </c>
      <c r="G200" s="6" t="n">
        <f aca="false">G194*Inputs!$C$102</f>
        <v>57.1066382584741</v>
      </c>
    </row>
    <row r="201" customFormat="false" ht="15" hidden="false" customHeight="false" outlineLevel="0" collapsed="false">
      <c r="A201" s="0" t="s">
        <v>417</v>
      </c>
      <c r="C201" s="38" t="n">
        <f aca="false">Inputs!$C$84</f>
        <v>0.75</v>
      </c>
      <c r="D201" s="34" t="n">
        <f aca="false">1</f>
        <v>1</v>
      </c>
      <c r="E201" s="34" t="n">
        <f aca="false">1</f>
        <v>1</v>
      </c>
      <c r="F201" s="34" t="n">
        <f aca="false">1</f>
        <v>1</v>
      </c>
      <c r="G201" s="34" t="n">
        <f aca="false">1</f>
        <v>1</v>
      </c>
    </row>
    <row r="202" customFormat="false" ht="15" hidden="false" customHeight="false" outlineLevel="0" collapsed="false">
      <c r="A202" s="0" t="s">
        <v>418</v>
      </c>
      <c r="C202" s="22" t="n">
        <f aca="false">Inputs!$F$75</f>
        <v>0.046</v>
      </c>
      <c r="D202" s="22" t="n">
        <f aca="false">Inputs!$G$75</f>
        <v>0.039</v>
      </c>
      <c r="E202" s="22" t="n">
        <f aca="false">Inputs!$H$75</f>
        <v>0.036</v>
      </c>
      <c r="F202" s="22" t="n">
        <f aca="false">Inputs!$I$75</f>
        <v>0.035</v>
      </c>
      <c r="G202" s="22" t="n">
        <f aca="false">Inputs!$J$75</f>
        <v>0.035</v>
      </c>
    </row>
    <row r="203" customFormat="false" ht="15" hidden="false" customHeight="false" outlineLevel="0" collapsed="false">
      <c r="A203" s="0" t="s">
        <v>419</v>
      </c>
      <c r="C203" s="27" t="n">
        <f aca="false">$B$179</f>
        <v>1941.25874125874</v>
      </c>
      <c r="D203" s="27" t="n">
        <f aca="false">C214</f>
        <v>1926.6993006993</v>
      </c>
      <c r="E203" s="27" t="n">
        <f aca="false">D214</f>
        <v>1907.28671328671</v>
      </c>
      <c r="F203" s="27" t="n">
        <f aca="false">E214</f>
        <v>1817.01469322855</v>
      </c>
      <c r="G203" s="27" t="n">
        <f aca="false">F214</f>
        <v>1640.55481178112</v>
      </c>
    </row>
    <row r="204" customFormat="false" ht="15" hidden="false" customHeight="false" outlineLevel="0" collapsed="false">
      <c r="A204" s="0" t="s">
        <v>420</v>
      </c>
      <c r="C204" s="6" t="n">
        <f aca="false">C203*(C202+Inputs!$C$67)*C201</f>
        <v>114.291608391608</v>
      </c>
      <c r="D204" s="6" t="n">
        <f aca="false">D203*(D202+Inputs!$C$67)*D201</f>
        <v>137.759</v>
      </c>
      <c r="E204" s="6" t="n">
        <f aca="false">E203*(E202+Inputs!$C$67)*E201</f>
        <v>130.64913986014</v>
      </c>
      <c r="F204" s="6" t="n">
        <f aca="false">F203*(F202+Inputs!$C$67)*F201</f>
        <v>122.648491792927</v>
      </c>
      <c r="G204" s="6" t="n">
        <f aca="false">G203*(G202+Inputs!$C$67)*G201</f>
        <v>110.737449795226</v>
      </c>
    </row>
    <row r="205" customFormat="false" ht="15" hidden="false" customHeight="false" outlineLevel="0" collapsed="false">
      <c r="A205" s="0" t="s">
        <v>421</v>
      </c>
      <c r="C205" s="6" t="n">
        <f aca="false">C215*(C202+Inputs!$C$72)*C201</f>
        <v>33.8895104895105</v>
      </c>
      <c r="D205" s="6" t="n">
        <f aca="false">D215*(D202+Inputs!$C$72)*D201</f>
        <v>41.9748251748252</v>
      </c>
      <c r="E205" s="6" t="n">
        <f aca="false">E215*(E202+Inputs!$C$72)*E201</f>
        <v>40.5986013986014</v>
      </c>
      <c r="F205" s="6" t="n">
        <f aca="false">F215*(F202+Inputs!$C$72)*F201</f>
        <v>40.1398601398601</v>
      </c>
      <c r="G205" s="6" t="n">
        <f aca="false">G215*(G202+Inputs!$C$72)*G201</f>
        <v>40.1398601398601</v>
      </c>
    </row>
    <row r="206" customFormat="false" ht="15" hidden="false" customHeight="false" outlineLevel="0" collapsed="false">
      <c r="A206" s="0" t="s">
        <v>422</v>
      </c>
      <c r="C206" s="27" t="n">
        <f aca="false">C204+C205</f>
        <v>148.181118881119</v>
      </c>
      <c r="D206" s="27" t="n">
        <f aca="false">D204+D205</f>
        <v>179.733825174825</v>
      </c>
      <c r="E206" s="27" t="n">
        <f aca="false">E204+E205</f>
        <v>171.247741258741</v>
      </c>
      <c r="F206" s="27" t="n">
        <f aca="false">F204+F205</f>
        <v>162.788351932787</v>
      </c>
      <c r="G206" s="27" t="n">
        <f aca="false">G204+G205</f>
        <v>150.877309935086</v>
      </c>
    </row>
    <row r="207" customFormat="false" ht="15" hidden="false" customHeight="false" outlineLevel="0" collapsed="false">
      <c r="A207" s="0" t="s">
        <v>423</v>
      </c>
      <c r="C207" s="6" t="n">
        <f aca="false">MIN(C206,Inputs!$C$45*C196*C201)</f>
        <v>49.84567875</v>
      </c>
      <c r="D207" s="6" t="n">
        <f aca="false">MIN(D206,Inputs!$C$45*D196*D201)</f>
        <v>89.27914905</v>
      </c>
      <c r="E207" s="6" t="n">
        <f aca="false">MIN(E206,Inputs!$C$45*E196*E201)</f>
        <v>115.9188951375</v>
      </c>
      <c r="F207" s="6" t="n">
        <f aca="false">MIN(F206,Inputs!$C$45*F196*F201)</f>
        <v>142.21592449155</v>
      </c>
      <c r="G207" s="6" t="n">
        <f aca="false">MIN(G206,Inputs!$C$45*G196*G201)</f>
        <v>150.877309935086</v>
      </c>
    </row>
    <row r="208" customFormat="false" ht="15" hidden="false" customHeight="false" outlineLevel="0" collapsed="false">
      <c r="A208" s="0" t="s">
        <v>424</v>
      </c>
      <c r="C208" s="6" t="n">
        <f aca="false">MAX(0,(C196-C200)*C201-C207)*Inputs!$C$44</f>
        <v>22.788715930688</v>
      </c>
      <c r="D208" s="6" t="n">
        <f aca="false">MAX(0,(D196-D200)*D201-D207)*Inputs!$C$44</f>
        <v>42.2703328018733</v>
      </c>
      <c r="E208" s="6" t="n">
        <f aca="false">MAX(0,(E196-E200)*E201-E207)*Inputs!$C$44</f>
        <v>56.3388090646543</v>
      </c>
      <c r="F208" s="6" t="n">
        <f aca="false">MAX(0,(F196-F200)*F201-F207)*Inputs!$C$44</f>
        <v>70.2122718183281</v>
      </c>
      <c r="G208" s="6" t="n">
        <f aca="false">MAX(0,(G196-G200)*G201-G207)*Inputs!$C$44</f>
        <v>87.72492122401</v>
      </c>
    </row>
    <row r="209" customFormat="false" ht="15" hidden="false" customHeight="false" outlineLevel="0" collapsed="false">
      <c r="A209" s="0" t="s">
        <v>425</v>
      </c>
      <c r="C209" s="28" t="n">
        <f aca="false">(C196-C198+C199-Inputs!$C$81)*C201-C206-C208</f>
        <v>-24.8969202909168</v>
      </c>
      <c r="D209" s="28" t="n">
        <f aca="false">(D196-D198+D199-Inputs!$C$81)*D201-D206-D208</f>
        <v>46.2902226758901</v>
      </c>
      <c r="E209" s="28" t="n">
        <f aca="false">(E196-E198+E199-Inputs!$C$81)*E201-E206-E208</f>
        <v>126.470556527081</v>
      </c>
      <c r="F209" s="28" t="n">
        <f aca="false">(F196-F198+F199-Inputs!$C$81)*F201-F206-F208</f>
        <v>205.189168577174</v>
      </c>
      <c r="G209" s="28" t="n">
        <f aca="false">(G196-G198+G199-Inputs!$C$81)*G201-G206-G208</f>
        <v>281.410528425568</v>
      </c>
    </row>
    <row r="210" customFormat="false" ht="15" hidden="false" customHeight="false" outlineLevel="0" collapsed="false">
      <c r="A210" s="0" t="s">
        <v>426</v>
      </c>
      <c r="C210" s="6" t="n">
        <f aca="false">MIN(C203,$B$179*Inputs!$C$70*C201)</f>
        <v>14.5594405594406</v>
      </c>
      <c r="D210" s="6" t="n">
        <f aca="false">MIN(D203,$B$179*Inputs!$C$70*D201)</f>
        <v>19.4125874125874</v>
      </c>
      <c r="E210" s="6" t="n">
        <f aca="false">MIN(E203,$B$179*Inputs!$C$70*E201)</f>
        <v>19.4125874125874</v>
      </c>
      <c r="F210" s="6" t="n">
        <f aca="false">MIN(F203,$B$179*Inputs!$C$70*F201)</f>
        <v>19.4125874125874</v>
      </c>
      <c r="G210" s="6" t="n">
        <f aca="false">MIN(G203,$B$179*Inputs!$C$70*G201)</f>
        <v>19.4125874125874</v>
      </c>
    </row>
    <row r="211" customFormat="false" ht="15" hidden="false" customHeight="false" outlineLevel="0" collapsed="false">
      <c r="A211" s="0" t="s">
        <v>427</v>
      </c>
      <c r="C211" s="6" t="n">
        <f aca="false">Inputs!$C$79</f>
        <v>100</v>
      </c>
      <c r="D211" s="27" t="n">
        <f aca="false">C216</f>
        <v>60.5436391496427</v>
      </c>
      <c r="E211" s="27" t="n">
        <f aca="false">D216</f>
        <v>87.4212744129453</v>
      </c>
      <c r="F211" s="27" t="n">
        <f aca="false">E216</f>
        <v>123.61981088186</v>
      </c>
      <c r="G211" s="27" t="n">
        <f aca="false">F216</f>
        <v>152.349098011612</v>
      </c>
    </row>
    <row r="212" customFormat="false" ht="15" hidden="false" customHeight="false" outlineLevel="0" collapsed="false">
      <c r="A212" s="0" t="s">
        <v>428</v>
      </c>
      <c r="C212" s="27" t="n">
        <f aca="false">C211+C209-C210</f>
        <v>60.5436391496427</v>
      </c>
      <c r="D212" s="27" t="n">
        <f aca="false">D211+D209-D210</f>
        <v>87.4212744129453</v>
      </c>
      <c r="E212" s="27" t="n">
        <f aca="false">E211+E209-E210</f>
        <v>194.479243527439</v>
      </c>
      <c r="F212" s="27" t="n">
        <f aca="false">F211+F209-F210</f>
        <v>309.396392046446</v>
      </c>
      <c r="G212" s="27" t="n">
        <f aca="false">G211+G209-G210</f>
        <v>414.347039024592</v>
      </c>
    </row>
    <row r="213" customFormat="false" ht="15" hidden="false" customHeight="false" outlineLevel="0" collapsed="false">
      <c r="A213" s="0" t="s">
        <v>429</v>
      </c>
      <c r="C213" s="6" t="n">
        <f aca="false">MIN(MAX(0,C212-Inputs!$C$79)*Inputs!$C$80,C203-C210)</f>
        <v>0</v>
      </c>
      <c r="D213" s="6" t="n">
        <f aca="false">MIN(MAX(0,D212-Inputs!$C$79)*Inputs!$C$80,D203-D210)</f>
        <v>0</v>
      </c>
      <c r="E213" s="6" t="n">
        <f aca="false">MIN(MAX(0,E212-Inputs!$C$79)*Inputs!$C$80,E203-E210)</f>
        <v>70.8594326455793</v>
      </c>
      <c r="F213" s="6" t="n">
        <f aca="false">MIN(MAX(0,F212-Inputs!$C$79)*Inputs!$C$80,F203-F210)</f>
        <v>157.047294034835</v>
      </c>
      <c r="G213" s="6" t="n">
        <f aca="false">MIN(MAX(0,G212-Inputs!$C$79)*Inputs!$C$80,G203-G210)</f>
        <v>235.760279268444</v>
      </c>
    </row>
    <row r="214" customFormat="false" ht="15" hidden="false" customHeight="false" outlineLevel="0" collapsed="false">
      <c r="A214" s="0" t="s">
        <v>430</v>
      </c>
      <c r="C214" s="27" t="n">
        <f aca="false">C203-C210-C213</f>
        <v>1926.6993006993</v>
      </c>
      <c r="D214" s="27" t="n">
        <f aca="false">D203-D210-D213</f>
        <v>1907.28671328671</v>
      </c>
      <c r="E214" s="27" t="n">
        <f aca="false">E203-E210-E213</f>
        <v>1817.01469322855</v>
      </c>
      <c r="F214" s="27" t="n">
        <f aca="false">F203-F210-F213</f>
        <v>1640.55481178112</v>
      </c>
      <c r="G214" s="27" t="n">
        <f aca="false">G203-G210-G213</f>
        <v>1385.38194510009</v>
      </c>
    </row>
    <row r="215" customFormat="false" ht="15" hidden="false" customHeight="false" outlineLevel="0" collapsed="false">
      <c r="A215" s="0" t="s">
        <v>431</v>
      </c>
      <c r="C215" s="27" t="n">
        <f aca="false">$B$180</f>
        <v>458.741258741259</v>
      </c>
      <c r="D215" s="27" t="n">
        <f aca="false">$B$180</f>
        <v>458.741258741259</v>
      </c>
      <c r="E215" s="27" t="n">
        <f aca="false">$B$180</f>
        <v>458.741258741259</v>
      </c>
      <c r="F215" s="27" t="n">
        <f aca="false">$B$180</f>
        <v>458.741258741259</v>
      </c>
      <c r="G215" s="27" t="n">
        <f aca="false">$B$180</f>
        <v>458.741258741259</v>
      </c>
    </row>
    <row r="216" customFormat="false" ht="15" hidden="false" customHeight="false" outlineLevel="0" collapsed="false">
      <c r="A216" s="0" t="s">
        <v>432</v>
      </c>
      <c r="C216" s="27" t="n">
        <f aca="false">C212-C213</f>
        <v>60.5436391496427</v>
      </c>
      <c r="D216" s="27" t="n">
        <f aca="false">D212-D213</f>
        <v>87.4212744129453</v>
      </c>
      <c r="E216" s="27" t="n">
        <f aca="false">E212-E213</f>
        <v>123.61981088186</v>
      </c>
      <c r="F216" s="27" t="n">
        <f aca="false">F212-F213</f>
        <v>152.349098011612</v>
      </c>
      <c r="G216" s="27" t="n">
        <f aca="false">G212-G213</f>
        <v>178.586759756148</v>
      </c>
    </row>
    <row r="217" customFormat="false" ht="15" hidden="false" customHeight="false" outlineLevel="0" collapsed="false">
      <c r="A217" s="0" t="s">
        <v>433</v>
      </c>
      <c r="C217" s="39" t="n">
        <f aca="false">C214+C215-C216</f>
        <v>2324.89692029092</v>
      </c>
      <c r="D217" s="39" t="n">
        <f aca="false">D214+D215-D216</f>
        <v>2278.60669761503</v>
      </c>
      <c r="E217" s="39" t="n">
        <f aca="false">E214+E215-E216</f>
        <v>2152.13614108795</v>
      </c>
      <c r="F217" s="39" t="n">
        <f aca="false">F214+F215-F216</f>
        <v>1946.94697251077</v>
      </c>
      <c r="G217" s="39" t="n">
        <f aca="false">G214+G215-G216</f>
        <v>1665.5364440852</v>
      </c>
    </row>
    <row r="218" customFormat="false" ht="15" hidden="false" customHeight="false" outlineLevel="0" collapsed="false">
      <c r="A218" s="0" t="s">
        <v>434</v>
      </c>
      <c r="C218" s="32" t="n">
        <f aca="false">(C214+C215)/C196</f>
        <v>10.7677162661593</v>
      </c>
      <c r="D218" s="32" t="n">
        <f aca="false">(D214+D215)/D196</f>
        <v>7.95043858685156</v>
      </c>
      <c r="E218" s="32" t="n">
        <f aca="false">(E214+E215)/E196</f>
        <v>5.88969369300069</v>
      </c>
      <c r="F218" s="32" t="n">
        <f aca="false">(F214+F215)/F196</f>
        <v>4.42839874232323</v>
      </c>
      <c r="G218" s="32" t="n">
        <f aca="false">(G214+G215)/G196</f>
        <v>3.29965505278217</v>
      </c>
    </row>
    <row r="219" customFormat="false" ht="15" hidden="false" customHeight="false" outlineLevel="0" collapsed="false">
      <c r="A219" s="0" t="s">
        <v>435</v>
      </c>
      <c r="C219" s="32" t="n">
        <f aca="false">C196*C201/C206</f>
        <v>1.12127822866082</v>
      </c>
      <c r="D219" s="32" t="n">
        <f aca="false">D196*D201/D206</f>
        <v>1.65576603741967</v>
      </c>
      <c r="E219" s="32" t="n">
        <f aca="false">E196*E201/E206</f>
        <v>2.25635861988502</v>
      </c>
      <c r="F219" s="32" t="n">
        <f aca="false">F196*F201/F206</f>
        <v>2.91208232044901</v>
      </c>
      <c r="G219" s="32" t="n">
        <f aca="false">G196*G201/G206</f>
        <v>3.70422585960776</v>
      </c>
    </row>
    <row r="221" customFormat="false" ht="15" hidden="false" customHeight="false" outlineLevel="0" collapsed="false">
      <c r="A221" s="7" t="s">
        <v>436</v>
      </c>
      <c r="B221" s="7" t="s">
        <v>437</v>
      </c>
      <c r="C221" s="7" t="s">
        <v>438</v>
      </c>
      <c r="D221" s="7" t="s">
        <v>439</v>
      </c>
      <c r="E221" s="7" t="s">
        <v>440</v>
      </c>
      <c r="F221" s="7" t="s">
        <v>441</v>
      </c>
      <c r="G221" s="7" t="s">
        <v>442</v>
      </c>
      <c r="H221" s="7" t="s">
        <v>443</v>
      </c>
    </row>
    <row r="222" customFormat="false" ht="15" hidden="false" customHeight="false" outlineLevel="0" collapsed="false">
      <c r="B222" s="4" t="n">
        <f aca="false">'LBO grid'!$A$6</f>
        <v>14</v>
      </c>
      <c r="C222" s="33" t="n">
        <f aca="false">B222*G196</f>
        <v>7824.3708632544</v>
      </c>
      <c r="D222" s="5" t="n">
        <f aca="false">G217+Inputs!$C$83</f>
        <v>1725.7364440852</v>
      </c>
      <c r="E222" s="33" t="n">
        <f aca="false">C222-D222</f>
        <v>6098.63441916919</v>
      </c>
      <c r="F222" s="5" t="n">
        <f aca="false">E222*(1-Inputs!$C$82)</f>
        <v>5610.74366563566</v>
      </c>
      <c r="G222" s="32" t="n">
        <f aca="false">F222/$B$188</f>
        <v>2.03751422280975</v>
      </c>
      <c r="H222" s="40" t="n">
        <f aca="false">G222^(1/Inputs!$C$85)-1</f>
        <v>0.16164605222909</v>
      </c>
    </row>
    <row r="223" customFormat="false" ht="15" hidden="false" customHeight="false" outlineLevel="0" collapsed="false">
      <c r="B223" s="4" t="n">
        <f aca="false">'LBO grid'!$A$7</f>
        <v>16</v>
      </c>
      <c r="C223" s="33" t="n">
        <f aca="false">B223*G196</f>
        <v>8942.1381294336</v>
      </c>
      <c r="D223" s="5" t="n">
        <f aca="false">G217+Inputs!$C$83</f>
        <v>1725.7364440852</v>
      </c>
      <c r="E223" s="33" t="n">
        <f aca="false">C223-D223</f>
        <v>7216.40168534839</v>
      </c>
      <c r="F223" s="5" t="n">
        <f aca="false">E223*(1-Inputs!$C$82)</f>
        <v>6639.08955052052</v>
      </c>
      <c r="G223" s="32" t="n">
        <f aca="false">F223/$B$188</f>
        <v>2.4109530201039</v>
      </c>
      <c r="H223" s="40" t="n">
        <f aca="false">G223^(1/Inputs!$C$85)-1</f>
        <v>0.203540721229722</v>
      </c>
    </row>
    <row r="224" customFormat="false" ht="15" hidden="false" customHeight="false" outlineLevel="0" collapsed="false">
      <c r="B224" s="4" t="n">
        <f aca="false">'LBO grid'!$A$8</f>
        <v>18</v>
      </c>
      <c r="C224" s="33" t="n">
        <f aca="false">B224*G196</f>
        <v>10059.9053956128</v>
      </c>
      <c r="D224" s="5" t="n">
        <f aca="false">G217+Inputs!$C$83</f>
        <v>1725.7364440852</v>
      </c>
      <c r="E224" s="33" t="n">
        <f aca="false">C224-D224</f>
        <v>8334.1689515276</v>
      </c>
      <c r="F224" s="5" t="n">
        <f aca="false">E224*(1-Inputs!$C$82)</f>
        <v>7667.43543540539</v>
      </c>
      <c r="G224" s="32" t="n">
        <f aca="false">F224/$B$188</f>
        <v>2.78439181739806</v>
      </c>
      <c r="H224" s="40" t="n">
        <f aca="false">G224^(1/Inputs!$C$85)-1</f>
        <v>0.240587616831935</v>
      </c>
    </row>
    <row r="225" customFormat="false" ht="15" hidden="false" customHeight="false" outlineLevel="0" collapsed="false">
      <c r="B225" s="4" t="n">
        <f aca="false">'LBO grid'!$A$9</f>
        <v>20</v>
      </c>
      <c r="C225" s="33" t="n">
        <f aca="false">B225*G196</f>
        <v>11177.672661792</v>
      </c>
      <c r="D225" s="5" t="n">
        <f aca="false">G217+Inputs!$C$83</f>
        <v>1725.7364440852</v>
      </c>
      <c r="E225" s="33" t="n">
        <f aca="false">C225-D225</f>
        <v>9451.9362177068</v>
      </c>
      <c r="F225" s="5" t="n">
        <f aca="false">E225*(1-Inputs!$C$82)</f>
        <v>8695.78132029025</v>
      </c>
      <c r="G225" s="32" t="n">
        <f aca="false">F225/$B$188</f>
        <v>3.15783061469222</v>
      </c>
      <c r="H225" s="40" t="n">
        <f aca="false">G225^(1/Inputs!$C$85)-1</f>
        <v>0.273897515794818</v>
      </c>
    </row>
    <row r="226" customFormat="false" ht="15" hidden="false" customHeight="false" outlineLevel="0" collapsed="false">
      <c r="B226" s="4" t="n">
        <f aca="false">'LBO grid'!$A$10</f>
        <v>22</v>
      </c>
      <c r="C226" s="33" t="n">
        <f aca="false">B226*G196</f>
        <v>12295.4399279712</v>
      </c>
      <c r="D226" s="5" t="n">
        <f aca="false">G217+Inputs!$C$83</f>
        <v>1725.7364440852</v>
      </c>
      <c r="E226" s="33" t="n">
        <f aca="false">C226-D226</f>
        <v>10569.703483886</v>
      </c>
      <c r="F226" s="5" t="n">
        <f aca="false">E226*(1-Inputs!$C$82)</f>
        <v>9724.12720517512</v>
      </c>
      <c r="G226" s="32" t="n">
        <f aca="false">F226/$B$188</f>
        <v>3.53126941198637</v>
      </c>
      <c r="H226" s="40" t="n">
        <f aca="false">G226^(1/Inputs!$C$85)-1</f>
        <v>0.304229033107436</v>
      </c>
    </row>
    <row r="228" customFormat="false" ht="15" hidden="false" customHeight="false" outlineLevel="0" collapsed="false">
      <c r="A228" s="0" t="s">
        <v>444</v>
      </c>
      <c r="B228" s="27" t="n">
        <f aca="false">MIN(C216:G216)</f>
        <v>60.5436391496427</v>
      </c>
    </row>
    <row r="231" customFormat="false" ht="15" hidden="false" customHeight="false" outlineLevel="0" collapsed="false">
      <c r="A231" s="36" t="s">
        <v>466</v>
      </c>
    </row>
    <row r="232" customFormat="false" ht="15" hidden="false" customHeight="false" outlineLevel="0" collapsed="false">
      <c r="A232" s="0" t="s">
        <v>404</v>
      </c>
      <c r="B232" s="5" t="n">
        <f aca="false">'LBO grid'!$F$3</f>
        <v>2700</v>
      </c>
    </row>
    <row r="233" customFormat="false" ht="15" hidden="false" customHeight="false" outlineLevel="0" collapsed="false">
      <c r="A233" s="0" t="s">
        <v>121</v>
      </c>
      <c r="B233" s="5" t="n">
        <f aca="false">B232*Inputs!$C$66/(Inputs!$C$66+Inputs!$C$71)</f>
        <v>2183.91608391608</v>
      </c>
    </row>
    <row r="234" customFormat="false" ht="15" hidden="false" customHeight="false" outlineLevel="0" collapsed="false">
      <c r="A234" s="0" t="s">
        <v>131</v>
      </c>
      <c r="B234" s="33" t="n">
        <f aca="false">B232-B233</f>
        <v>516.083916083916</v>
      </c>
    </row>
    <row r="235" customFormat="false" ht="15" hidden="false" customHeight="false" outlineLevel="0" collapsed="false">
      <c r="A235" s="0" t="s">
        <v>405</v>
      </c>
      <c r="B235" s="5" t="n">
        <f aca="false">Inputs!$C$7*Inputs!$C$99</f>
        <v>5315</v>
      </c>
    </row>
    <row r="236" customFormat="false" ht="15" hidden="false" customHeight="false" outlineLevel="0" collapsed="false">
      <c r="A236" s="0" t="s">
        <v>406</v>
      </c>
      <c r="B236" s="5" t="n">
        <f aca="false">B235-Inputs!$C$100</f>
        <v>4992</v>
      </c>
    </row>
    <row r="237" customFormat="false" ht="15" hidden="false" customHeight="false" outlineLevel="0" collapsed="false">
      <c r="A237" s="0" t="s">
        <v>407</v>
      </c>
      <c r="B237" s="6" t="n">
        <f aca="false">B233*(1-Inputs!$C$68)+B234*(1-Inputs!$C$73)</f>
        <v>13.5</v>
      </c>
    </row>
    <row r="238" customFormat="false" ht="15" hidden="false" customHeight="false" outlineLevel="0" collapsed="false">
      <c r="A238" s="0" t="s">
        <v>408</v>
      </c>
      <c r="B238" s="6" t="n">
        <f aca="false">B232*Inputs!$C$76</f>
        <v>67.5</v>
      </c>
    </row>
    <row r="239" customFormat="false" ht="15" hidden="false" customHeight="false" outlineLevel="0" collapsed="false">
      <c r="A239" s="0" t="s">
        <v>409</v>
      </c>
      <c r="B239" s="6" t="n">
        <f aca="false">B236*Inputs!$C$77</f>
        <v>49.92</v>
      </c>
    </row>
    <row r="240" customFormat="false" ht="15" hidden="false" customHeight="false" outlineLevel="0" collapsed="false">
      <c r="A240" s="0" t="s">
        <v>410</v>
      </c>
      <c r="B240" s="37" t="n">
        <f aca="false">B235+B237+B238+B239</f>
        <v>5445.92</v>
      </c>
    </row>
    <row r="241" customFormat="false" ht="15" hidden="false" customHeight="false" outlineLevel="0" collapsed="false">
      <c r="A241" s="0" t="s">
        <v>411</v>
      </c>
      <c r="B241" s="6" t="n">
        <f aca="false">Inputs!$C$78-Inputs!$C$79</f>
        <v>283.2</v>
      </c>
    </row>
    <row r="242" customFormat="false" ht="15" hidden="false" customHeight="false" outlineLevel="0" collapsed="false">
      <c r="A242" s="0" t="s">
        <v>412</v>
      </c>
      <c r="B242" s="37" t="n">
        <f aca="false">B240-B232-B241</f>
        <v>2462.72</v>
      </c>
    </row>
    <row r="243" customFormat="false" ht="15" hidden="false" customHeight="false" outlineLevel="0" collapsed="false">
      <c r="A243" s="0" t="s">
        <v>413</v>
      </c>
      <c r="B243" s="24" t="n">
        <f aca="false">B242/B240</f>
        <v>0.452213767370802</v>
      </c>
    </row>
    <row r="244" customFormat="false" ht="15" hidden="false" customHeight="false" outlineLevel="0" collapsed="false">
      <c r="A244" s="0" t="s">
        <v>414</v>
      </c>
      <c r="B244" s="4" t="n">
        <f aca="false">B232/Inputs!$C$12</f>
        <v>18.4931506849315</v>
      </c>
    </row>
    <row r="245" customFormat="false" ht="15" hidden="false" customHeight="false" outlineLevel="0" collapsed="false">
      <c r="A245" s="0" t="s">
        <v>415</v>
      </c>
      <c r="B245" s="4" t="n">
        <f aca="false">B232/Inputs!$C$33</f>
        <v>3.45180260802864</v>
      </c>
    </row>
    <row r="247" customFormat="false" ht="15" hidden="false" customHeight="false" outlineLevel="0" collapsed="false">
      <c r="A247" s="7" t="s">
        <v>47</v>
      </c>
      <c r="B247" s="7" t="s">
        <v>229</v>
      </c>
      <c r="C247" s="7" t="s">
        <v>230</v>
      </c>
      <c r="D247" s="7" t="s">
        <v>231</v>
      </c>
      <c r="E247" s="7" t="s">
        <v>232</v>
      </c>
      <c r="F247" s="7" t="s">
        <v>233</v>
      </c>
      <c r="G247" s="7" t="s">
        <v>234</v>
      </c>
    </row>
    <row r="248" customFormat="false" ht="15" hidden="false" customHeight="false" outlineLevel="0" collapsed="false">
      <c r="A248" s="0" t="s">
        <v>173</v>
      </c>
      <c r="B248" s="6" t="n">
        <f aca="false">History!D5</f>
        <v>689.5</v>
      </c>
      <c r="C248" s="27" t="n">
        <f aca="false">B248*(1+C249)</f>
        <v>820.505</v>
      </c>
      <c r="D248" s="27" t="n">
        <f aca="false">C248*(1+D249)</f>
        <v>959.99085</v>
      </c>
      <c r="E248" s="27" t="n">
        <f aca="false">D248*(1+E249)</f>
        <v>1103.9894775</v>
      </c>
      <c r="F248" s="27" t="n">
        <f aca="false">E248*(1+F249)</f>
        <v>1247.508109575</v>
      </c>
      <c r="G248" s="27" t="n">
        <f aca="false">F248*(1+G249)</f>
        <v>1397.209082724</v>
      </c>
    </row>
    <row r="249" customFormat="false" ht="15" hidden="false" customHeight="false" outlineLevel="0" collapsed="false">
      <c r="A249" s="0" t="s">
        <v>174</v>
      </c>
      <c r="C249" s="3" t="n">
        <f aca="false">Inputs!$F$88</f>
        <v>0.19</v>
      </c>
      <c r="D249" s="3" t="n">
        <f aca="false">Inputs!$G$88</f>
        <v>0.17</v>
      </c>
      <c r="E249" s="3" t="n">
        <f aca="false">Inputs!$H$88</f>
        <v>0.15</v>
      </c>
      <c r="F249" s="3" t="n">
        <f aca="false">Inputs!$I$88</f>
        <v>0.13</v>
      </c>
      <c r="G249" s="3" t="n">
        <f aca="false">Inputs!$J$88</f>
        <v>0.12</v>
      </c>
    </row>
    <row r="250" customFormat="false" ht="15" hidden="false" customHeight="false" outlineLevel="0" collapsed="false">
      <c r="A250" s="0" t="s">
        <v>237</v>
      </c>
      <c r="C250" s="27" t="n">
        <f aca="false">C248*C251</f>
        <v>221.53635</v>
      </c>
      <c r="D250" s="27" t="n">
        <f aca="false">D248*D251</f>
        <v>297.5971635</v>
      </c>
      <c r="E250" s="27" t="n">
        <f aca="false">E248*E251</f>
        <v>386.396317125</v>
      </c>
      <c r="F250" s="27" t="n">
        <f aca="false">F248*F251</f>
        <v>474.0530816385</v>
      </c>
      <c r="G250" s="27" t="n">
        <f aca="false">G248*G251</f>
        <v>558.8836330896</v>
      </c>
    </row>
    <row r="251" customFormat="false" ht="15" hidden="false" customHeight="false" outlineLevel="0" collapsed="false">
      <c r="A251" s="0" t="s">
        <v>178</v>
      </c>
      <c r="C251" s="3" t="n">
        <f aca="false">Inputs!$F$89</f>
        <v>0.27</v>
      </c>
      <c r="D251" s="3" t="n">
        <f aca="false">Inputs!$G$89</f>
        <v>0.31</v>
      </c>
      <c r="E251" s="3" t="n">
        <f aca="false">Inputs!$H$89</f>
        <v>0.35</v>
      </c>
      <c r="F251" s="3" t="n">
        <f aca="false">Inputs!$I$89</f>
        <v>0.38</v>
      </c>
      <c r="G251" s="3" t="n">
        <f aca="false">Inputs!$J$89</f>
        <v>0.4</v>
      </c>
    </row>
    <row r="252" customFormat="false" ht="15" hidden="false" customHeight="false" outlineLevel="0" collapsed="false">
      <c r="A252" s="0" t="s">
        <v>242</v>
      </c>
      <c r="C252" s="6" t="n">
        <f aca="false">C248*Inputs!$C$101</f>
        <v>19.8729639721465</v>
      </c>
      <c r="D252" s="6" t="n">
        <f aca="false">D248*Inputs!$C$101</f>
        <v>23.2513678474114</v>
      </c>
      <c r="E252" s="6" t="n">
        <f aca="false">E248*Inputs!$C$101</f>
        <v>26.7390730245232</v>
      </c>
      <c r="F252" s="6" t="n">
        <f aca="false">F248*Inputs!$C$101</f>
        <v>30.2151525177112</v>
      </c>
      <c r="G252" s="6" t="n">
        <f aca="false">G248*Inputs!$C$101</f>
        <v>33.8409708198365</v>
      </c>
    </row>
    <row r="253" customFormat="false" ht="15" hidden="false" customHeight="false" outlineLevel="0" collapsed="false">
      <c r="A253" s="0" t="s">
        <v>243</v>
      </c>
      <c r="C253" s="6" t="n">
        <f aca="false">(C248-B248)*Inputs!$C$46</f>
        <v>13.1005</v>
      </c>
      <c r="D253" s="6" t="n">
        <f aca="false">(D248-C248)*Inputs!$C$46</f>
        <v>13.948585</v>
      </c>
      <c r="E253" s="6" t="n">
        <f aca="false">(E248-D248)*Inputs!$C$46</f>
        <v>14.39986275</v>
      </c>
      <c r="F253" s="6" t="n">
        <f aca="false">(F248-E248)*Inputs!$C$46</f>
        <v>14.3518632075</v>
      </c>
      <c r="G253" s="6" t="n">
        <f aca="false">(G248-F248)*Inputs!$C$46</f>
        <v>14.9700973149</v>
      </c>
    </row>
    <row r="254" customFormat="false" ht="15" hidden="false" customHeight="false" outlineLevel="0" collapsed="false">
      <c r="A254" s="0" t="s">
        <v>416</v>
      </c>
      <c r="C254" s="6" t="n">
        <f aca="false">C248*Inputs!$C$102</f>
        <v>33.5356267029973</v>
      </c>
      <c r="D254" s="6" t="n">
        <f aca="false">D248*Inputs!$C$102</f>
        <v>39.2366832425068</v>
      </c>
      <c r="E254" s="6" t="n">
        <f aca="false">E248*Inputs!$C$102</f>
        <v>45.1221857288828</v>
      </c>
      <c r="F254" s="6" t="n">
        <f aca="false">F248*Inputs!$C$102</f>
        <v>50.9880698736376</v>
      </c>
      <c r="G254" s="6" t="n">
        <f aca="false">G248*Inputs!$C$102</f>
        <v>57.1066382584741</v>
      </c>
    </row>
    <row r="255" customFormat="false" ht="15" hidden="false" customHeight="false" outlineLevel="0" collapsed="false">
      <c r="A255" s="0" t="s">
        <v>417</v>
      </c>
      <c r="C255" s="38" t="n">
        <f aca="false">Inputs!$C$84</f>
        <v>0.75</v>
      </c>
      <c r="D255" s="34" t="n">
        <f aca="false">1</f>
        <v>1</v>
      </c>
      <c r="E255" s="34" t="n">
        <f aca="false">1</f>
        <v>1</v>
      </c>
      <c r="F255" s="34" t="n">
        <f aca="false">1</f>
        <v>1</v>
      </c>
      <c r="G255" s="34" t="n">
        <f aca="false">1</f>
        <v>1</v>
      </c>
    </row>
    <row r="256" customFormat="false" ht="15" hidden="false" customHeight="false" outlineLevel="0" collapsed="false">
      <c r="A256" s="0" t="s">
        <v>418</v>
      </c>
      <c r="C256" s="22" t="n">
        <f aca="false">Inputs!$F$75</f>
        <v>0.046</v>
      </c>
      <c r="D256" s="22" t="n">
        <f aca="false">Inputs!$G$75</f>
        <v>0.039</v>
      </c>
      <c r="E256" s="22" t="n">
        <f aca="false">Inputs!$H$75</f>
        <v>0.036</v>
      </c>
      <c r="F256" s="22" t="n">
        <f aca="false">Inputs!$I$75</f>
        <v>0.035</v>
      </c>
      <c r="G256" s="22" t="n">
        <f aca="false">Inputs!$J$75</f>
        <v>0.035</v>
      </c>
    </row>
    <row r="257" customFormat="false" ht="15" hidden="false" customHeight="false" outlineLevel="0" collapsed="false">
      <c r="A257" s="0" t="s">
        <v>419</v>
      </c>
      <c r="C257" s="27" t="n">
        <f aca="false">$B$233</f>
        <v>2183.91608391608</v>
      </c>
      <c r="D257" s="27" t="n">
        <f aca="false">C268</f>
        <v>2167.53671328671</v>
      </c>
      <c r="E257" s="27" t="n">
        <f aca="false">D268</f>
        <v>2145.69755244755</v>
      </c>
      <c r="F257" s="27" t="n">
        <f aca="false">E268</f>
        <v>2104.80026840337</v>
      </c>
      <c r="G257" s="27" t="n">
        <f aca="false">F268</f>
        <v>1959.01632759078</v>
      </c>
    </row>
    <row r="258" customFormat="false" ht="15" hidden="false" customHeight="false" outlineLevel="0" collapsed="false">
      <c r="A258" s="0" t="s">
        <v>420</v>
      </c>
      <c r="C258" s="6" t="n">
        <f aca="false">C257*(C256+Inputs!$C$67)*C255</f>
        <v>128.578059440559</v>
      </c>
      <c r="D258" s="6" t="n">
        <f aca="false">D257*(D256+Inputs!$C$67)*D255</f>
        <v>154.978875</v>
      </c>
      <c r="E258" s="6" t="n">
        <f aca="false">E257*(E256+Inputs!$C$67)*E255</f>
        <v>146.980282342657</v>
      </c>
      <c r="F258" s="6" t="n">
        <f aca="false">F257*(F256+Inputs!$C$67)*F255</f>
        <v>142.074018117228</v>
      </c>
      <c r="G258" s="6" t="n">
        <f aca="false">G257*(G256+Inputs!$C$67)*G255</f>
        <v>132.233602112378</v>
      </c>
    </row>
    <row r="259" customFormat="false" ht="15" hidden="false" customHeight="false" outlineLevel="0" collapsed="false">
      <c r="A259" s="0" t="s">
        <v>421</v>
      </c>
      <c r="C259" s="6" t="n">
        <f aca="false">C269*(C256+Inputs!$C$72)*C255</f>
        <v>38.1256993006993</v>
      </c>
      <c r="D259" s="6" t="n">
        <f aca="false">D269*(D256+Inputs!$C$72)*D255</f>
        <v>47.2216783216783</v>
      </c>
      <c r="E259" s="6" t="n">
        <f aca="false">E269*(E256+Inputs!$C$72)*E255</f>
        <v>45.6734265734266</v>
      </c>
      <c r="F259" s="6" t="n">
        <f aca="false">F269*(F256+Inputs!$C$72)*F255</f>
        <v>45.1573426573426</v>
      </c>
      <c r="G259" s="6" t="n">
        <f aca="false">G269*(G256+Inputs!$C$72)*G255</f>
        <v>45.1573426573426</v>
      </c>
    </row>
    <row r="260" customFormat="false" ht="15" hidden="false" customHeight="false" outlineLevel="0" collapsed="false">
      <c r="A260" s="0" t="s">
        <v>422</v>
      </c>
      <c r="C260" s="27" t="n">
        <f aca="false">C258+C259</f>
        <v>166.703758741259</v>
      </c>
      <c r="D260" s="27" t="n">
        <f aca="false">D258+D259</f>
        <v>202.200553321678</v>
      </c>
      <c r="E260" s="27" t="n">
        <f aca="false">E258+E259</f>
        <v>192.653708916084</v>
      </c>
      <c r="F260" s="27" t="n">
        <f aca="false">F258+F259</f>
        <v>187.23136077457</v>
      </c>
      <c r="G260" s="27" t="n">
        <f aca="false">G258+G259</f>
        <v>177.390944769721</v>
      </c>
    </row>
    <row r="261" customFormat="false" ht="15" hidden="false" customHeight="false" outlineLevel="0" collapsed="false">
      <c r="A261" s="0" t="s">
        <v>423</v>
      </c>
      <c r="C261" s="6" t="n">
        <f aca="false">MIN(C260,Inputs!$C$45*C250*C255)</f>
        <v>49.84567875</v>
      </c>
      <c r="D261" s="6" t="n">
        <f aca="false">MIN(D260,Inputs!$C$45*D250*D255)</f>
        <v>89.27914905</v>
      </c>
      <c r="E261" s="6" t="n">
        <f aca="false">MIN(E260,Inputs!$C$45*E250*E255)</f>
        <v>115.9188951375</v>
      </c>
      <c r="F261" s="6" t="n">
        <f aca="false">MIN(F260,Inputs!$C$45*F250*F255)</f>
        <v>142.21592449155</v>
      </c>
      <c r="G261" s="6" t="n">
        <f aca="false">MIN(G260,Inputs!$C$45*G250*G255)</f>
        <v>167.66508992688</v>
      </c>
    </row>
    <row r="262" customFormat="false" ht="15" hidden="false" customHeight="false" outlineLevel="0" collapsed="false">
      <c r="A262" s="0" t="s">
        <v>424</v>
      </c>
      <c r="C262" s="6" t="n">
        <f aca="false">MAX(0,(C250-C254)*C255-C261)*Inputs!$C$44</f>
        <v>22.788715930688</v>
      </c>
      <c r="D262" s="6" t="n">
        <f aca="false">MAX(0,(D250-D254)*D255-D261)*Inputs!$C$44</f>
        <v>42.2703328018733</v>
      </c>
      <c r="E262" s="6" t="n">
        <f aca="false">MAX(0,(E250-E254)*E255-E261)*Inputs!$C$44</f>
        <v>56.3388090646543</v>
      </c>
      <c r="F262" s="6" t="n">
        <f aca="false">MAX(0,(F250-F254)*F255-F261)*Inputs!$C$44</f>
        <v>70.2122718183281</v>
      </c>
      <c r="G262" s="6" t="n">
        <f aca="false">MAX(0,(G250-G254)*G255-G261)*Inputs!$C$44</f>
        <v>83.5279762260615</v>
      </c>
    </row>
    <row r="263" customFormat="false" ht="15" hidden="false" customHeight="false" outlineLevel="0" collapsed="false">
      <c r="A263" s="0" t="s">
        <v>425</v>
      </c>
      <c r="C263" s="28" t="n">
        <f aca="false">(C250-C252+C253-Inputs!$C$81)*C255-C260-C262</f>
        <v>-43.4195601510566</v>
      </c>
      <c r="D263" s="28" t="n">
        <f aca="false">(D250-D252+D253-Inputs!$C$81)*D255-D260-D262</f>
        <v>23.8234945290369</v>
      </c>
      <c r="E263" s="28" t="n">
        <f aca="false">(E250-E252+E253-Inputs!$C$81)*E255-E260-E262</f>
        <v>105.064588869739</v>
      </c>
      <c r="F263" s="28" t="n">
        <f aca="false">(F250-F252+F253-Inputs!$C$81)*F255-F260-F262</f>
        <v>180.74615973539</v>
      </c>
      <c r="G263" s="28" t="n">
        <f aca="false">(G250-G252+G253-Inputs!$C$81)*G255-G260-G262</f>
        <v>259.093838588881</v>
      </c>
    </row>
    <row r="264" customFormat="false" ht="15" hidden="false" customHeight="false" outlineLevel="0" collapsed="false">
      <c r="A264" s="0" t="s">
        <v>426</v>
      </c>
      <c r="C264" s="6" t="n">
        <f aca="false">MIN(C257,$B$233*Inputs!$C$70*C255)</f>
        <v>16.3793706293706</v>
      </c>
      <c r="D264" s="6" t="n">
        <f aca="false">MIN(D257,$B$233*Inputs!$C$70*D255)</f>
        <v>21.8391608391608</v>
      </c>
      <c r="E264" s="6" t="n">
        <f aca="false">MIN(E257,$B$233*Inputs!$C$70*E255)</f>
        <v>21.8391608391608</v>
      </c>
      <c r="F264" s="6" t="n">
        <f aca="false">MIN(F257,$B$233*Inputs!$C$70*F255)</f>
        <v>21.8391608391608</v>
      </c>
      <c r="G264" s="6" t="n">
        <f aca="false">MIN(G257,$B$233*Inputs!$C$70*G255)</f>
        <v>21.8391608391608</v>
      </c>
    </row>
    <row r="265" customFormat="false" ht="15" hidden="false" customHeight="false" outlineLevel="0" collapsed="false">
      <c r="A265" s="0" t="s">
        <v>427</v>
      </c>
      <c r="C265" s="6" t="n">
        <f aca="false">Inputs!$C$79</f>
        <v>100</v>
      </c>
      <c r="D265" s="27" t="n">
        <f aca="false">C270</f>
        <v>40.2010692195728</v>
      </c>
      <c r="E265" s="27" t="n">
        <f aca="false">D270</f>
        <v>42.1854029094488</v>
      </c>
      <c r="F265" s="27" t="n">
        <f aca="false">E270</f>
        <v>106.352707735007</v>
      </c>
      <c r="G265" s="27" t="n">
        <f aca="false">F270</f>
        <v>141.314926657809</v>
      </c>
    </row>
    <row r="266" customFormat="false" ht="15" hidden="false" customHeight="false" outlineLevel="0" collapsed="false">
      <c r="A266" s="0" t="s">
        <v>428</v>
      </c>
      <c r="C266" s="27" t="n">
        <f aca="false">C265+C263-C264</f>
        <v>40.2010692195728</v>
      </c>
      <c r="D266" s="27" t="n">
        <f aca="false">D265+D263-D264</f>
        <v>42.1854029094488</v>
      </c>
      <c r="E266" s="27" t="n">
        <f aca="false">E265+E263-E264</f>
        <v>125.410830940026</v>
      </c>
      <c r="F266" s="27" t="n">
        <f aca="false">F265+F263-F264</f>
        <v>265.259706631236</v>
      </c>
      <c r="G266" s="27" t="n">
        <f aca="false">G265+G263-G264</f>
        <v>378.56960440753</v>
      </c>
    </row>
    <row r="267" customFormat="false" ht="15" hidden="false" customHeight="false" outlineLevel="0" collapsed="false">
      <c r="A267" s="0" t="s">
        <v>429</v>
      </c>
      <c r="C267" s="6" t="n">
        <f aca="false">MIN(MAX(0,C266-Inputs!$C$79)*Inputs!$C$80,C257-C264)</f>
        <v>0</v>
      </c>
      <c r="D267" s="6" t="n">
        <f aca="false">MIN(MAX(0,D266-Inputs!$C$79)*Inputs!$C$80,D257-D264)</f>
        <v>0</v>
      </c>
      <c r="E267" s="6" t="n">
        <f aca="false">MIN(MAX(0,E266-Inputs!$C$79)*Inputs!$C$80,E257-E264)</f>
        <v>19.0581232050199</v>
      </c>
      <c r="F267" s="6" t="n">
        <f aca="false">MIN(MAX(0,F266-Inputs!$C$79)*Inputs!$C$80,F257-F264)</f>
        <v>123.944779973427</v>
      </c>
      <c r="G267" s="6" t="n">
        <f aca="false">MIN(MAX(0,G266-Inputs!$C$79)*Inputs!$C$80,G257-G264)</f>
        <v>208.927203305647</v>
      </c>
    </row>
    <row r="268" customFormat="false" ht="15" hidden="false" customHeight="false" outlineLevel="0" collapsed="false">
      <c r="A268" s="0" t="s">
        <v>430</v>
      </c>
      <c r="C268" s="27" t="n">
        <f aca="false">C257-C264-C267</f>
        <v>2167.53671328671</v>
      </c>
      <c r="D268" s="27" t="n">
        <f aca="false">D257-D264-D267</f>
        <v>2145.69755244755</v>
      </c>
      <c r="E268" s="27" t="n">
        <f aca="false">E257-E264-E267</f>
        <v>2104.80026840337</v>
      </c>
      <c r="F268" s="27" t="n">
        <f aca="false">F257-F264-F267</f>
        <v>1959.01632759078</v>
      </c>
      <c r="G268" s="27" t="n">
        <f aca="false">G257-G264-G267</f>
        <v>1728.24996344598</v>
      </c>
    </row>
    <row r="269" customFormat="false" ht="15" hidden="false" customHeight="false" outlineLevel="0" collapsed="false">
      <c r="A269" s="0" t="s">
        <v>431</v>
      </c>
      <c r="C269" s="27" t="n">
        <f aca="false">$B$234</f>
        <v>516.083916083916</v>
      </c>
      <c r="D269" s="27" t="n">
        <f aca="false">$B$234</f>
        <v>516.083916083916</v>
      </c>
      <c r="E269" s="27" t="n">
        <f aca="false">$B$234</f>
        <v>516.083916083916</v>
      </c>
      <c r="F269" s="27" t="n">
        <f aca="false">$B$234</f>
        <v>516.083916083916</v>
      </c>
      <c r="G269" s="27" t="n">
        <f aca="false">$B$234</f>
        <v>516.083916083916</v>
      </c>
    </row>
    <row r="270" customFormat="false" ht="15" hidden="false" customHeight="false" outlineLevel="0" collapsed="false">
      <c r="A270" s="0" t="s">
        <v>432</v>
      </c>
      <c r="C270" s="27" t="n">
        <f aca="false">C266-C267</f>
        <v>40.2010692195728</v>
      </c>
      <c r="D270" s="27" t="n">
        <f aca="false">D266-D267</f>
        <v>42.1854029094488</v>
      </c>
      <c r="E270" s="27" t="n">
        <f aca="false">E266-E267</f>
        <v>106.352707735007</v>
      </c>
      <c r="F270" s="27" t="n">
        <f aca="false">F266-F267</f>
        <v>141.314926657809</v>
      </c>
      <c r="G270" s="27" t="n">
        <f aca="false">G266-G267</f>
        <v>169.642401101882</v>
      </c>
    </row>
    <row r="271" customFormat="false" ht="15" hidden="false" customHeight="false" outlineLevel="0" collapsed="false">
      <c r="A271" s="0" t="s">
        <v>433</v>
      </c>
      <c r="C271" s="39" t="n">
        <f aca="false">C268+C269-C270</f>
        <v>2643.41956015106</v>
      </c>
      <c r="D271" s="39" t="n">
        <f aca="false">D268+D269-D270</f>
        <v>2619.59606562202</v>
      </c>
      <c r="E271" s="39" t="n">
        <f aca="false">E268+E269-E270</f>
        <v>2514.53147675228</v>
      </c>
      <c r="F271" s="39" t="n">
        <f aca="false">F268+F269-F270</f>
        <v>2333.78531701689</v>
      </c>
      <c r="G271" s="39" t="n">
        <f aca="false">G268+G269-G270</f>
        <v>2074.69147842801</v>
      </c>
    </row>
    <row r="272" customFormat="false" ht="15" hidden="false" customHeight="false" outlineLevel="0" collapsed="false">
      <c r="A272" s="0" t="s">
        <v>434</v>
      </c>
      <c r="C272" s="32" t="n">
        <f aca="false">(C268+C269)/C250</f>
        <v>12.1136807994292</v>
      </c>
      <c r="D272" s="32" t="n">
        <f aca="false">(D268+D269)/D250</f>
        <v>8.94424341020801</v>
      </c>
      <c r="E272" s="32" t="n">
        <f aca="false">(E268+E269)/E250</f>
        <v>6.78289121383998</v>
      </c>
      <c r="F272" s="32" t="n">
        <f aca="false">(F268+F269)/F250</f>
        <v>5.22114577363331</v>
      </c>
      <c r="G272" s="32" t="n">
        <f aca="false">(G268+G269)/G250</f>
        <v>4.01574450681772</v>
      </c>
    </row>
    <row r="273" customFormat="false" ht="15" hidden="false" customHeight="false" outlineLevel="0" collapsed="false">
      <c r="A273" s="0" t="s">
        <v>435</v>
      </c>
      <c r="C273" s="32" t="n">
        <f aca="false">C250*C255/C260</f>
        <v>0.996691758809622</v>
      </c>
      <c r="D273" s="32" t="n">
        <f aca="false">D250*D255/D260</f>
        <v>1.47179203326193</v>
      </c>
      <c r="E273" s="32" t="n">
        <f aca="false">E250*E255/E260</f>
        <v>2.00565210656446</v>
      </c>
      <c r="F273" s="32" t="n">
        <f aca="false">F250*F255/F260</f>
        <v>2.53191067819706</v>
      </c>
      <c r="G273" s="32" t="n">
        <f aca="false">G250*G255/G260</f>
        <v>3.15057588658267</v>
      </c>
    </row>
    <row r="275" customFormat="false" ht="15" hidden="false" customHeight="false" outlineLevel="0" collapsed="false">
      <c r="A275" s="7" t="s">
        <v>436</v>
      </c>
      <c r="B275" s="7" t="s">
        <v>437</v>
      </c>
      <c r="C275" s="7" t="s">
        <v>438</v>
      </c>
      <c r="D275" s="7" t="s">
        <v>439</v>
      </c>
      <c r="E275" s="7" t="s">
        <v>440</v>
      </c>
      <c r="F275" s="7" t="s">
        <v>441</v>
      </c>
      <c r="G275" s="7" t="s">
        <v>442</v>
      </c>
      <c r="H275" s="7" t="s">
        <v>443</v>
      </c>
    </row>
    <row r="276" customFormat="false" ht="15" hidden="false" customHeight="false" outlineLevel="0" collapsed="false">
      <c r="B276" s="4" t="n">
        <f aca="false">'LBO grid'!$A$6</f>
        <v>14</v>
      </c>
      <c r="C276" s="33" t="n">
        <f aca="false">B276*G250</f>
        <v>7824.3708632544</v>
      </c>
      <c r="D276" s="5" t="n">
        <f aca="false">G271+Inputs!$C$83</f>
        <v>2134.89147842801</v>
      </c>
      <c r="E276" s="33" t="n">
        <f aca="false">C276-D276</f>
        <v>5689.47938482639</v>
      </c>
      <c r="F276" s="5" t="n">
        <f aca="false">E276*(1-Inputs!$C$82)</f>
        <v>5234.32103404028</v>
      </c>
      <c r="G276" s="32" t="n">
        <f aca="false">F276/$B$242</f>
        <v>2.12542271717462</v>
      </c>
      <c r="H276" s="40" t="n">
        <f aca="false">G276^(1/Inputs!$C$85)-1</f>
        <v>0.172022249789113</v>
      </c>
    </row>
    <row r="277" customFormat="false" ht="15" hidden="false" customHeight="false" outlineLevel="0" collapsed="false">
      <c r="B277" s="4" t="n">
        <f aca="false">'LBO grid'!$A$7</f>
        <v>16</v>
      </c>
      <c r="C277" s="33" t="n">
        <f aca="false">B277*G250</f>
        <v>8942.1381294336</v>
      </c>
      <c r="D277" s="5" t="n">
        <f aca="false">G271+Inputs!$C$83</f>
        <v>2134.89147842801</v>
      </c>
      <c r="E277" s="33" t="n">
        <f aca="false">C277-D277</f>
        <v>6807.24665100559</v>
      </c>
      <c r="F277" s="5" t="n">
        <f aca="false">E277*(1-Inputs!$C$82)</f>
        <v>6262.66691892514</v>
      </c>
      <c r="G277" s="32" t="n">
        <f aca="false">F277/$B$242</f>
        <v>2.54298780166854</v>
      </c>
      <c r="H277" s="40" t="n">
        <f aca="false">G277^(1/Inputs!$C$85)-1</f>
        <v>0.21712627301005</v>
      </c>
    </row>
    <row r="278" customFormat="false" ht="15" hidden="false" customHeight="false" outlineLevel="0" collapsed="false">
      <c r="B278" s="4" t="n">
        <f aca="false">'LBO grid'!$A$8</f>
        <v>18</v>
      </c>
      <c r="C278" s="33" t="n">
        <f aca="false">B278*G250</f>
        <v>10059.9053956128</v>
      </c>
      <c r="D278" s="5" t="n">
        <f aca="false">G271+Inputs!$C$83</f>
        <v>2134.89147842801</v>
      </c>
      <c r="E278" s="33" t="n">
        <f aca="false">C278-D278</f>
        <v>7925.01391718479</v>
      </c>
      <c r="F278" s="5" t="n">
        <f aca="false">E278*(1-Inputs!$C$82)</f>
        <v>7291.01280381001</v>
      </c>
      <c r="G278" s="32" t="n">
        <f aca="false">F278/$B$242</f>
        <v>2.96055288616246</v>
      </c>
      <c r="H278" s="40" t="n">
        <f aca="false">G278^(1/Inputs!$C$85)-1</f>
        <v>0.256713799428665</v>
      </c>
    </row>
    <row r="279" customFormat="false" ht="15" hidden="false" customHeight="false" outlineLevel="0" collapsed="false">
      <c r="B279" s="4" t="n">
        <f aca="false">'LBO grid'!$A$9</f>
        <v>20</v>
      </c>
      <c r="C279" s="33" t="n">
        <f aca="false">B279*G250</f>
        <v>11177.672661792</v>
      </c>
      <c r="D279" s="5" t="n">
        <f aca="false">G271+Inputs!$C$83</f>
        <v>2134.89147842801</v>
      </c>
      <c r="E279" s="33" t="n">
        <f aca="false">C279-D279</f>
        <v>9042.78118336399</v>
      </c>
      <c r="F279" s="5" t="n">
        <f aca="false">E279*(1-Inputs!$C$82)</f>
        <v>8319.35868869487</v>
      </c>
      <c r="G279" s="32" t="n">
        <f aca="false">F279/$B$242</f>
        <v>3.37811797065638</v>
      </c>
      <c r="H279" s="40" t="n">
        <f aca="false">G279^(1/Inputs!$C$85)-1</f>
        <v>0.292111406629668</v>
      </c>
    </row>
    <row r="280" customFormat="false" ht="15" hidden="false" customHeight="false" outlineLevel="0" collapsed="false">
      <c r="B280" s="4" t="n">
        <f aca="false">'LBO grid'!$A$10</f>
        <v>22</v>
      </c>
      <c r="C280" s="33" t="n">
        <f aca="false">B280*G250</f>
        <v>12295.4399279712</v>
      </c>
      <c r="D280" s="5" t="n">
        <f aca="false">G271+Inputs!$C$83</f>
        <v>2134.89147842801</v>
      </c>
      <c r="E280" s="33" t="n">
        <f aca="false">C280-D280</f>
        <v>10160.5484495432</v>
      </c>
      <c r="F280" s="5" t="n">
        <f aca="false">E280*(1-Inputs!$C$82)</f>
        <v>9347.70457357973</v>
      </c>
      <c r="G280" s="32" t="n">
        <f aca="false">F280/$B$242</f>
        <v>3.79568305515029</v>
      </c>
      <c r="H280" s="40" t="n">
        <f aca="false">G280^(1/Inputs!$C$85)-1</f>
        <v>0.324206688249359</v>
      </c>
    </row>
    <row r="282" customFormat="false" ht="15" hidden="false" customHeight="false" outlineLevel="0" collapsed="false">
      <c r="A282" s="0" t="s">
        <v>444</v>
      </c>
      <c r="B282" s="27" t="n">
        <f aca="false">MIN(C270:G270)</f>
        <v>40.2010692195728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7.3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0" t="s">
        <v>468</v>
      </c>
    </row>
    <row r="4" customFormat="false" ht="15" hidden="false" customHeight="false" outlineLevel="0" collapsed="false">
      <c r="A4" s="0" t="s">
        <v>469</v>
      </c>
      <c r="B4" s="5" t="n">
        <f aca="false">LBO!$F$49</f>
        <v>7987.06458783157</v>
      </c>
    </row>
    <row r="6" customFormat="false" ht="15" hidden="false" customHeight="false" outlineLevel="0" collapsed="false">
      <c r="A6" s="0" t="s">
        <v>470</v>
      </c>
      <c r="B6" s="15" t="n">
        <v>0.2</v>
      </c>
    </row>
    <row r="7" customFormat="false" ht="15" hidden="false" customHeight="false" outlineLevel="0" collapsed="false">
      <c r="A7" s="0" t="s">
        <v>471</v>
      </c>
      <c r="B7" s="5" t="n">
        <f aca="false">B4/(1+B6)^Inputs!$C$85</f>
        <v>3359.51262627751</v>
      </c>
    </row>
    <row r="8" customFormat="false" ht="15" hidden="false" customHeight="false" outlineLevel="0" collapsed="false">
      <c r="A8" s="0" t="s">
        <v>472</v>
      </c>
      <c r="B8" s="26" t="n">
        <f aca="false">(B7+LBO!$K$3+LBO!$B$14-LBO!$B$10-LBO!$B$11+Inputs!$C$77*Inputs!$C$100)/(Inputs!$C$99*(1+Inputs!$C$77))</f>
        <v>8.26748374275135</v>
      </c>
    </row>
    <row r="9" customFormat="false" ht="15" hidden="false" customHeight="false" outlineLevel="0" collapsed="false">
      <c r="A9" s="0" t="s">
        <v>473</v>
      </c>
      <c r="B9" s="31" t="n">
        <f aca="false">B8*100/Inputs!$C$98</f>
        <v>661.398699420108</v>
      </c>
    </row>
    <row r="10" customFormat="false" ht="15" hidden="false" customHeight="false" outlineLevel="0" collapsed="false">
      <c r="A10" s="0" t="s">
        <v>470</v>
      </c>
      <c r="B10" s="15" t="n">
        <v>0.25</v>
      </c>
    </row>
    <row r="11" customFormat="false" ht="15" hidden="false" customHeight="false" outlineLevel="0" collapsed="false">
      <c r="A11" s="0" t="s">
        <v>471</v>
      </c>
      <c r="B11" s="5" t="n">
        <f aca="false">B4/(1+B10)^Inputs!$C$85</f>
        <v>2767.35347078492</v>
      </c>
    </row>
    <row r="12" customFormat="false" ht="15" hidden="false" customHeight="false" outlineLevel="0" collapsed="false">
      <c r="A12" s="0" t="s">
        <v>472</v>
      </c>
      <c r="B12" s="26" t="n">
        <f aca="false">(B11+LBO!$K$3+LBO!$B$14-LBO!$B$10-LBO!$B$11+Inputs!$C$77*Inputs!$C$100)/(Inputs!$C$99*(1+Inputs!$C$77))</f>
        <v>7.41258336644525</v>
      </c>
    </row>
    <row r="13" customFormat="false" ht="15" hidden="false" customHeight="false" outlineLevel="0" collapsed="false">
      <c r="A13" s="0" t="s">
        <v>473</v>
      </c>
      <c r="B13" s="31" t="n">
        <f aca="false">B12*100/Inputs!$C$98</f>
        <v>593.00666931562</v>
      </c>
    </row>
    <row r="14" customFormat="false" ht="15" hidden="false" customHeight="false" outlineLevel="0" collapsed="false">
      <c r="A14" s="0" t="s">
        <v>470</v>
      </c>
      <c r="B14" s="3" t="n">
        <f aca="false">Inputs!$C$63</f>
        <v>0.2</v>
      </c>
    </row>
    <row r="15" customFormat="false" ht="15" hidden="false" customHeight="false" outlineLevel="0" collapsed="false">
      <c r="A15" s="0" t="s">
        <v>471</v>
      </c>
      <c r="B15" s="5" t="n">
        <f aca="false">B4/(1+B14)^Inputs!$C$85</f>
        <v>3359.51262627751</v>
      </c>
    </row>
    <row r="16" customFormat="false" ht="15" hidden="false" customHeight="false" outlineLevel="0" collapsed="false">
      <c r="A16" s="0" t="s">
        <v>472</v>
      </c>
      <c r="B16" s="26" t="n">
        <f aca="false">(B15+LBO!$K$3+LBO!$B$14-LBO!$B$10-LBO!$B$11+Inputs!$C$77*Inputs!$C$100)/(Inputs!$C$99*(1+Inputs!$C$77))</f>
        <v>8.26748374275135</v>
      </c>
    </row>
    <row r="17" customFormat="false" ht="15" hidden="false" customHeight="false" outlineLevel="0" collapsed="false">
      <c r="A17" s="0" t="s">
        <v>473</v>
      </c>
      <c r="B17" s="31" t="n">
        <f aca="false">B16*100/Inputs!$C$98</f>
        <v>661.398699420108</v>
      </c>
    </row>
    <row r="19" customFormat="false" ht="15" hidden="false" customHeight="false" outlineLevel="0" collapsed="false">
      <c r="A19" s="0" t="s">
        <v>3</v>
      </c>
      <c r="B19" s="2" t="n">
        <f aca="false">Inputs!$C$8</f>
        <v>620</v>
      </c>
    </row>
    <row r="20" customFormat="false" ht="15" hidden="false" customHeight="false" outlineLevel="0" collapsed="false">
      <c r="A20" s="0" t="s">
        <v>474</v>
      </c>
      <c r="B20" s="3" t="n">
        <f aca="false">LBO!$H$49</f>
        <v>0.228844889161838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475</v>
      </c>
    </row>
    <row r="3" customFormat="false" ht="15" hidden="false" customHeight="false" outlineLevel="0" collapsed="false">
      <c r="A3" s="7" t="s">
        <v>476</v>
      </c>
      <c r="B3" s="7" t="s">
        <v>477</v>
      </c>
      <c r="C3" s="7" t="s">
        <v>478</v>
      </c>
    </row>
    <row r="4" customFormat="false" ht="15" hidden="false" customHeight="false" outlineLevel="0" collapsed="false">
      <c r="A4" s="0" t="s">
        <v>479</v>
      </c>
      <c r="B4" s="0" t="s">
        <v>480</v>
      </c>
      <c r="C4" s="0" t="s">
        <v>481</v>
      </c>
    </row>
    <row r="5" customFormat="false" ht="15" hidden="false" customHeight="false" outlineLevel="0" collapsed="false">
      <c r="A5" s="0" t="s">
        <v>482</v>
      </c>
      <c r="B5" s="0" t="s">
        <v>483</v>
      </c>
      <c r="C5" s="0" t="s">
        <v>484</v>
      </c>
    </row>
    <row r="6" customFormat="false" ht="15" hidden="false" customHeight="false" outlineLevel="0" collapsed="false">
      <c r="A6" s="0" t="s">
        <v>485</v>
      </c>
      <c r="B6" s="0" t="s">
        <v>486</v>
      </c>
      <c r="C6" s="0" t="s">
        <v>487</v>
      </c>
    </row>
    <row r="7" customFormat="false" ht="15" hidden="false" customHeight="false" outlineLevel="0" collapsed="false">
      <c r="A7" s="0" t="s">
        <v>488</v>
      </c>
      <c r="B7" s="0" t="s">
        <v>489</v>
      </c>
      <c r="C7" s="0" t="s">
        <v>490</v>
      </c>
    </row>
    <row r="8" customFormat="false" ht="15" hidden="false" customHeight="false" outlineLevel="0" collapsed="false">
      <c r="A8" s="0" t="s">
        <v>491</v>
      </c>
      <c r="B8" s="0" t="s">
        <v>492</v>
      </c>
      <c r="C8" s="0" t="s">
        <v>493</v>
      </c>
    </row>
    <row r="9" customFormat="false" ht="15" hidden="false" customHeight="false" outlineLevel="0" collapsed="false">
      <c r="A9" s="0" t="s">
        <v>171</v>
      </c>
      <c r="B9" s="0" t="s">
        <v>494</v>
      </c>
      <c r="C9" s="0" t="s">
        <v>495</v>
      </c>
    </row>
    <row r="10" customFormat="false" ht="15" hidden="false" customHeight="false" outlineLevel="0" collapsed="false">
      <c r="A10" s="0" t="s">
        <v>496</v>
      </c>
      <c r="B10" s="0" t="s">
        <v>497</v>
      </c>
      <c r="C10" s="0" t="s">
        <v>498</v>
      </c>
    </row>
    <row r="11" customFormat="false" ht="15" hidden="false" customHeight="false" outlineLevel="0" collapsed="false">
      <c r="A11" s="0" t="s">
        <v>499</v>
      </c>
      <c r="B11" s="0" t="s">
        <v>500</v>
      </c>
      <c r="C11" s="0" t="s">
        <v>501</v>
      </c>
    </row>
    <row r="12" customFormat="false" ht="15" hidden="false" customHeight="false" outlineLevel="0" collapsed="false">
      <c r="A12" s="0" t="s">
        <v>502</v>
      </c>
      <c r="B12" s="0" t="s">
        <v>503</v>
      </c>
      <c r="C12" s="0" t="s">
        <v>504</v>
      </c>
    </row>
    <row r="13" customFormat="false" ht="15" hidden="false" customHeight="false" outlineLevel="0" collapsed="false">
      <c r="A13" s="0" t="s">
        <v>505</v>
      </c>
      <c r="B13" s="0" t="s">
        <v>506</v>
      </c>
      <c r="C13" s="0" t="s">
        <v>507</v>
      </c>
    </row>
    <row r="14" customFormat="false" ht="15" hidden="false" customHeight="false" outlineLevel="0" collapsed="false">
      <c r="A14" s="0" t="s">
        <v>508</v>
      </c>
      <c r="B14" s="0" t="s">
        <v>509</v>
      </c>
      <c r="C14" s="0" t="s">
        <v>510</v>
      </c>
    </row>
    <row r="15" customFormat="false" ht="15" hidden="false" customHeight="false" outlineLevel="0" collapsed="false">
      <c r="A15" s="0" t="s">
        <v>511</v>
      </c>
      <c r="B15" s="0" t="s">
        <v>512</v>
      </c>
      <c r="C15" s="0" t="s">
        <v>513</v>
      </c>
    </row>
    <row r="16" customFormat="false" ht="15" hidden="false" customHeight="false" outlineLevel="0" collapsed="false">
      <c r="A16" s="0" t="s">
        <v>514</v>
      </c>
      <c r="B16" s="0" t="s">
        <v>515</v>
      </c>
      <c r="C16" s="0" t="s">
        <v>516</v>
      </c>
    </row>
    <row r="17" customFormat="false" ht="15" hidden="false" customHeight="false" outlineLevel="0" collapsed="false">
      <c r="A17" s="0" t="s">
        <v>517</v>
      </c>
      <c r="B17" s="0" t="s">
        <v>518</v>
      </c>
      <c r="C17" s="0" t="s">
        <v>519</v>
      </c>
    </row>
    <row r="18" customFormat="false" ht="15" hidden="false" customHeight="false" outlineLevel="0" collapsed="false">
      <c r="A18" s="0" t="s">
        <v>279</v>
      </c>
      <c r="B18" s="0" t="s">
        <v>520</v>
      </c>
      <c r="C18" s="0" t="s">
        <v>521</v>
      </c>
    </row>
    <row r="19" customFormat="false" ht="15" hidden="false" customHeight="false" outlineLevel="0" collapsed="false">
      <c r="A19" s="0" t="s">
        <v>283</v>
      </c>
      <c r="B19" s="0" t="s">
        <v>522</v>
      </c>
      <c r="C19" s="0" t="s">
        <v>523</v>
      </c>
    </row>
    <row r="20" customFormat="false" ht="15" hidden="false" customHeight="false" outlineLevel="0" collapsed="false">
      <c r="A20" s="0" t="s">
        <v>524</v>
      </c>
      <c r="B20" s="0" t="s">
        <v>525</v>
      </c>
      <c r="C20" s="0" t="s">
        <v>526</v>
      </c>
    </row>
    <row r="21" customFormat="false" ht="15" hidden="false" customHeight="false" outlineLevel="0" collapsed="false">
      <c r="A21" s="0" t="s">
        <v>287</v>
      </c>
      <c r="B21" s="0" t="s">
        <v>527</v>
      </c>
      <c r="C21" s="0" t="s">
        <v>528</v>
      </c>
    </row>
    <row r="22" customFormat="false" ht="15" hidden="false" customHeight="false" outlineLevel="0" collapsed="false">
      <c r="A22" s="0" t="s">
        <v>291</v>
      </c>
      <c r="B22" s="0" t="s">
        <v>529</v>
      </c>
      <c r="C22" s="0" t="s">
        <v>530</v>
      </c>
    </row>
    <row r="23" customFormat="false" ht="15" hidden="false" customHeight="false" outlineLevel="0" collapsed="false">
      <c r="A23" s="0" t="s">
        <v>531</v>
      </c>
      <c r="B23" s="0" t="s">
        <v>532</v>
      </c>
      <c r="C23" s="0" t="s">
        <v>533</v>
      </c>
    </row>
    <row r="24" customFormat="false" ht="15" hidden="false" customHeight="false" outlineLevel="0" collapsed="false">
      <c r="A24" s="0" t="s">
        <v>42</v>
      </c>
      <c r="B24" s="0" t="s">
        <v>534</v>
      </c>
      <c r="C24" s="0" t="s">
        <v>535</v>
      </c>
    </row>
    <row r="25" customFormat="false" ht="15" hidden="false" customHeight="false" outlineLevel="0" collapsed="false">
      <c r="A25" s="0" t="s">
        <v>296</v>
      </c>
      <c r="B25" s="0" t="s">
        <v>536</v>
      </c>
      <c r="C25" s="0" t="s">
        <v>537</v>
      </c>
    </row>
    <row r="26" customFormat="false" ht="15" hidden="false" customHeight="false" outlineLevel="0" collapsed="false">
      <c r="A26" s="0" t="s">
        <v>299</v>
      </c>
      <c r="B26" s="0" t="s">
        <v>538</v>
      </c>
      <c r="C26" s="0" t="s">
        <v>539</v>
      </c>
    </row>
    <row r="27" customFormat="false" ht="15" hidden="false" customHeight="false" outlineLevel="0" collapsed="false">
      <c r="A27" s="0" t="s">
        <v>540</v>
      </c>
      <c r="B27" s="0" t="s">
        <v>541</v>
      </c>
      <c r="C27" s="0" t="s">
        <v>542</v>
      </c>
    </row>
    <row r="28" customFormat="false" ht="15" hidden="false" customHeight="false" outlineLevel="0" collapsed="false">
      <c r="A28" s="0" t="s">
        <v>543</v>
      </c>
      <c r="B28" s="0" t="s">
        <v>544</v>
      </c>
      <c r="C28" s="0" t="s">
        <v>545</v>
      </c>
    </row>
    <row r="29" customFormat="false" ht="15" hidden="false" customHeight="false" outlineLevel="0" collapsed="false">
      <c r="A29" s="0" t="s">
        <v>546</v>
      </c>
      <c r="B29" s="0" t="s">
        <v>547</v>
      </c>
      <c r="C29" s="0" t="s">
        <v>548</v>
      </c>
    </row>
    <row r="30" customFormat="false" ht="15" hidden="false" customHeight="false" outlineLevel="0" collapsed="false">
      <c r="A30" s="0" t="s">
        <v>549</v>
      </c>
      <c r="B30" s="0" t="s">
        <v>550</v>
      </c>
      <c r="C30" s="0" t="s">
        <v>551</v>
      </c>
    </row>
    <row r="31" customFormat="false" ht="15" hidden="false" customHeight="false" outlineLevel="0" collapsed="false">
      <c r="A31" s="0" t="s">
        <v>552</v>
      </c>
      <c r="B31" s="0" t="s">
        <v>553</v>
      </c>
      <c r="C31" s="0" t="s">
        <v>554</v>
      </c>
    </row>
    <row r="32" customFormat="false" ht="15" hidden="false" customHeight="false" outlineLevel="0" collapsed="false">
      <c r="A32" s="0" t="s">
        <v>555</v>
      </c>
      <c r="B32" s="0" t="s">
        <v>556</v>
      </c>
      <c r="C32" s="0" t="s">
        <v>557</v>
      </c>
    </row>
    <row r="33" customFormat="false" ht="15" hidden="false" customHeight="false" outlineLevel="0" collapsed="false">
      <c r="A33" s="0" t="s">
        <v>558</v>
      </c>
      <c r="B33" s="0" t="s">
        <v>559</v>
      </c>
      <c r="C33" s="0" t="s">
        <v>560</v>
      </c>
    </row>
    <row r="34" customFormat="false" ht="15" hidden="false" customHeight="false" outlineLevel="0" collapsed="false">
      <c r="A34" s="0" t="s">
        <v>561</v>
      </c>
      <c r="B34" s="0" t="s">
        <v>562</v>
      </c>
      <c r="C34" s="0" t="s">
        <v>563</v>
      </c>
    </row>
    <row r="35" customFormat="false" ht="15" hidden="false" customHeight="false" outlineLevel="0" collapsed="false">
      <c r="A35" s="0" t="s">
        <v>564</v>
      </c>
      <c r="B35" s="0" t="s">
        <v>565</v>
      </c>
      <c r="C35" s="0" t="s">
        <v>566</v>
      </c>
    </row>
    <row r="36" customFormat="false" ht="15" hidden="false" customHeight="false" outlineLevel="0" collapsed="false">
      <c r="A36" s="0" t="s">
        <v>567</v>
      </c>
      <c r="B36" s="0" t="s">
        <v>568</v>
      </c>
      <c r="C36" s="0" t="s">
        <v>569</v>
      </c>
    </row>
    <row r="37" customFormat="false" ht="15" hidden="false" customHeight="false" outlineLevel="0" collapsed="false">
      <c r="A37" s="0" t="s">
        <v>570</v>
      </c>
      <c r="B37" s="0" t="s">
        <v>571</v>
      </c>
      <c r="C37" s="0" t="s">
        <v>572</v>
      </c>
    </row>
    <row r="38" customFormat="false" ht="15" hidden="false" customHeight="false" outlineLevel="0" collapsed="false">
      <c r="A38" s="0" t="s">
        <v>573</v>
      </c>
      <c r="B38" s="0" t="s">
        <v>574</v>
      </c>
      <c r="C38" s="0" t="s">
        <v>575</v>
      </c>
    </row>
    <row r="39" customFormat="false" ht="15" hidden="false" customHeight="false" outlineLevel="0" collapsed="false">
      <c r="A39" s="0" t="s">
        <v>576</v>
      </c>
      <c r="B39" s="0" t="s">
        <v>577</v>
      </c>
      <c r="C39" s="0" t="s">
        <v>578</v>
      </c>
    </row>
    <row r="40" customFormat="false" ht="15" hidden="false" customHeight="false" outlineLevel="0" collapsed="false">
      <c r="A40" s="0" t="s">
        <v>579</v>
      </c>
      <c r="B40" s="0" t="s">
        <v>580</v>
      </c>
      <c r="C40" s="0" t="s">
        <v>581</v>
      </c>
    </row>
    <row r="42" customFormat="false" ht="15" hidden="false" customHeight="false" outlineLevel="0" collapsed="false">
      <c r="A42" s="0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2026-10-27T19:58:44Z</dcterms:created>
  <dc:creator>openpyxl</dc:creator>
  <dc:description/>
  <dc:language>en-GB</dc:language>
  <cp:lastModifiedBy/>
  <dcterms:modified xsi:type="dcterms:W3CDTF">2026-10-27T19:58:44Z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