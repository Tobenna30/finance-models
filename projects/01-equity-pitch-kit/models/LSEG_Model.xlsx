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Divisions" sheetId="3" state="visible" r:id="rId3"/>
    <sheet xmlns:r="http://schemas.openxmlformats.org/officeDocument/2006/relationships" name="Quarterly" sheetId="4" state="visible" r:id="rId4"/>
    <sheet xmlns:r="http://schemas.openxmlformats.org/officeDocument/2006/relationships" name="Q3 2026 update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DCF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Stub ex-Tradeweb" sheetId="9" state="visible" r:id="rId9"/>
    <sheet xmlns:r="http://schemas.openxmlformats.org/officeDocument/2006/relationships" name="Valuation history" sheetId="10" state="visible" r:id="rId10"/>
    <sheet xmlns:r="http://schemas.openxmlformats.org/officeDocument/2006/relationships" name="Industry evidence" sheetId="11" state="visible" r:id="rId11"/>
    <sheet xmlns:r="http://schemas.openxmlformats.org/officeDocument/2006/relationships" name="Trackers" sheetId="12" state="visible" r:id="rId12"/>
    <sheet xmlns:r="http://schemas.openxmlformats.org/officeDocument/2006/relationships" name="Comps" sheetId="13" state="visible" r:id="rId13"/>
    <sheet xmlns:r="http://schemas.openxmlformats.org/officeDocument/2006/relationships" name="vs Consensus" sheetId="14" state="visible" r:id="rId14"/>
    <sheet xmlns:r="http://schemas.openxmlformats.org/officeDocument/2006/relationships" name="Reverse DCF" sheetId="15" state="visible" r:id="rId15"/>
    <sheet xmlns:r="http://schemas.openxmlformats.org/officeDocument/2006/relationships" name="Scenarios" sheetId="16" state="visible" r:id="rId16"/>
    <sheet xmlns:r="http://schemas.openxmlformats.org/officeDocument/2006/relationships" name="Pair trade" sheetId="17" state="visible" r:id="rId17"/>
    <sheet xmlns:r="http://schemas.openxmlformats.org/officeDocument/2006/relationships" name="Sourc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;(0.0%);&quot;–&quot;"/>
    <numFmt numFmtId="165" formatCode="#,##0&quot;p&quot;"/>
    <numFmt numFmtId="166" formatCode="0.0"/>
    <numFmt numFmtId="167" formatCode="#,##0;(#,##0);&quot;–&quot;"/>
    <numFmt numFmtId="168" formatCode="0.0&quot;x&quot;"/>
    <numFmt numFmtId="169" formatCode="0.000"/>
    <numFmt numFmtId="170" formatCode="#,##0.0&quot;p&quot;"/>
    <numFmt numFmtId="171" formatCode="0.00&quot;x&quot;"/>
    <numFmt numFmtId="172" formatCode="0.0%"/>
    <numFmt numFmtId="173" formatCode="0.0000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000FF"/>
    </font>
    <font>
      <name val="Calibri"/>
      <family val="2"/>
      <b val="1"/>
      <color theme="1"/>
      <sz val="11"/>
      <scheme val="minor"/>
    </font>
    <font>
      <b val="1"/>
      <color rgb="000000FF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7" fillId="0" borderId="0" pivotButton="0" quotePrefix="0" xfId="0"/>
    <xf numFmtId="164" fontId="7" fillId="0" borderId="0" pivotButton="0" quotePrefix="0" xfId="0"/>
    <xf numFmtId="170" fontId="7" fillId="0" borderId="0" pivotButton="0" quotePrefix="0" xfId="0"/>
    <xf numFmtId="168" fontId="7" fillId="0" borderId="0" pivotButton="0" quotePrefix="0" xfId="0"/>
    <xf numFmtId="169" fontId="7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2" fontId="4" fillId="0" borderId="0" pivotButton="0" quotePrefix="0" xfId="0"/>
    <xf numFmtId="166" fontId="4" fillId="0" borderId="0" pivotButton="0" quotePrefix="0" xfId="0"/>
    <xf numFmtId="164" fontId="0" fillId="4" borderId="0" pivotButton="0" quotePrefix="0" xfId="0"/>
    <xf numFmtId="167" fontId="4" fillId="0" borderId="0" pivotButton="0" quotePrefix="0" xfId="0"/>
    <xf numFmtId="10" fontId="4" fillId="0" borderId="0" pivotButton="0" quotePrefix="0" xfId="0"/>
    <xf numFmtId="167" fontId="0" fillId="4" borderId="0" pivotButton="0" quotePrefix="0" xfId="0"/>
    <xf numFmtId="1" fontId="4" fillId="0" borderId="0" pivotButton="0" quotePrefix="0" xfId="0"/>
    <xf numFmtId="168" fontId="4" fillId="0" borderId="0" pivotButton="0" quotePrefix="0" xfId="0"/>
    <xf numFmtId="0" fontId="0" fillId="0" borderId="0" applyAlignment="1" pivotButton="0" quotePrefix="0" xfId="0">
      <alignment horizontal="right"/>
    </xf>
    <xf numFmtId="164" fontId="5" fillId="0" borderId="0" pivotButton="0" quotePrefix="0" xfId="0"/>
    <xf numFmtId="164" fontId="6" fillId="0" borderId="0" pivotButton="0" quotePrefix="0" xfId="0"/>
    <xf numFmtId="167" fontId="0" fillId="0" borderId="0" pivotButton="0" quotePrefix="0" xfId="0"/>
    <xf numFmtId="167" fontId="7" fillId="0" borderId="0" pivotButton="0" quotePrefix="0" xfId="0"/>
    <xf numFmtId="167" fontId="5" fillId="0" borderId="1" pivotButton="0" quotePrefix="0" xfId="0"/>
    <xf numFmtId="2" fontId="0" fillId="0" borderId="0" pivotButton="0" quotePrefix="0" xfId="0"/>
    <xf numFmtId="2" fontId="7" fillId="0" borderId="0" pivotButton="0" quotePrefix="0" xfId="0"/>
    <xf numFmtId="169" fontId="0" fillId="0" borderId="0" pivotButton="0" quotePrefix="0" xfId="0"/>
    <xf numFmtId="166" fontId="0" fillId="0" borderId="0" pivotButton="0" quotePrefix="0" xfId="0"/>
    <xf numFmtId="167" fontId="5" fillId="0" borderId="0" pivotButton="0" quotePrefix="0" xfId="0"/>
    <xf numFmtId="167" fontId="6" fillId="0" borderId="0" pivotButton="0" quotePrefix="0" xfId="0"/>
    <xf numFmtId="167" fontId="6" fillId="0" borderId="1" pivotButton="0" quotePrefix="0" xfId="0"/>
    <xf numFmtId="167" fontId="3" fillId="0" borderId="1" pivotButton="0" quotePrefix="0" xfId="0"/>
    <xf numFmtId="170" fontId="0" fillId="0" borderId="0" pivotButton="0" quotePrefix="0" xfId="0"/>
    <xf numFmtId="165" fontId="0" fillId="0" borderId="0" pivotButton="0" quotePrefix="0" xfId="0"/>
    <xf numFmtId="170" fontId="6" fillId="0" borderId="0" pivotButton="0" quotePrefix="0" xfId="0"/>
    <xf numFmtId="170" fontId="5" fillId="0" borderId="0" pivotButton="0" quotePrefix="0" xfId="0"/>
    <xf numFmtId="170" fontId="4" fillId="0" borderId="0" pivotButton="0" quotePrefix="0" xfId="0"/>
    <xf numFmtId="167" fontId="0" fillId="0" borderId="1" pivotButton="0" quotePrefix="0" xfId="0"/>
    <xf numFmtId="168" fontId="0" fillId="0" borderId="0" pivotButton="0" quotePrefix="0" xfId="0"/>
    <xf numFmtId="10" fontId="0" fillId="0" borderId="0" pivotButton="0" quotePrefix="0" xfId="0"/>
    <xf numFmtId="167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71" fontId="0" fillId="0" borderId="0" pivotButton="0" quotePrefix="0" xfId="0"/>
    <xf numFmtId="168" fontId="3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pivotButton="0" quotePrefix="0" xfId="0"/>
    <xf numFmtId="173" fontId="0" fillId="0" borderId="0" pivotButton="0" quotePrefix="0" xfId="0"/>
    <xf numFmtId="17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LSEG trailing P/E</a:t>
            </a:r>
          </a:p>
        </rich>
      </tx>
    </title>
    <plotArea>
      <lineChart>
        <grouping val="standard"/>
        <ser>
          <idx val="0"/>
          <order val="0"/>
          <tx>
            <strRef>
              <f>'Valuation history'!D4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'Valuation history'!$A$5:$A$62</f>
            </numRef>
          </cat>
          <val>
            <numRef>
              <f>'Valuation history'!$D$5:$D$62</f>
            </numRef>
          </val>
        </ser>
        <ser>
          <idx val="1"/>
          <order val="1"/>
          <tx>
            <strRef>
              <f>'Valuation history'!E4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'Valuation history'!$A$5:$A$62</f>
            </numRef>
          </cat>
          <val>
            <numRef>
              <f>'Valuation history'!$E$5:$E$62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 of open roles by function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'Trackers'!C5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'Trackers'!$A$6:$A$13</f>
            </numRef>
          </cat>
          <val>
            <numRef>
              <f>'Trackers'!$C$6:$C$13</f>
            </numRef>
          </val>
        </ser>
        <ser>
          <idx val="1"/>
          <order val="1"/>
          <tx>
            <strRef>
              <f>'Trackers'!E5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'Trackers'!$A$6:$A$13</f>
            </numRef>
          </cat>
          <val>
            <numRef>
              <f>'Trackers'!$E$6:$E$13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Tradeweb stake as % of LSEG market cap</a:t>
            </a:r>
          </a:p>
        </rich>
      </tx>
    </title>
    <plotArea>
      <lineChart>
        <grouping val="standard"/>
        <ser>
          <idx val="0"/>
          <order val="0"/>
          <tx>
            <strRef>
              <f>'Trackers'!F17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'Trackers'!$A$18:$A$162</f>
            </numRef>
          </cat>
          <val>
            <numRef>
              <f>'Trackers'!$F$18:$F$162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LSEG vs FactSet, GBP, Jan 2024 = 100</a:t>
            </a:r>
          </a:p>
        </rich>
      </tx>
    </title>
    <plotArea>
      <lineChart>
        <grouping val="standard"/>
        <ser>
          <idx val="0"/>
          <order val="0"/>
          <tx>
            <strRef>
              <f>'Trackers'!G17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'Trackers'!$A$18:$A$162</f>
            </numRef>
          </cat>
          <val>
            <numRef>
              <f>'Trackers'!$G$18:$G$162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10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16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32</row>
      <rowOff>0</rowOff>
    </from>
    <ext cx="50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London Stock Exchange Group plc (LSEG.L)</t>
        </is>
      </c>
    </row>
    <row r="2">
      <c r="A2" t="inlineStr">
        <is>
          <t>Driver-based model: quarterly build, divisional EBITDA, three statements, DCF, SOTP, reverse DCF, scenarios, pair trade</t>
        </is>
      </c>
    </row>
    <row r="3">
      <c r="A3" t="inlineStr">
        <is>
          <t>Tobenna Agubuche | github.com/Tobenna30/finance-models | Not investment advice</t>
        </is>
      </c>
    </row>
    <row r="5">
      <c r="A5" t="inlineStr">
        <is>
          <t>Scenario selected</t>
        </is>
      </c>
      <c r="B5" s="2">
        <f>CHOOSE(Inputs!$C$7,"Bear","Base","Bull")</f>
        <v/>
      </c>
    </row>
    <row r="6">
      <c r="A6" t="inlineStr">
        <is>
          <t>Share price (p)</t>
        </is>
      </c>
      <c r="B6" s="3">
        <f>Inputs!$C$18</f>
        <v/>
      </c>
    </row>
    <row r="7">
      <c r="A7" t="inlineStr">
        <is>
          <t>DCF fair value (p)</t>
        </is>
      </c>
      <c r="B7" s="3">
        <f>DCF!B23</f>
        <v/>
      </c>
    </row>
    <row r="8">
      <c r="A8" t="inlineStr">
        <is>
          <t>DCF upside</t>
        </is>
      </c>
      <c r="B8" s="4">
        <f>DCF!B25</f>
        <v/>
      </c>
    </row>
    <row r="9">
      <c r="A9" t="inlineStr">
        <is>
          <t>SOTP value (p)</t>
        </is>
      </c>
      <c r="B9" s="3">
        <f>SOTP!B13</f>
        <v/>
      </c>
    </row>
    <row r="10">
      <c r="A10" t="inlineStr">
        <is>
          <t>SOTP upside</t>
        </is>
      </c>
      <c r="B10" s="4">
        <f>SOTP!B14</f>
        <v/>
      </c>
    </row>
    <row r="11">
      <c r="A11" t="inlineStr">
        <is>
          <t>Probability-weighted DCF (p)</t>
        </is>
      </c>
      <c r="B11" s="3">
        <f>Scenarios!B16</f>
        <v/>
      </c>
    </row>
    <row r="12">
      <c r="A12" t="inlineStr">
        <is>
          <t>2026E adj EPS (p)</t>
        </is>
      </c>
      <c r="B12" s="5">
        <f>Model!F20</f>
        <v/>
      </c>
    </row>
    <row r="13">
      <c r="A13" t="inlineStr">
        <is>
          <t>2027E P/E</t>
        </is>
      </c>
      <c r="B13" s="6">
        <f>DCF!B28</f>
        <v/>
      </c>
    </row>
    <row r="14">
      <c r="A14" t="inlineStr">
        <is>
          <t>Net debt / EBITDA 2027E</t>
        </is>
      </c>
      <c r="B14" s="6">
        <f>Model!G55</f>
        <v/>
      </c>
    </row>
    <row r="15">
      <c r="A15" t="inlineStr">
        <is>
          <t>Retention implied by share price</t>
        </is>
      </c>
      <c r="B15" s="4">
        <f>'Reverse DCF'!C5</f>
        <v/>
      </c>
    </row>
    <row r="16">
      <c r="A16" t="inlineStr">
        <is>
          <t>Stub (ex-Tradeweb) forward P/E</t>
        </is>
      </c>
      <c r="B16" s="6">
        <f>'Stub ex-Tradeweb'!B13</f>
        <v/>
      </c>
    </row>
    <row r="17">
      <c r="A17" t="inlineStr">
        <is>
          <t>Trailing P/E vs 5y average</t>
        </is>
      </c>
      <c r="B17" s="6">
        <f>'Valuation history'!I4</f>
        <v/>
      </c>
    </row>
    <row r="18">
      <c r="A18" t="inlineStr">
        <is>
          <t>Balance sheet checks (sum, should be 0)</t>
        </is>
      </c>
      <c r="B18" s="7">
        <f>SUM(Model!E53:Model!J53)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7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LSEG – Model inputs</t>
        </is>
      </c>
    </row>
    <row r="2">
      <c r="A2" t="inlineStr">
        <is>
          <t>Blue = hard-coded input. Tag: S = sourced, A = assumption, D = derived. £m unless stated. Series columns F–J = 2026–2030.</t>
        </is>
      </c>
    </row>
    <row r="4">
      <c r="A4" s="8" t="inlineStr">
        <is>
          <t>Input</t>
        </is>
      </c>
      <c r="B4" s="8" t="inlineStr">
        <is>
          <t>Unit</t>
        </is>
      </c>
      <c r="C4" s="8" t="inlineStr">
        <is>
          <t>Value</t>
        </is>
      </c>
      <c r="D4" s="8" t="inlineStr">
        <is>
          <t>Tag</t>
        </is>
      </c>
      <c r="E4" s="8" t="inlineStr">
        <is>
          <t>Source / note</t>
        </is>
      </c>
      <c r="F4" s="8" t="n">
        <v>2026</v>
      </c>
      <c r="G4" s="8" t="n">
        <v>2027</v>
      </c>
      <c r="H4" s="8" t="n">
        <v>2028</v>
      </c>
      <c r="I4" s="8" t="n">
        <v>2029</v>
      </c>
      <c r="J4" s="8" t="n">
        <v>2030</v>
      </c>
    </row>
    <row r="6">
      <c r="A6" s="9" t="inlineStr">
        <is>
          <t>Scenario (1 = Bear, 2 = Base, 3 = Bull)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</row>
    <row r="7">
      <c r="A7" t="inlineStr">
        <is>
          <t>Scenario</t>
        </is>
      </c>
      <c r="B7" t="inlineStr">
        <is>
          <t>1/2/3</t>
        </is>
      </c>
      <c r="C7" s="11" t="n">
        <v>2</v>
      </c>
      <c r="D7" t="inlineStr">
        <is>
          <t>A</t>
        </is>
      </c>
      <c r="E7" t="inlineStr">
        <is>
          <t>Change this cell to flex the whole model.</t>
        </is>
      </c>
    </row>
    <row r="8">
      <c r="F8" s="12" t="inlineStr">
        <is>
          <t>Bear</t>
        </is>
      </c>
      <c r="G8" s="12" t="inlineStr">
        <is>
          <t>Base</t>
        </is>
      </c>
      <c r="H8" s="12" t="inlineStr">
        <is>
          <t>Bull</t>
        </is>
      </c>
    </row>
    <row r="9">
      <c r="A9" t="inlineStr">
        <is>
          <t>Retention adjustment</t>
        </is>
      </c>
      <c r="B9" t="inlineStr">
        <is>
          <t>%</t>
        </is>
      </c>
      <c r="C9" s="13">
        <f>CHOOSE(Inputs!$C$7,F9,G9,H9)</f>
        <v/>
      </c>
      <c r="D9" t="inlineStr">
        <is>
          <t>A</t>
        </is>
      </c>
      <c r="F9" s="14" t="n">
        <v>-0.018</v>
      </c>
      <c r="G9" s="14" t="n">
        <v>0</v>
      </c>
      <c r="H9" s="14" t="n">
        <v>0.007</v>
      </c>
    </row>
    <row r="10">
      <c r="A10" t="inlineStr">
        <is>
          <t>Workflows extra growth spread</t>
        </is>
      </c>
      <c r="B10" t="inlineStr">
        <is>
          <t>%</t>
        </is>
      </c>
      <c r="C10" s="13">
        <f>CHOOSE(Inputs!$C$7,F10,G10,H10)</f>
        <v/>
      </c>
      <c r="D10" t="inlineStr">
        <is>
          <t>A</t>
        </is>
      </c>
      <c r="F10" s="14" t="n">
        <v>-0.02</v>
      </c>
      <c r="G10" s="14" t="n">
        <v>0</v>
      </c>
      <c r="H10" s="14" t="n">
        <v>0.01</v>
      </c>
    </row>
    <row r="11">
      <c r="A11" t="inlineStr">
        <is>
          <t>Markets volume growth adjustment</t>
        </is>
      </c>
      <c r="B11" t="inlineStr">
        <is>
          <t>%</t>
        </is>
      </c>
      <c r="C11" s="13">
        <f>CHOOSE(Inputs!$C$7,F11,G11,H11)</f>
        <v/>
      </c>
      <c r="D11" t="inlineStr">
        <is>
          <t>A</t>
        </is>
      </c>
      <c r="F11" s="14" t="n">
        <v>-0.03</v>
      </c>
      <c r="G11" s="14" t="n">
        <v>0</v>
      </c>
      <c r="H11" s="14" t="n">
        <v>0.02</v>
      </c>
    </row>
    <row r="12">
      <c r="A12" t="inlineStr">
        <is>
          <t>ETF AUM growth adjustment</t>
        </is>
      </c>
      <c r="B12" t="inlineStr">
        <is>
          <t>%</t>
        </is>
      </c>
      <c r="C12" s="13">
        <f>CHOOSE(Inputs!$C$7,F12,G12,H12)</f>
        <v/>
      </c>
      <c r="D12" t="inlineStr">
        <is>
          <t>A</t>
        </is>
      </c>
      <c r="F12" s="14" t="n">
        <v>-0.06</v>
      </c>
      <c r="G12" s="14" t="n">
        <v>0</v>
      </c>
      <c r="H12" s="14" t="n">
        <v>0.04</v>
      </c>
    </row>
    <row r="13">
      <c r="A13" t="inlineStr">
        <is>
          <t>NTI spread shock (2027)</t>
        </is>
      </c>
      <c r="B13" t="inlineStr">
        <is>
          <t>%</t>
        </is>
      </c>
      <c r="C13" s="13">
        <f>CHOOSE(Inputs!$C$7,F13,G13,H13)</f>
        <v/>
      </c>
      <c r="D13" t="inlineStr">
        <is>
          <t>A</t>
        </is>
      </c>
      <c r="F13" s="14" t="n">
        <v>-0.2</v>
      </c>
      <c r="G13" s="14" t="n">
        <v>0</v>
      </c>
      <c r="H13" s="14" t="n">
        <v>0</v>
      </c>
    </row>
    <row r="14">
      <c r="A14" t="inlineStr">
        <is>
          <t>Divisional margin change per year</t>
        </is>
      </c>
      <c r="B14" t="inlineStr">
        <is>
          <t>%</t>
        </is>
      </c>
      <c r="C14" s="13">
        <f>CHOOSE(Inputs!$C$7,F14,G14,H14)</f>
        <v/>
      </c>
      <c r="D14" t="inlineStr">
        <is>
          <t>A</t>
        </is>
      </c>
      <c r="F14" s="14" t="n">
        <v>-0.004</v>
      </c>
      <c r="G14" s="14" t="n">
        <v>0</v>
      </c>
      <c r="H14" s="14" t="n">
        <v>0.002</v>
      </c>
    </row>
    <row r="15">
      <c r="A15" t="inlineStr">
        <is>
          <t>Terminal growth</t>
        </is>
      </c>
      <c r="B15" t="inlineStr">
        <is>
          <t>%</t>
        </is>
      </c>
      <c r="C15" s="13">
        <f>CHOOSE(Inputs!$C$7,F15,G15,H15)</f>
        <v/>
      </c>
      <c r="D15" t="inlineStr">
        <is>
          <t>A</t>
        </is>
      </c>
      <c r="F15" s="14" t="n">
        <v>0.025</v>
      </c>
      <c r="G15" s="14" t="n">
        <v>0.03</v>
      </c>
      <c r="H15" s="14" t="n">
        <v>0.035</v>
      </c>
    </row>
    <row r="17">
      <c r="A17" s="9" t="inlineStr">
        <is>
          <t>Market data &amp; FX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</row>
    <row r="18">
      <c r="A18" t="inlineStr">
        <is>
          <t>Share price</t>
        </is>
      </c>
      <c r="B18" t="inlineStr">
        <is>
          <t>p</t>
        </is>
      </c>
      <c r="C18" s="15" t="n">
        <v>9510</v>
      </c>
      <c r="D18" t="inlineStr">
        <is>
          <t>S</t>
        </is>
      </c>
      <c r="E18" t="inlineStr">
        <is>
          <t>Alpha Vantage quote LSEG.LON, close 23 Oct 2026</t>
        </is>
      </c>
    </row>
    <row r="19">
      <c r="A19" t="inlineStr">
        <is>
          <t>GBPUSD</t>
        </is>
      </c>
      <c r="B19" t="inlineStr">
        <is>
          <t>$ per £</t>
        </is>
      </c>
      <c r="C19" s="16" t="n">
        <v>1.32</v>
      </c>
      <c r="D19" t="inlineStr">
        <is>
          <t>S</t>
        </is>
      </c>
      <c r="E19" t="inlineStr">
        <is>
          <t>Q3 2026 guidance FX</t>
        </is>
      </c>
    </row>
    <row r="20">
      <c r="A20" t="inlineStr">
        <is>
          <t>EURGBP</t>
        </is>
      </c>
      <c r="B20" t="inlineStr">
        <is>
          <t>€ per £</t>
        </is>
      </c>
      <c r="C20" s="16" t="n">
        <v>1.17</v>
      </c>
      <c r="D20" t="inlineStr">
        <is>
          <t>S</t>
        </is>
      </c>
      <c r="E20" t="inlineStr">
        <is>
          <t>Q3 2026 guidance FX</t>
        </is>
      </c>
    </row>
    <row r="21">
      <c r="A21" t="inlineStr">
        <is>
          <t>Opening shares</t>
        </is>
      </c>
      <c r="B21" t="inlineStr">
        <is>
          <t>m</t>
        </is>
      </c>
      <c r="C21" s="17" t="n">
        <v>510</v>
      </c>
      <c r="D21" t="inlineStr">
        <is>
          <t>S</t>
        </is>
      </c>
      <c r="E21" t="inlineStr">
        <is>
          <t>31 Dec 2025, excl. treasury</t>
        </is>
      </c>
    </row>
    <row r="23">
      <c r="A23" s="9" t="inlineStr">
        <is>
          <t>Q4 2026E reported growth vs Q4 2025 (2026E = 9M actual + Q4E)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</row>
    <row r="24">
      <c r="A24" t="inlineStr">
        <is>
          <t>Q4 growth wf</t>
        </is>
      </c>
      <c r="B24" t="inlineStr">
        <is>
          <t>%</t>
        </is>
      </c>
      <c r="C24" s="14" t="n">
        <v>0.015</v>
      </c>
      <c r="D24" t="inlineStr">
        <is>
          <t>A</t>
        </is>
      </c>
      <c r="E24" t="inlineStr">
        <is>
          <t>Workflows; anchored on Q3 2026 reported growth</t>
        </is>
      </c>
    </row>
    <row r="25">
      <c r="A25" t="inlineStr">
        <is>
          <t>Q4 growth df</t>
        </is>
      </c>
      <c r="B25" t="inlineStr">
        <is>
          <t>%</t>
        </is>
      </c>
      <c r="C25" s="14" t="n">
        <v>0.065</v>
      </c>
      <c r="D25" t="inlineStr">
        <is>
          <t>A</t>
        </is>
      </c>
      <c r="E25" t="inlineStr">
        <is>
          <t>Data &amp; Feeds; anchored on Q3 2026 reported growth</t>
        </is>
      </c>
    </row>
    <row r="26">
      <c r="A26" t="inlineStr">
        <is>
          <t>Q4 growth an</t>
        </is>
      </c>
      <c r="B26" t="inlineStr">
        <is>
          <t>%</t>
        </is>
      </c>
      <c r="C26" s="14" t="n">
        <v>0.05</v>
      </c>
      <c r="D26" t="inlineStr">
        <is>
          <t>A</t>
        </is>
      </c>
      <c r="E26" t="inlineStr">
        <is>
          <t>Analytics; anchored on Q3 2026 reported growth</t>
        </is>
      </c>
    </row>
    <row r="27">
      <c r="A27" t="inlineStr">
        <is>
          <t>Q4 growth fs</t>
        </is>
      </c>
      <c r="B27" t="inlineStr">
        <is>
          <t>%</t>
        </is>
      </c>
      <c r="C27" s="14" t="n">
        <v>0.07000000000000001</v>
      </c>
      <c r="D27" t="inlineStr">
        <is>
          <t>A</t>
        </is>
      </c>
      <c r="E27" t="inlineStr">
        <is>
          <t>FTSE Russell Subscription; anchored on Q3 2026 reported growth</t>
        </is>
      </c>
    </row>
    <row r="28">
      <c r="A28" t="inlineStr">
        <is>
          <t>Q4 growth fa</t>
        </is>
      </c>
      <c r="B28" t="inlineStr">
        <is>
          <t>%</t>
        </is>
      </c>
      <c r="C28" s="14" t="n">
        <v>0.12</v>
      </c>
      <c r="D28" t="inlineStr">
        <is>
          <t>A</t>
        </is>
      </c>
      <c r="E28" t="inlineStr">
        <is>
          <t>FTSE Russell Asset-based; anchored on Q3 2026 reported growth</t>
        </is>
      </c>
    </row>
    <row r="29">
      <c r="A29" t="inlineStr">
        <is>
          <t>Q4 growth ri</t>
        </is>
      </c>
      <c r="B29" t="inlineStr">
        <is>
          <t>%</t>
        </is>
      </c>
      <c r="C29" s="14" t="n">
        <v>0.09</v>
      </c>
      <c r="D29" t="inlineStr">
        <is>
          <t>A</t>
        </is>
      </c>
      <c r="E29" t="inlineStr">
        <is>
          <t>Risk Intelligence; anchored on Q3 2026 reported growth</t>
        </is>
      </c>
    </row>
    <row r="30">
      <c r="A30" t="inlineStr">
        <is>
          <t>Q4 growth eq</t>
        </is>
      </c>
      <c r="B30" t="inlineStr">
        <is>
          <t>%</t>
        </is>
      </c>
      <c r="C30" s="14" t="n">
        <v>0.08</v>
      </c>
      <c r="D30" t="inlineStr">
        <is>
          <t>A</t>
        </is>
      </c>
      <c r="E30" t="inlineStr">
        <is>
          <t>Equities; anchored on Q3 2026 reported growth</t>
        </is>
      </c>
    </row>
    <row r="31">
      <c r="A31" t="inlineStr">
        <is>
          <t>Q4 growth fido</t>
        </is>
      </c>
      <c r="B31" t="inlineStr">
        <is>
          <t>%</t>
        </is>
      </c>
      <c r="C31" s="14" t="n">
        <v>0.1</v>
      </c>
      <c r="D31" t="inlineStr">
        <is>
          <t>A</t>
        </is>
      </c>
      <c r="E31" t="inlineStr">
        <is>
          <t>Fixed Income, Derivatives &amp; Other; anchored on Q3 2026 reported growth</t>
        </is>
      </c>
    </row>
    <row r="32">
      <c r="A32" t="inlineStr">
        <is>
          <t>Q4 growth fx</t>
        </is>
      </c>
      <c r="B32" t="inlineStr">
        <is>
          <t>%</t>
        </is>
      </c>
      <c r="C32" s="14" t="n">
        <v>0.04</v>
      </c>
      <c r="D32" t="inlineStr">
        <is>
          <t>A</t>
        </is>
      </c>
      <c r="E32" t="inlineStr">
        <is>
          <t>FX; anchored on Q3 2026 reported growth</t>
        </is>
      </c>
    </row>
    <row r="33">
      <c r="A33" t="inlineStr">
        <is>
          <t>Q4 growth otc</t>
        </is>
      </c>
      <c r="B33" t="inlineStr">
        <is>
          <t>%</t>
        </is>
      </c>
      <c r="C33" s="14" t="n">
        <v>0.12</v>
      </c>
      <c r="D33" t="inlineStr">
        <is>
          <t>A</t>
        </is>
      </c>
      <c r="E33" t="inlineStr">
        <is>
          <t>OTC Derivatives; anchored on Q3 2026 reported growth</t>
        </is>
      </c>
    </row>
    <row r="34">
      <c r="A34" t="inlineStr">
        <is>
          <t>Q4 growth sr</t>
        </is>
      </c>
      <c r="B34" t="inlineStr">
        <is>
          <t>%</t>
        </is>
      </c>
      <c r="C34" s="14" t="n">
        <v>0.06</v>
      </c>
      <c r="D34" t="inlineStr">
        <is>
          <t>A</t>
        </is>
      </c>
      <c r="E34" t="inlineStr">
        <is>
          <t>Securities &amp; Reporting; anchored on Q3 2026 reported growth</t>
        </is>
      </c>
    </row>
    <row r="35">
      <c r="A35" t="inlineStr">
        <is>
          <t>Q4 growth ncc</t>
        </is>
      </c>
      <c r="B35" t="inlineStr">
        <is>
          <t>%</t>
        </is>
      </c>
      <c r="C35" s="14" t="n">
        <v>0</v>
      </c>
      <c r="D35" t="inlineStr">
        <is>
          <t>A</t>
        </is>
      </c>
      <c r="E35" t="inlineStr">
        <is>
          <t>Non-Cash Collateral; anchored on Q3 2026 reported growth</t>
        </is>
      </c>
    </row>
    <row r="36">
      <c r="A36" t="inlineStr">
        <is>
          <t>Q4 growth nti</t>
        </is>
      </c>
      <c r="B36" t="inlineStr">
        <is>
          <t>%</t>
        </is>
      </c>
      <c r="C36" s="14" t="n">
        <v>0.1</v>
      </c>
      <c r="D36" t="inlineStr">
        <is>
          <t>A</t>
        </is>
      </c>
      <c r="E36" t="inlineStr">
        <is>
          <t>Net Treasury Income; anchored on Q3 2026 reported growth</t>
        </is>
      </c>
    </row>
    <row r="37">
      <c r="A37" t="inlineStr">
        <is>
          <t>Q4 growth oth</t>
        </is>
      </c>
      <c r="B37" t="inlineStr">
        <is>
          <t>%</t>
        </is>
      </c>
      <c r="C37" s="14" t="n">
        <v>0</v>
      </c>
      <c r="D37" t="inlineStr">
        <is>
          <t>A</t>
        </is>
      </c>
      <c r="E37" t="inlineStr">
        <is>
          <t>Other; anchored on Q3 2026 reported growth</t>
        </is>
      </c>
    </row>
    <row r="39">
      <c r="A39" s="9" t="inlineStr">
        <is>
          <t>Subscription engine: ASV growth = gross sales % + price/other – (1 – retention)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</row>
    <row r="40">
      <c r="A40" t="inlineStr">
        <is>
          <t>Retention</t>
        </is>
      </c>
      <c r="B40" t="inlineStr">
        <is>
          <t>%</t>
        </is>
      </c>
      <c r="D40" t="inlineStr">
        <is>
          <t>A</t>
        </is>
      </c>
      <c r="E40" t="inlineStr">
        <is>
          <t>2025A 92.4%; H1 2026 92.8%</t>
        </is>
      </c>
      <c r="F40" s="18" t="n"/>
      <c r="G40" s="14" t="n">
        <v>0.928</v>
      </c>
      <c r="H40" s="14" t="n">
        <v>0.928</v>
      </c>
      <c r="I40" s="14" t="n">
        <v>0.928</v>
      </c>
      <c r="J40" s="14" t="n">
        <v>0.928</v>
      </c>
    </row>
    <row r="41">
      <c r="A41" t="inlineStr">
        <is>
          <t>Gross sales %</t>
        </is>
      </c>
      <c r="B41" t="inlineStr">
        <is>
          <t>% of sub. income</t>
        </is>
      </c>
      <c r="D41" t="inlineStr">
        <is>
          <t>D</t>
        </is>
      </c>
      <c r="E41" t="inlineStr">
        <is>
          <t>2025: rolling gross sales £481m / subscription income £5,187m</t>
        </is>
      </c>
      <c r="F41" s="18" t="n"/>
      <c r="G41" s="14" t="n">
        <v>0.093</v>
      </c>
      <c r="H41" s="14" t="n">
        <v>0.093</v>
      </c>
      <c r="I41" s="14" t="n">
        <v>0.092</v>
      </c>
      <c r="J41" s="14" t="n">
        <v>0.092</v>
      </c>
    </row>
    <row r="42">
      <c r="A42" t="inlineStr">
        <is>
          <t>Price &amp; other</t>
        </is>
      </c>
      <c r="B42" t="inlineStr">
        <is>
          <t>%</t>
        </is>
      </c>
      <c r="D42" t="inlineStr">
        <is>
          <t>D</t>
        </is>
      </c>
      <c r="E42" t="inlineStr">
        <is>
          <t>2025 implied: 5.9% ASV – 9.3% sales + 7.6% churn = 4.2%</t>
        </is>
      </c>
      <c r="F42" s="18" t="n"/>
      <c r="G42" s="14" t="n">
        <v>0.04</v>
      </c>
      <c r="H42" s="14" t="n">
        <v>0.04</v>
      </c>
      <c r="I42" s="14" t="n">
        <v>0.04</v>
      </c>
      <c r="J42" s="14" t="n">
        <v>0.04</v>
      </c>
    </row>
    <row r="43">
      <c r="A43" t="inlineStr">
        <is>
          <t>Spread wf</t>
        </is>
      </c>
      <c r="B43" t="inlineStr">
        <is>
          <t>pp vs ASV</t>
        </is>
      </c>
      <c r="D43" t="inlineStr">
        <is>
          <t>A</t>
        </is>
      </c>
      <c r="E43" t="inlineStr">
        <is>
          <t>Workflows growth minus ASV growth (H1 2026 organic spreads)</t>
        </is>
      </c>
      <c r="F43" s="18" t="n"/>
      <c r="G43" s="14" t="n">
        <v>-0.03</v>
      </c>
      <c r="H43" s="14" t="n">
        <v>-0.03</v>
      </c>
      <c r="I43" s="14" t="n">
        <v>-0.03</v>
      </c>
      <c r="J43" s="14" t="n">
        <v>-0.03</v>
      </c>
    </row>
    <row r="44">
      <c r="A44" t="inlineStr">
        <is>
          <t>Spread df</t>
        </is>
      </c>
      <c r="B44" t="inlineStr">
        <is>
          <t>pp vs ASV</t>
        </is>
      </c>
      <c r="D44" t="inlineStr">
        <is>
          <t>A</t>
        </is>
      </c>
      <c r="E44" t="inlineStr">
        <is>
          <t>Data &amp; Feeds growth minus ASV growth (H1 2026 organic spreads)</t>
        </is>
      </c>
      <c r="F44" s="18" t="n"/>
      <c r="G44" s="14" t="n">
        <v>0.012</v>
      </c>
      <c r="H44" s="14" t="n">
        <v>0.012</v>
      </c>
      <c r="I44" s="14" t="n">
        <v>0.012</v>
      </c>
      <c r="J44" s="14" t="n">
        <v>0.012</v>
      </c>
    </row>
    <row r="45">
      <c r="A45" t="inlineStr">
        <is>
          <t>Spread an</t>
        </is>
      </c>
      <c r="B45" t="inlineStr">
        <is>
          <t>pp vs ASV</t>
        </is>
      </c>
      <c r="D45" t="inlineStr">
        <is>
          <t>A</t>
        </is>
      </c>
      <c r="E45" t="inlineStr">
        <is>
          <t>Analytics growth minus ASV growth (H1 2026 organic spreads)</t>
        </is>
      </c>
      <c r="F45" s="18" t="n"/>
      <c r="G45" s="14" t="n">
        <v>0</v>
      </c>
      <c r="H45" s="14" t="n">
        <v>0</v>
      </c>
      <c r="I45" s="14" t="n">
        <v>0</v>
      </c>
      <c r="J45" s="14" t="n">
        <v>0</v>
      </c>
    </row>
    <row r="46">
      <c r="A46" t="inlineStr">
        <is>
          <t>Spread fs</t>
        </is>
      </c>
      <c r="B46" t="inlineStr">
        <is>
          <t>pp vs ASV</t>
        </is>
      </c>
      <c r="D46" t="inlineStr">
        <is>
          <t>A</t>
        </is>
      </c>
      <c r="E46" t="inlineStr">
        <is>
          <t>FTSE Russell Subscription growth minus ASV growth (H1 2026 organic spreads)</t>
        </is>
      </c>
      <c r="F46" s="18" t="n"/>
      <c r="G46" s="14" t="n">
        <v>0.005</v>
      </c>
      <c r="H46" s="14" t="n">
        <v>0.005</v>
      </c>
      <c r="I46" s="14" t="n">
        <v>0.005</v>
      </c>
      <c r="J46" s="14" t="n">
        <v>0.005</v>
      </c>
    </row>
    <row r="47">
      <c r="A47" t="inlineStr">
        <is>
          <t>Spread ri</t>
        </is>
      </c>
      <c r="B47" t="inlineStr">
        <is>
          <t>pp vs ASV</t>
        </is>
      </c>
      <c r="D47" t="inlineStr">
        <is>
          <t>A</t>
        </is>
      </c>
      <c r="E47" t="inlineStr">
        <is>
          <t>Risk Intelligence growth minus ASV growth (H1 2026 organic spreads)</t>
        </is>
      </c>
      <c r="F47" s="18" t="n"/>
      <c r="G47" s="14" t="n">
        <v>0.03</v>
      </c>
      <c r="H47" s="14" t="n">
        <v>0.025</v>
      </c>
      <c r="I47" s="14" t="n">
        <v>0.02</v>
      </c>
      <c r="J47" s="14" t="n">
        <v>0.015</v>
      </c>
    </row>
    <row r="49">
      <c r="A49" s="9" t="inlineStr">
        <is>
          <t>FTSE Russell asset-based: average ETF AUM × yield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</row>
    <row r="50">
      <c r="A50" t="inlineStr">
        <is>
          <t>ETF AUM avg 2026</t>
        </is>
      </c>
      <c r="B50" t="inlineStr">
        <is>
          <t>$bn</t>
        </is>
      </c>
      <c r="C50" s="19" t="n">
        <v>2100</v>
      </c>
      <c r="D50" t="inlineStr">
        <is>
          <t>A</t>
        </is>
      </c>
      <c r="E50" t="inlineStr">
        <is>
          <t>H1 2026 average $1,997bn; end-H1 $2,193bn</t>
        </is>
      </c>
    </row>
    <row r="51">
      <c r="A51" t="inlineStr">
        <is>
          <t>ETF AUM growth</t>
        </is>
      </c>
      <c r="B51" t="inlineStr">
        <is>
          <t>%</t>
        </is>
      </c>
      <c r="D51" t="inlineStr">
        <is>
          <t>A</t>
        </is>
      </c>
      <c r="E51" t="inlineStr">
        <is>
          <t>Market return + net flows</t>
        </is>
      </c>
      <c r="F51" s="18" t="n"/>
      <c r="G51" s="14" t="n">
        <v>0.1</v>
      </c>
      <c r="H51" s="14" t="n">
        <v>0.1</v>
      </c>
      <c r="I51" s="14" t="n">
        <v>0.09</v>
      </c>
      <c r="J51" s="14" t="n">
        <v>0.09</v>
      </c>
    </row>
    <row r="52">
      <c r="A52" t="inlineStr">
        <is>
          <t>ETF yield change</t>
        </is>
      </c>
      <c r="B52" t="inlineStr">
        <is>
          <t>%</t>
        </is>
      </c>
      <c r="D52" t="inlineStr">
        <is>
          <t>A</t>
        </is>
      </c>
      <c r="E52" t="inlineStr">
        <is>
          <t>Fee compression</t>
        </is>
      </c>
      <c r="F52" s="18" t="n"/>
      <c r="G52" s="14" t="n">
        <v>-0.02</v>
      </c>
      <c r="H52" s="14" t="n">
        <v>-0.02</v>
      </c>
      <c r="I52" s="14" t="n">
        <v>-0.02</v>
      </c>
      <c r="J52" s="14" t="n">
        <v>-0.02</v>
      </c>
    </row>
    <row r="54">
      <c r="A54" s="9" t="inlineStr">
        <is>
          <t>Markets drivers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</row>
    <row r="55">
      <c r="A55" t="inlineStr">
        <is>
          <t>Tradeweb ADV 2026</t>
        </is>
      </c>
      <c r="B55" t="inlineStr">
        <is>
          <t>$bn/day</t>
        </is>
      </c>
      <c r="C55" s="19" t="n">
        <v>3150</v>
      </c>
      <c r="D55" t="inlineStr">
        <is>
          <t>A</t>
        </is>
      </c>
      <c r="E55" t="inlineStr">
        <is>
          <t>H1 2026 $3,180bn (+24.8%)</t>
        </is>
      </c>
    </row>
    <row r="56">
      <c r="A56" t="inlineStr">
        <is>
          <t>Tradeweb ADV growth</t>
        </is>
      </c>
      <c r="B56" t="inlineStr">
        <is>
          <t>%</t>
        </is>
      </c>
      <c r="D56" t="inlineStr">
        <is>
          <t>A</t>
        </is>
      </c>
      <c r="E56" t="inlineStr"/>
      <c r="F56" s="18" t="n"/>
      <c r="G56" s="14" t="n">
        <v>0</v>
      </c>
      <c r="H56" s="14" t="n">
        <v>0.05</v>
      </c>
      <c r="I56" s="14" t="n">
        <v>0.06</v>
      </c>
      <c r="J56" s="14" t="n">
        <v>0.06</v>
      </c>
    </row>
    <row r="57">
      <c r="A57" t="inlineStr">
        <is>
          <t>FIDO capture change</t>
        </is>
      </c>
      <c r="B57" t="inlineStr">
        <is>
          <t>%</t>
        </is>
      </c>
      <c r="D57" t="inlineStr">
        <is>
          <t>A</t>
        </is>
      </c>
      <c r="E57" t="inlineStr">
        <is>
          <t>Revenue per $bn ADV; mix shift to derivatives</t>
        </is>
      </c>
      <c r="F57" s="18" t="n"/>
      <c r="G57" s="14" t="n">
        <v>-0.02</v>
      </c>
      <c r="H57" s="14" t="n">
        <v>-0.02</v>
      </c>
      <c r="I57" s="14" t="n">
        <v>-0.02</v>
      </c>
      <c r="J57" s="14" t="n">
        <v>-0.02</v>
      </c>
    </row>
    <row r="58">
      <c r="A58" t="inlineStr">
        <is>
          <t>SwapClear notional growth</t>
        </is>
      </c>
      <c r="B58" t="inlineStr">
        <is>
          <t>%</t>
        </is>
      </c>
      <c r="D58" t="inlineStr">
        <is>
          <t>A</t>
        </is>
      </c>
      <c r="E58" t="inlineStr">
        <is>
          <t>2025 notional cleared $1,941trn</t>
        </is>
      </c>
      <c r="F58" s="18" t="n"/>
      <c r="G58" s="14" t="n">
        <v>0.02</v>
      </c>
      <c r="H58" s="14" t="n">
        <v>0.05</v>
      </c>
      <c r="I58" s="14" t="n">
        <v>0.06</v>
      </c>
      <c r="J58" s="14" t="n">
        <v>0.06</v>
      </c>
    </row>
    <row r="59">
      <c r="A59" t="inlineStr">
        <is>
          <t>OTC capture change</t>
        </is>
      </c>
      <c r="B59" t="inlineStr">
        <is>
          <t>%</t>
        </is>
      </c>
      <c r="D59" t="inlineStr">
        <is>
          <t>A</t>
        </is>
      </c>
      <c r="E59" t="inlineStr"/>
      <c r="F59" s="18" t="n"/>
      <c r="G59" s="14" t="n">
        <v>-0.01</v>
      </c>
      <c r="H59" s="14" t="n">
        <v>-0.01</v>
      </c>
      <c r="I59" s="14" t="n">
        <v>-0.01</v>
      </c>
      <c r="J59" s="14" t="n">
        <v>-0.01</v>
      </c>
    </row>
    <row r="60">
      <c r="A60" t="inlineStr">
        <is>
          <t>Cash collateral 2026</t>
        </is>
      </c>
      <c r="B60" t="inlineStr">
        <is>
          <t>€bn avg</t>
        </is>
      </c>
      <c r="C60" s="17" t="n">
        <v>109</v>
      </c>
      <c r="D60" t="inlineStr">
        <is>
          <t>A</t>
        </is>
      </c>
      <c r="E60" t="inlineStr">
        <is>
          <t>2025 €101.3bn; H1 2026 €110.2bn</t>
        </is>
      </c>
    </row>
    <row r="61">
      <c r="A61" t="inlineStr">
        <is>
          <t>Collateral growth</t>
        </is>
      </c>
      <c r="B61" t="inlineStr">
        <is>
          <t>%</t>
        </is>
      </c>
      <c r="D61" t="inlineStr">
        <is>
          <t>A</t>
        </is>
      </c>
      <c r="E61" t="inlineStr"/>
      <c r="F61" s="18" t="n"/>
      <c r="G61" s="14" t="n">
        <v>0.03</v>
      </c>
      <c r="H61" s="14" t="n">
        <v>0.03</v>
      </c>
      <c r="I61" s="14" t="n">
        <v>0.03</v>
      </c>
      <c r="J61" s="14" t="n">
        <v>0.03</v>
      </c>
    </row>
    <row r="62">
      <c r="A62" t="inlineStr">
        <is>
          <t>NTI spread change</t>
        </is>
      </c>
      <c r="B62" t="inlineStr">
        <is>
          <t>%</t>
        </is>
      </c>
      <c r="D62" t="inlineStr">
        <is>
          <t>A</t>
        </is>
      </c>
      <c r="E62" t="inlineStr">
        <is>
          <t>Rate cuts compress the spread</t>
        </is>
      </c>
      <c r="F62" s="18" t="n"/>
      <c r="G62" s="14" t="n">
        <v>-0.05</v>
      </c>
      <c r="H62" s="14" t="n">
        <v>0</v>
      </c>
      <c r="I62" s="14" t="n">
        <v>0</v>
      </c>
      <c r="J62" s="14" t="n">
        <v>0</v>
      </c>
    </row>
    <row r="63">
      <c r="A63" t="inlineStr">
        <is>
          <t>Growth eq</t>
        </is>
      </c>
      <c r="B63" t="inlineStr">
        <is>
          <t>%</t>
        </is>
      </c>
      <c r="D63" t="inlineStr">
        <is>
          <t>A</t>
        </is>
      </c>
      <c r="E63" t="inlineStr">
        <is>
          <t>Equities</t>
        </is>
      </c>
      <c r="F63" s="18" t="n"/>
      <c r="G63" s="14" t="n">
        <v>0</v>
      </c>
      <c r="H63" s="14" t="n">
        <v>0.04</v>
      </c>
      <c r="I63" s="14" t="n">
        <v>0.05</v>
      </c>
      <c r="J63" s="14" t="n">
        <v>0.05</v>
      </c>
    </row>
    <row r="64">
      <c r="A64" t="inlineStr">
        <is>
          <t>Growth fx</t>
        </is>
      </c>
      <c r="B64" t="inlineStr">
        <is>
          <t>%</t>
        </is>
      </c>
      <c r="D64" t="inlineStr">
        <is>
          <t>A</t>
        </is>
      </c>
      <c r="E64" t="inlineStr">
        <is>
          <t>FX</t>
        </is>
      </c>
      <c r="F64" s="18" t="n"/>
      <c r="G64" s="14" t="n">
        <v>0.02</v>
      </c>
      <c r="H64" s="14" t="n">
        <v>0.04</v>
      </c>
      <c r="I64" s="14" t="n">
        <v>0.04</v>
      </c>
      <c r="J64" s="14" t="n">
        <v>0.04</v>
      </c>
    </row>
    <row r="65">
      <c r="A65" t="inlineStr">
        <is>
          <t>Growth sr</t>
        </is>
      </c>
      <c r="B65" t="inlineStr">
        <is>
          <t>%</t>
        </is>
      </c>
      <c r="D65" t="inlineStr">
        <is>
          <t>A</t>
        </is>
      </c>
      <c r="E65" t="inlineStr">
        <is>
          <t>Securities &amp; Reporting</t>
        </is>
      </c>
      <c r="F65" s="18" t="n"/>
      <c r="G65" s="14" t="n">
        <v>0.04</v>
      </c>
      <c r="H65" s="14" t="n">
        <v>0.04</v>
      </c>
      <c r="I65" s="14" t="n">
        <v>0.04</v>
      </c>
      <c r="J65" s="14" t="n">
        <v>0.04</v>
      </c>
    </row>
    <row r="66">
      <c r="A66" t="inlineStr">
        <is>
          <t>Growth ncc</t>
        </is>
      </c>
      <c r="B66" t="inlineStr">
        <is>
          <t>%</t>
        </is>
      </c>
      <c r="D66" t="inlineStr">
        <is>
          <t>A</t>
        </is>
      </c>
      <c r="E66" t="inlineStr">
        <is>
          <t>Non-Cash Collateral</t>
        </is>
      </c>
      <c r="F66" s="18" t="n"/>
      <c r="G66" s="14" t="n">
        <v>0.03</v>
      </c>
      <c r="H66" s="14" t="n">
        <v>0.03</v>
      </c>
      <c r="I66" s="14" t="n">
        <v>0.03</v>
      </c>
      <c r="J66" s="14" t="n">
        <v>0.03</v>
      </c>
    </row>
    <row r="67">
      <c r="A67" t="inlineStr">
        <is>
          <t>Growth oth</t>
        </is>
      </c>
      <c r="B67" t="inlineStr">
        <is>
          <t>%</t>
        </is>
      </c>
      <c r="D67" t="inlineStr">
        <is>
          <t>A</t>
        </is>
      </c>
      <c r="E67" t="inlineStr">
        <is>
          <t>Other</t>
        </is>
      </c>
      <c r="F67" s="18" t="n"/>
      <c r="G67" s="14" t="n">
        <v>0</v>
      </c>
      <c r="H67" s="14" t="n">
        <v>0</v>
      </c>
      <c r="I67" s="14" t="n">
        <v>0</v>
      </c>
      <c r="J67" s="14" t="n">
        <v>0</v>
      </c>
    </row>
    <row r="68">
      <c r="A68" t="inlineStr">
        <is>
          <t>Recoveries growth</t>
        </is>
      </c>
      <c r="B68" t="inlineStr">
        <is>
          <t>%</t>
        </is>
      </c>
      <c r="C68" s="14" t="n">
        <v>0.03</v>
      </c>
      <c r="D68" t="inlineStr">
        <is>
          <t>A</t>
        </is>
      </c>
      <c r="E68" t="inlineStr"/>
    </row>
    <row r="70">
      <c r="A70" s="9" t="inlineStr">
        <is>
          <t>Divisional EBITDA margins (on income excl. recoveries)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</row>
    <row r="71">
      <c r="A71" t="inlineStr">
        <is>
          <t>Margin D&amp;A</t>
        </is>
      </c>
      <c r="B71" t="inlineStr">
        <is>
          <t>%</t>
        </is>
      </c>
      <c r="D71" t="inlineStr">
        <is>
          <t>A</t>
        </is>
      </c>
      <c r="E71" t="inlineStr">
        <is>
          <t>Data &amp; Analytics: 2025A 40.6%</t>
        </is>
      </c>
      <c r="F71" s="14" t="n">
        <v>0.415</v>
      </c>
      <c r="G71" s="14" t="n">
        <v>0.42</v>
      </c>
      <c r="H71" s="14" t="n">
        <v>0.425</v>
      </c>
      <c r="I71" s="14" t="n">
        <v>0.43</v>
      </c>
      <c r="J71" s="14" t="n">
        <v>0.435</v>
      </c>
    </row>
    <row r="72">
      <c r="A72" t="inlineStr">
        <is>
          <t>Margin FTSE</t>
        </is>
      </c>
      <c r="B72" t="inlineStr">
        <is>
          <t>%</t>
        </is>
      </c>
      <c r="D72" t="inlineStr">
        <is>
          <t>A</t>
        </is>
      </c>
      <c r="E72" t="inlineStr">
        <is>
          <t>FTSE Russell: 2025A 66.6%</t>
        </is>
      </c>
      <c r="F72" s="14" t="n">
        <v>0.67</v>
      </c>
      <c r="G72" s="14" t="n">
        <v>0.674</v>
      </c>
      <c r="H72" s="14" t="n">
        <v>0.678</v>
      </c>
      <c r="I72" s="14" t="n">
        <v>0.6820000000000001</v>
      </c>
      <c r="J72" s="14" t="n">
        <v>0.6860000000000001</v>
      </c>
    </row>
    <row r="73">
      <c r="A73" t="inlineStr">
        <is>
          <t>Margin RI</t>
        </is>
      </c>
      <c r="B73" t="inlineStr">
        <is>
          <t>%</t>
        </is>
      </c>
      <c r="D73" t="inlineStr">
        <is>
          <t>A</t>
        </is>
      </c>
      <c r="E73" t="inlineStr">
        <is>
          <t>Risk Intelligence: 2025A 57.5%</t>
        </is>
      </c>
      <c r="F73" s="14" t="n">
        <v>0.58</v>
      </c>
      <c r="G73" s="14" t="n">
        <v>0.584</v>
      </c>
      <c r="H73" s="14" t="n">
        <v>0.588</v>
      </c>
      <c r="I73" s="14" t="n">
        <v>0.592</v>
      </c>
      <c r="J73" s="14" t="n">
        <v>0.596</v>
      </c>
    </row>
    <row r="74">
      <c r="A74" t="inlineStr">
        <is>
          <t>Margin MKT</t>
        </is>
      </c>
      <c r="B74" t="inlineStr">
        <is>
          <t>%</t>
        </is>
      </c>
      <c r="D74" t="inlineStr">
        <is>
          <t>A</t>
        </is>
      </c>
      <c r="E74" t="inlineStr">
        <is>
          <t>Markets: 2025A 55.6%</t>
        </is>
      </c>
      <c r="F74" s="14" t="n">
        <v>0.57</v>
      </c>
      <c r="G74" s="14" t="n">
        <v>0.573</v>
      </c>
      <c r="H74" s="14" t="n">
        <v>0.576</v>
      </c>
      <c r="I74" s="14" t="n">
        <v>0.579</v>
      </c>
      <c r="J74" s="14" t="n">
        <v>0.582</v>
      </c>
    </row>
    <row r="75">
      <c r="A75" t="inlineStr">
        <is>
          <t>Other EBITDA</t>
        </is>
      </c>
      <c r="B75" t="inlineStr">
        <is>
          <t>£m</t>
        </is>
      </c>
      <c r="C75" s="19" t="n">
        <v>5</v>
      </c>
      <c r="D75" t="inlineStr">
        <is>
          <t>A</t>
        </is>
      </c>
      <c r="E75" t="inlineStr"/>
    </row>
    <row r="77">
      <c r="A77" s="9" t="inlineStr">
        <is>
          <t>D&amp;A, capex, tax, financing, NCI, cash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</row>
    <row r="78">
      <c r="A78" t="inlineStr">
        <is>
          <t>Adj D&amp;A % income</t>
        </is>
      </c>
      <c r="B78" t="inlineStr">
        <is>
          <t>%</t>
        </is>
      </c>
      <c r="D78" t="inlineStr">
        <is>
          <t>A</t>
        </is>
      </c>
      <c r="E78" t="inlineStr">
        <is>
          <t>2025A 11.3%</t>
        </is>
      </c>
      <c r="F78" s="14" t="n">
        <v>0.11</v>
      </c>
      <c r="G78" s="14" t="n">
        <v>0.108</v>
      </c>
      <c r="H78" s="14" t="n">
        <v>0.106</v>
      </c>
      <c r="I78" s="14" t="n">
        <v>0.104</v>
      </c>
      <c r="J78" s="14" t="n">
        <v>0.102</v>
      </c>
    </row>
    <row r="79">
      <c r="A79" t="inlineStr">
        <is>
          <t>Capex % income</t>
        </is>
      </c>
      <c r="B79" t="inlineStr">
        <is>
          <t>%</t>
        </is>
      </c>
      <c r="D79" t="inlineStr">
        <is>
          <t>A/S</t>
        </is>
      </c>
      <c r="E79" t="inlineStr">
        <is>
          <t>2026 guide c.9.5%</t>
        </is>
      </c>
      <c r="F79" s="14" t="n">
        <v>0.095</v>
      </c>
      <c r="G79" s="14" t="n">
        <v>0.095</v>
      </c>
      <c r="H79" s="14" t="n">
        <v>0.093</v>
      </c>
      <c r="I79" s="14" t="n">
        <v>0.092</v>
      </c>
      <c r="J79" s="14" t="n">
        <v>0.09</v>
      </c>
    </row>
    <row r="80">
      <c r="A80" t="inlineStr">
        <is>
          <t>Purchased amortisation 2026</t>
        </is>
      </c>
      <c r="B80" t="inlineStr">
        <is>
          <t>£m</t>
        </is>
      </c>
      <c r="C80" s="19" t="n">
        <v>1150</v>
      </c>
      <c r="D80" t="inlineStr">
        <is>
          <t>A</t>
        </is>
      </c>
      <c r="E80" t="inlineStr">
        <is>
          <t>2025A £1,221m</t>
        </is>
      </c>
    </row>
    <row r="81">
      <c r="A81" t="inlineStr">
        <is>
          <t>Purchased amortisation decline</t>
        </is>
      </c>
      <c r="B81" t="inlineStr">
        <is>
          <t>%/yr</t>
        </is>
      </c>
      <c r="C81" s="14" t="n">
        <v>0.05</v>
      </c>
      <c r="D81" t="inlineStr">
        <is>
          <t>A</t>
        </is>
      </c>
      <c r="E81" t="inlineStr"/>
    </row>
    <row r="82">
      <c r="A82" t="inlineStr">
        <is>
          <t>Tax rate</t>
        </is>
      </c>
      <c r="B82" t="inlineStr">
        <is>
          <t>%</t>
        </is>
      </c>
      <c r="C82" s="14" t="n">
        <v>0.245</v>
      </c>
      <c r="D82" t="inlineStr">
        <is>
          <t>S</t>
        </is>
      </c>
      <c r="E82" t="inlineStr">
        <is>
          <t>Guide 24–25%</t>
        </is>
      </c>
    </row>
    <row r="83">
      <c r="A83" t="inlineStr">
        <is>
          <t>NCI share of adj NI</t>
        </is>
      </c>
      <c r="B83" t="inlineStr">
        <is>
          <t>%</t>
        </is>
      </c>
      <c r="C83" s="14" t="n">
        <v>0.132</v>
      </c>
      <c r="D83" t="inlineStr">
        <is>
          <t>D</t>
        </is>
      </c>
      <c r="E83" t="inlineStr">
        <is>
          <t>2025: adjusted NCI £334m / adjusted net income £2,529m</t>
        </is>
      </c>
    </row>
    <row r="84">
      <c r="A84" t="inlineStr">
        <is>
          <t>NCI payout</t>
        </is>
      </c>
      <c r="B84" t="inlineStr">
        <is>
          <t>%</t>
        </is>
      </c>
      <c r="C84" s="14" t="n">
        <v>0.6</v>
      </c>
      <c r="D84" t="inlineStr">
        <is>
          <t>A</t>
        </is>
      </c>
      <c r="E84" t="inlineStr"/>
    </row>
    <row r="85">
      <c r="A85" t="inlineStr">
        <is>
          <t>Net finance rate</t>
        </is>
      </c>
      <c r="B85" t="inlineStr">
        <is>
          <t>%</t>
        </is>
      </c>
      <c r="C85" s="20" t="n">
        <v>0.0255</v>
      </c>
      <c r="D85" t="inlineStr">
        <is>
          <t>D</t>
        </is>
      </c>
      <c r="E85" t="inlineStr">
        <is>
          <t>2025 net finance / average net debt</t>
        </is>
      </c>
    </row>
    <row r="86">
      <c r="A86" t="inlineStr">
        <is>
          <t>Other cash items % EBITDA</t>
        </is>
      </c>
      <c r="B86" t="inlineStr">
        <is>
          <t>%</t>
        </is>
      </c>
      <c r="C86" s="20" t="n">
        <v>0.0285</v>
      </c>
      <c r="D86" t="inlineStr">
        <is>
          <t>A</t>
        </is>
      </c>
      <c r="E86" t="inlineStr">
        <is>
          <t>Leases, WC, non-underlying; calibrated to 2026 EqFCF guide ≥ £2.8bn</t>
        </is>
      </c>
    </row>
    <row r="87">
      <c r="A87" t="inlineStr">
        <is>
          <t>Dividend payout</t>
        </is>
      </c>
      <c r="B87" t="inlineStr">
        <is>
          <t>% adj EPS</t>
        </is>
      </c>
      <c r="C87" s="14" t="n">
        <v>0.36</v>
      </c>
      <c r="D87" t="inlineStr">
        <is>
          <t>D</t>
        </is>
      </c>
      <c r="E87" t="inlineStr">
        <is>
          <t>2025: 150p / 420.6p</t>
        </is>
      </c>
    </row>
    <row r="88">
      <c r="A88" t="inlineStr">
        <is>
          <t>Buybacks (fixed)</t>
        </is>
      </c>
      <c r="B88" t="inlineStr">
        <is>
          <t>£m</t>
        </is>
      </c>
      <c r="D88" t="inlineStr">
        <is>
          <t>S/A</t>
        </is>
      </c>
      <c r="E88" t="inlineStr">
        <is>
          <t>2026 £2.6bn YTD + Q4; 2027 £0.4bn remaining + £1.25bn. Blank = formula</t>
        </is>
      </c>
      <c r="F88" s="19" t="n">
        <v>3000</v>
      </c>
      <c r="G88" s="19" t="n">
        <v>1650</v>
      </c>
      <c r="H88" s="21" t="n"/>
      <c r="I88" s="21" t="n"/>
      <c r="J88" s="21" t="n"/>
    </row>
    <row r="89">
      <c r="A89" t="inlineStr">
        <is>
          <t>Buyback share of surplus FCF</t>
        </is>
      </c>
      <c r="B89" t="inlineStr">
        <is>
          <t>%</t>
        </is>
      </c>
      <c r="C89" s="14" t="n">
        <v>0.9</v>
      </c>
      <c r="D89" t="inlineStr">
        <is>
          <t>A</t>
        </is>
      </c>
      <c r="E89" t="inlineStr">
        <is>
          <t>2028+</t>
        </is>
      </c>
    </row>
    <row r="90">
      <c r="A90" t="inlineStr">
        <is>
          <t>Buyback price growth</t>
        </is>
      </c>
      <c r="B90" t="inlineStr">
        <is>
          <t>%/yr</t>
        </is>
      </c>
      <c r="C90" s="14" t="n">
        <v>0.08</v>
      </c>
      <c r="D90" t="inlineStr">
        <is>
          <t>A</t>
        </is>
      </c>
      <c r="E90" t="inlineStr"/>
    </row>
    <row r="92">
      <c r="A92" s="9" t="inlineStr">
        <is>
          <t>Octus acquisition</t>
        </is>
      </c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</row>
    <row r="93">
      <c r="A93" t="inlineStr">
        <is>
          <t>Octus price</t>
        </is>
      </c>
      <c r="B93" t="inlineStr">
        <is>
          <t>$m</t>
        </is>
      </c>
      <c r="C93" s="19" t="n">
        <v>3535</v>
      </c>
      <c r="D93" t="inlineStr">
        <is>
          <t>S</t>
        </is>
      </c>
      <c r="E93" t="inlineStr">
        <is>
          <t>Q3 2026 update; debt-funded (Reuters)</t>
        </is>
      </c>
    </row>
    <row r="94">
      <c r="A94" t="inlineStr">
        <is>
          <t>Octus close year</t>
        </is>
      </c>
      <c r="B94" t="inlineStr">
        <is>
          <t>year</t>
        </is>
      </c>
      <c r="C94" s="22" t="n">
        <v>2027</v>
      </c>
      <c r="D94" t="inlineStr">
        <is>
          <t>A</t>
        </is>
      </c>
      <c r="E94" t="inlineStr">
        <is>
          <t>Not disclosed; assumed 1 Jan 2027</t>
        </is>
      </c>
    </row>
    <row r="95">
      <c r="A95" t="inlineStr">
        <is>
          <t>Octus 2026 revenue</t>
        </is>
      </c>
      <c r="B95" t="inlineStr">
        <is>
          <t>$m</t>
        </is>
      </c>
      <c r="C95" s="19" t="n">
        <v>310</v>
      </c>
      <c r="D95" t="inlineStr">
        <is>
          <t>S</t>
        </is>
      </c>
      <c r="E95" t="inlineStr">
        <is>
          <t>$300–320m expected this year (Reuters)</t>
        </is>
      </c>
    </row>
    <row r="96">
      <c r="A96" t="inlineStr">
        <is>
          <t>Octus growth</t>
        </is>
      </c>
      <c r="B96" t="inlineStr">
        <is>
          <t>%</t>
        </is>
      </c>
      <c r="C96" s="14" t="n">
        <v>0.12</v>
      </c>
      <c r="D96" t="inlineStr">
        <is>
          <t>A</t>
        </is>
      </c>
      <c r="E96" t="inlineStr">
        <is>
          <t>'Double-digit growth' (LSEG)</t>
        </is>
      </c>
    </row>
    <row r="97">
      <c r="A97" t="inlineStr">
        <is>
          <t>Octus EBITDA margin</t>
        </is>
      </c>
      <c r="B97" t="inlineStr">
        <is>
          <t>%</t>
        </is>
      </c>
      <c r="C97" s="14" t="n">
        <v>0.4</v>
      </c>
      <c r="D97" t="inlineStr">
        <is>
          <t>A</t>
        </is>
      </c>
      <c r="E97" t="inlineStr"/>
    </row>
    <row r="98">
      <c r="A98" t="inlineStr">
        <is>
          <t>Octus purchased amortisation</t>
        </is>
      </c>
      <c r="B98" t="inlineStr">
        <is>
          <t>£m</t>
        </is>
      </c>
      <c r="C98" s="19" t="n">
        <v>110</v>
      </c>
      <c r="D98" t="inlineStr">
        <is>
          <t>A</t>
        </is>
      </c>
      <c r="E98" t="inlineStr"/>
    </row>
    <row r="99">
      <c r="A99" t="inlineStr">
        <is>
          <t>Octus debt rate</t>
        </is>
      </c>
      <c r="B99" t="inlineStr">
        <is>
          <t>%</t>
        </is>
      </c>
      <c r="C99" s="14" t="n">
        <v>0.05</v>
      </c>
      <c r="D99" t="inlineStr">
        <is>
          <t>A</t>
        </is>
      </c>
      <c r="E99" t="inlineStr"/>
    </row>
    <row r="101">
      <c r="A101" s="9" t="inlineStr">
        <is>
          <t>Valuation</t>
        </is>
      </c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</row>
    <row r="102">
      <c r="A102" t="inlineStr">
        <is>
          <t>Risk-free rate</t>
        </is>
      </c>
      <c r="B102" t="inlineStr">
        <is>
          <t>%</t>
        </is>
      </c>
      <c r="C102" s="14" t="n">
        <v>0.049</v>
      </c>
      <c r="D102" t="inlineStr">
        <is>
          <t>A</t>
        </is>
      </c>
      <c r="E102" t="inlineStr">
        <is>
          <t>UK 10y gilt area</t>
        </is>
      </c>
    </row>
    <row r="103">
      <c r="A103" t="inlineStr">
        <is>
          <t>Beta</t>
        </is>
      </c>
      <c r="B103" t="inlineStr">
        <is>
          <t>x</t>
        </is>
      </c>
      <c r="C103" s="16" t="n">
        <v>0.85</v>
      </c>
      <c r="D103" t="inlineStr">
        <is>
          <t>A</t>
        </is>
      </c>
      <c r="E103" t="inlineStr">
        <is>
          <t>Conservative: above observed 0.41 and Blume 0.60. See DCF sheet for sensitivity.</t>
        </is>
      </c>
    </row>
    <row r="104">
      <c r="A104" t="inlineStr">
        <is>
          <t>Equity risk premium</t>
        </is>
      </c>
      <c r="B104" t="inlineStr">
        <is>
          <t>%</t>
        </is>
      </c>
      <c r="C104" s="14" t="n">
        <v>0.05</v>
      </c>
      <c r="D104" t="inlineStr">
        <is>
          <t>A</t>
        </is>
      </c>
      <c r="E104" t="inlineStr"/>
    </row>
    <row r="105">
      <c r="A105" t="inlineStr">
        <is>
          <t>Pre-tax cost of debt</t>
        </is>
      </c>
      <c r="B105" t="inlineStr">
        <is>
          <t>%</t>
        </is>
      </c>
      <c r="C105" s="14" t="n">
        <v>0.05</v>
      </c>
      <c r="D105" t="inlineStr">
        <is>
          <t>A</t>
        </is>
      </c>
      <c r="E105" t="inlineStr"/>
    </row>
    <row r="106">
      <c r="A106" t="inlineStr">
        <is>
          <t>Debt weight</t>
        </is>
      </c>
      <c r="B106" t="inlineStr">
        <is>
          <t>%</t>
        </is>
      </c>
      <c r="C106" s="14" t="n">
        <v>0.15</v>
      </c>
      <c r="D106" t="inlineStr">
        <is>
          <t>A</t>
        </is>
      </c>
      <c r="E106" t="inlineStr">
        <is>
          <t>Target D/(D+E)</t>
        </is>
      </c>
    </row>
    <row r="107">
      <c r="A107" t="inlineStr">
        <is>
          <t>Beta (observed, 5y)</t>
        </is>
      </c>
      <c r="B107" t="inlineStr">
        <is>
          <t>x</t>
        </is>
      </c>
      <c r="C107" s="16" t="n">
        <v>0.41</v>
      </c>
      <c r="D107" t="inlineStr">
        <is>
          <t>S</t>
        </is>
      </c>
      <c r="E107" t="inlineStr">
        <is>
          <t>stockanalysis.com; shown for reference</t>
        </is>
      </c>
    </row>
    <row r="108">
      <c r="A108" t="inlineStr">
        <is>
          <t>Beta (Blume-adjusted)</t>
        </is>
      </c>
      <c r="B108" t="inlineStr">
        <is>
          <t>x</t>
        </is>
      </c>
      <c r="C108" s="16" t="n">
        <v>0.6</v>
      </c>
      <c r="D108" t="inlineStr">
        <is>
          <t>D</t>
        </is>
      </c>
      <c r="E108" t="inlineStr">
        <is>
          <t>0.67 × observed + 0.33</t>
        </is>
      </c>
    </row>
    <row r="110">
      <c r="A110" s="9" t="inlineStr">
        <is>
          <t>Tradeweb (listed subsidiary)</t>
        </is>
      </c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</row>
    <row r="111">
      <c r="A111" t="inlineStr">
        <is>
          <t>Tradeweb share price</t>
        </is>
      </c>
      <c r="B111" t="inlineStr">
        <is>
          <t>$</t>
        </is>
      </c>
      <c r="C111" s="16" t="n">
        <v>121.89</v>
      </c>
      <c r="D111" t="inlineStr">
        <is>
          <t>S</t>
        </is>
      </c>
      <c r="E111" t="inlineStr">
        <is>
          <t>Close 22 Oct 2026</t>
        </is>
      </c>
    </row>
    <row r="112">
      <c r="A112" t="inlineStr">
        <is>
          <t>Tradeweb shares</t>
        </is>
      </c>
      <c r="B112" t="inlineStr">
        <is>
          <t>m</t>
        </is>
      </c>
      <c r="C112" s="16" t="n">
        <v>234.03</v>
      </c>
      <c r="D112" t="inlineStr">
        <is>
          <t>S</t>
        </is>
      </c>
      <c r="E112" t="inlineStr">
        <is>
          <t>Class A+B+C+D, Tradeweb 10-Q filed 30 Jul 2026</t>
        </is>
      </c>
    </row>
    <row r="113">
      <c r="A113" t="inlineStr">
        <is>
          <t>Tradeweb forward P/E</t>
        </is>
      </c>
      <c r="B113" t="inlineStr">
        <is>
          <t>x</t>
        </is>
      </c>
      <c r="C113" s="23" t="n">
        <v>28.06</v>
      </c>
      <c r="D113" t="inlineStr">
        <is>
          <t>S</t>
        </is>
      </c>
      <c r="E113" t="inlineStr">
        <is>
          <t>stockanalysis.com</t>
        </is>
      </c>
    </row>
    <row r="114">
      <c r="A114" t="inlineStr">
        <is>
          <t>LSEG economic interest in Tradeweb</t>
        </is>
      </c>
      <c r="B114" t="inlineStr">
        <is>
          <t>%</t>
        </is>
      </c>
      <c r="C114" s="14" t="n">
        <v>0.512</v>
      </c>
      <c r="D114" t="inlineStr">
        <is>
          <t>S</t>
        </is>
      </c>
      <c r="E114" t="inlineStr">
        <is>
          <t>Tradeweb 10-Q, 30 Jun 2026</t>
        </is>
      </c>
    </row>
    <row r="115">
      <c r="A115" t="inlineStr">
        <is>
          <t>LSEG shares outstanding</t>
        </is>
      </c>
      <c r="B115" t="inlineStr">
        <is>
          <t>m</t>
        </is>
      </c>
      <c r="C115" s="16" t="n">
        <v>480.22</v>
      </c>
      <c r="D115" t="inlineStr">
        <is>
          <t>S</t>
        </is>
      </c>
      <c r="E115" t="inlineStr">
        <is>
          <t>stockanalysis.com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LSEG – Divisional build</t>
        </is>
      </c>
    </row>
    <row r="2">
      <c r="A2" t="inlineStr">
        <is>
          <t>2026E = 9M actual + Q4E (Quarterly). 2027E+ driven by ASV/retention, ETF AUM, Tradeweb ADV, SwapClear notional and cash collateral.</t>
        </is>
      </c>
    </row>
    <row r="4">
      <c r="A4" s="8" t="inlineStr">
        <is>
          <t>£m unless stated</t>
        </is>
      </c>
      <c r="B4" s="8" t="inlineStr"/>
      <c r="C4" s="8" t="n">
        <v>2023</v>
      </c>
      <c r="D4" s="8" t="n">
        <v>2024</v>
      </c>
      <c r="E4" s="8" t="n">
        <v>2025</v>
      </c>
      <c r="F4" s="8" t="n">
        <v>2026</v>
      </c>
      <c r="G4" s="8" t="n">
        <v>2027</v>
      </c>
      <c r="H4" s="8" t="n">
        <v>2028</v>
      </c>
      <c r="I4" s="8" t="n">
        <v>2029</v>
      </c>
      <c r="J4" s="8" t="n">
        <v>2030</v>
      </c>
    </row>
    <row r="5">
      <c r="C5" s="24" t="inlineStr">
        <is>
          <t>A</t>
        </is>
      </c>
      <c r="D5" s="24" t="inlineStr">
        <is>
          <t>A</t>
        </is>
      </c>
      <c r="E5" s="24" t="inlineStr">
        <is>
          <t>A</t>
        </is>
      </c>
      <c r="F5" s="24" t="inlineStr">
        <is>
          <t>E</t>
        </is>
      </c>
      <c r="G5" s="24" t="inlineStr">
        <is>
          <t>E</t>
        </is>
      </c>
      <c r="H5" s="24" t="inlineStr">
        <is>
          <t>E</t>
        </is>
      </c>
      <c r="I5" s="24" t="inlineStr">
        <is>
          <t>E</t>
        </is>
      </c>
      <c r="J5" s="24" t="inlineStr">
        <is>
          <t>E</t>
        </is>
      </c>
    </row>
    <row r="6"/>
    <row r="7">
      <c r="A7" s="9" t="inlineStr">
        <is>
          <t>Subscription KPIs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</row>
    <row r="8">
      <c r="A8" t="inlineStr">
        <is>
          <t>Revenue retention</t>
        </is>
      </c>
      <c r="C8" s="13" t="n"/>
      <c r="D8" s="13" t="n"/>
      <c r="E8" s="14" t="n">
        <v>0.924</v>
      </c>
      <c r="F8" s="13" t="n"/>
      <c r="G8" s="13">
        <f>Inputs!$G$40+Inputs!$C$9</f>
        <v/>
      </c>
      <c r="H8" s="13">
        <f>Inputs!$H$40+Inputs!$C$9</f>
        <v/>
      </c>
      <c r="I8" s="13">
        <f>Inputs!$I$40+Inputs!$C$9</f>
        <v/>
      </c>
      <c r="J8" s="13">
        <f>Inputs!$J$40+Inputs!$C$9</f>
        <v/>
      </c>
    </row>
    <row r="9">
      <c r="A9" s="12" t="inlineStr">
        <is>
          <t>ASV growth</t>
        </is>
      </c>
      <c r="C9" s="25" t="n"/>
      <c r="D9" s="26" t="n">
        <v>0.063</v>
      </c>
      <c r="E9" s="26" t="n">
        <v>0.059</v>
      </c>
      <c r="F9" s="25" t="n"/>
      <c r="G9" s="25">
        <f>Inputs!$G$41+Inputs!$G$42-(1-G8)</f>
        <v/>
      </c>
      <c r="H9" s="25">
        <f>Inputs!$H$41+Inputs!$H$42-(1-H8)</f>
        <v/>
      </c>
      <c r="I9" s="25">
        <f>Inputs!$I$41+Inputs!$I$42-(1-I8)</f>
        <v/>
      </c>
      <c r="J9" s="25">
        <f>Inputs!$J$41+Inputs!$J$42-(1-J8)</f>
        <v/>
      </c>
    </row>
    <row r="10"/>
    <row r="11">
      <c r="A11" s="9" t="inlineStr">
        <is>
          <t>Data &amp; Analytics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t="inlineStr">
        <is>
          <t xml:space="preserve">  Workflows</t>
        </is>
      </c>
      <c r="C12" s="27" t="n"/>
      <c r="D12" s="19" t="n">
        <v>1899</v>
      </c>
      <c r="E12" s="19" t="n">
        <v>1925</v>
      </c>
      <c r="F12" s="28">
        <f>Quarterly!$K$5</f>
        <v/>
      </c>
      <c r="G12" s="27">
        <f>F12*(1+G$9+Inputs!$G$43+Inputs!$C$10)</f>
        <v/>
      </c>
      <c r="H12" s="27">
        <f>G12*(1+H$9+Inputs!$H$43+Inputs!$C$10)</f>
        <v/>
      </c>
      <c r="I12" s="27">
        <f>H12*(1+I$9+Inputs!$I$43+Inputs!$C$10)</f>
        <v/>
      </c>
      <c r="J12" s="27">
        <f>I12*(1+J$9+Inputs!$J$43+Inputs!$C$10)</f>
        <v/>
      </c>
    </row>
    <row r="13">
      <c r="A13" t="inlineStr">
        <is>
          <t xml:space="preserve">  Data &amp; Feeds</t>
        </is>
      </c>
      <c r="C13" s="27" t="n"/>
      <c r="D13" s="19" t="n">
        <v>1740</v>
      </c>
      <c r="E13" s="19" t="n">
        <v>1822</v>
      </c>
      <c r="F13" s="28">
        <f>Quarterly!$K$6</f>
        <v/>
      </c>
      <c r="G13" s="27">
        <f>F13*(1+G$9+Inputs!$G$44)</f>
        <v/>
      </c>
      <c r="H13" s="27">
        <f>G13*(1+H$9+Inputs!$H$44)</f>
        <v/>
      </c>
      <c r="I13" s="27">
        <f>H13*(1+I$9+Inputs!$I$44)</f>
        <v/>
      </c>
      <c r="J13" s="27">
        <f>I13*(1+J$9+Inputs!$J$44)</f>
        <v/>
      </c>
    </row>
    <row r="14">
      <c r="A14" t="inlineStr">
        <is>
          <t xml:space="preserve">  Analytics</t>
        </is>
      </c>
      <c r="C14" s="27" t="n"/>
      <c r="D14" s="19" t="n">
        <v>220</v>
      </c>
      <c r="E14" s="19" t="n">
        <v>231</v>
      </c>
      <c r="F14" s="28">
        <f>Quarterly!$K$7</f>
        <v/>
      </c>
      <c r="G14" s="27">
        <f>F14*(1+G$9+Inputs!$G$45)</f>
        <v/>
      </c>
      <c r="H14" s="27">
        <f>G14*(1+H$9+Inputs!$H$45)</f>
        <v/>
      </c>
      <c r="I14" s="27">
        <f>H14*(1+I$9+Inputs!$I$45)</f>
        <v/>
      </c>
      <c r="J14" s="27">
        <f>I14*(1+J$9+Inputs!$J$45)</f>
        <v/>
      </c>
    </row>
    <row r="15">
      <c r="A15" t="inlineStr">
        <is>
          <t xml:space="preserve">  Octus</t>
        </is>
      </c>
      <c r="C15" s="27" t="n"/>
      <c r="D15" s="27" t="n"/>
      <c r="E15" s="27" t="n"/>
      <c r="F15" s="27">
        <f>IF(F$4=Inputs!$C$94,Inputs!$C$95/Inputs!$C$19*(1+Inputs!$C$96)^(F$4-2026),IF(F$4&gt;Inputs!$C$94,E15*(1+Inputs!$C$96),0))</f>
        <v/>
      </c>
      <c r="G15" s="27">
        <f>IF(G$4=Inputs!$C$94,Inputs!$C$95/Inputs!$C$19*(1+Inputs!$C$96)^(G$4-2026),IF(G$4&gt;Inputs!$C$94,F15*(1+Inputs!$C$96),0))</f>
        <v/>
      </c>
      <c r="H15" s="27">
        <f>IF(H$4=Inputs!$C$94,Inputs!$C$95/Inputs!$C$19*(1+Inputs!$C$96)^(H$4-2026),IF(H$4&gt;Inputs!$C$94,G15*(1+Inputs!$C$96),0))</f>
        <v/>
      </c>
      <c r="I15" s="27">
        <f>IF(I$4=Inputs!$C$94,Inputs!$C$95/Inputs!$C$19*(1+Inputs!$C$96)^(I$4-2026),IF(I$4&gt;Inputs!$C$94,H15*(1+Inputs!$C$96),0))</f>
        <v/>
      </c>
      <c r="J15" s="27">
        <f>IF(J$4=Inputs!$C$94,Inputs!$C$95/Inputs!$C$19*(1+Inputs!$C$96)^(J$4-2026),IF(J$4&gt;Inputs!$C$94,I15*(1+Inputs!$C$96),0))</f>
        <v/>
      </c>
    </row>
    <row r="16">
      <c r="A16" s="12" t="inlineStr">
        <is>
          <t>Data &amp; Analytics income</t>
        </is>
      </c>
      <c r="C16" s="29" t="n"/>
      <c r="D16" s="29">
        <f>SUM(D12:D14)</f>
        <v/>
      </c>
      <c r="E16" s="29">
        <f>SUM(E12:E14)</f>
        <v/>
      </c>
      <c r="F16" s="29">
        <f>SUM(F12:F15)</f>
        <v/>
      </c>
      <c r="G16" s="29">
        <f>SUM(G12:G15)</f>
        <v/>
      </c>
      <c r="H16" s="29">
        <f>SUM(H12:H15)</f>
        <v/>
      </c>
      <c r="I16" s="29">
        <f>SUM(I12:I15)</f>
        <v/>
      </c>
      <c r="J16" s="29">
        <f>SUM(J12:J15)</f>
        <v/>
      </c>
    </row>
    <row r="17"/>
    <row r="18">
      <c r="A18" s="9" t="inlineStr">
        <is>
          <t>FTSE Russell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>
      <c r="A19" t="inlineStr">
        <is>
          <t xml:space="preserve">  Subscription</t>
        </is>
      </c>
      <c r="C19" s="27" t="n"/>
      <c r="D19" s="19" t="n">
        <v>603</v>
      </c>
      <c r="E19" s="19" t="n">
        <v>630</v>
      </c>
      <c r="F19" s="28">
        <f>Quarterly!$K$8</f>
        <v/>
      </c>
      <c r="G19" s="27">
        <f>F19*(1+G$9+Inputs!$G$46)</f>
        <v/>
      </c>
      <c r="H19" s="27">
        <f>G19*(1+H$9+Inputs!$H$46)</f>
        <v/>
      </c>
      <c r="I19" s="27">
        <f>H19*(1+I$9+Inputs!$I$46)</f>
        <v/>
      </c>
      <c r="J19" s="27">
        <f>I19*(1+J$9+Inputs!$J$46)</f>
        <v/>
      </c>
    </row>
    <row r="20">
      <c r="A20" t="inlineStr">
        <is>
          <t xml:space="preserve">    Average ETF AUM ($bn)</t>
        </is>
      </c>
      <c r="C20" s="27" t="n"/>
      <c r="D20" s="27" t="n"/>
      <c r="E20" s="27" t="n"/>
      <c r="F20" s="27">
        <f>Inputs!$C$50</f>
        <v/>
      </c>
      <c r="G20" s="27">
        <f>F20*(1+Inputs!$G$51+Inputs!$C$12)</f>
        <v/>
      </c>
      <c r="H20" s="27">
        <f>G20*(1+Inputs!$H$51+Inputs!$C$12)</f>
        <v/>
      </c>
      <c r="I20" s="27">
        <f>H20*(1+Inputs!$I$51+Inputs!$C$12)</f>
        <v/>
      </c>
      <c r="J20" s="27">
        <f>I20*(1+Inputs!$J$51+Inputs!$C$12)</f>
        <v/>
      </c>
    </row>
    <row r="21">
      <c r="A21" t="inlineStr">
        <is>
          <t xml:space="preserve">    Asset-based yield (bps)</t>
        </is>
      </c>
      <c r="C21" s="30" t="n"/>
      <c r="D21" s="30" t="n"/>
      <c r="E21" s="30" t="n"/>
      <c r="F21" s="31">
        <f>Quarterly!$K$9*Inputs!$C$19/(F20*1000)*10000</f>
        <v/>
      </c>
      <c r="G21" s="30">
        <f>F21*(1+Inputs!$G$52)</f>
        <v/>
      </c>
      <c r="H21" s="30">
        <f>G21*(1+Inputs!$H$52)</f>
        <v/>
      </c>
      <c r="I21" s="30">
        <f>H21*(1+Inputs!$I$52)</f>
        <v/>
      </c>
      <c r="J21" s="30">
        <f>I21*(1+Inputs!$J$52)</f>
        <v/>
      </c>
    </row>
    <row r="22">
      <c r="A22" t="inlineStr">
        <is>
          <t xml:space="preserve">  Asset-based</t>
        </is>
      </c>
      <c r="C22" s="27" t="n"/>
      <c r="D22" s="19" t="n">
        <v>308</v>
      </c>
      <c r="E22" s="19" t="n">
        <v>324</v>
      </c>
      <c r="F22" s="28">
        <f>Quarterly!$K$9</f>
        <v/>
      </c>
      <c r="G22" s="27">
        <f>G20*1000*G21/10000/Inputs!$C$19</f>
        <v/>
      </c>
      <c r="H22" s="27">
        <f>H20*1000*H21/10000/Inputs!$C$19</f>
        <v/>
      </c>
      <c r="I22" s="27">
        <f>I20*1000*I21/10000/Inputs!$C$19</f>
        <v/>
      </c>
      <c r="J22" s="27">
        <f>J20*1000*J21/10000/Inputs!$C$19</f>
        <v/>
      </c>
    </row>
    <row r="23">
      <c r="A23" s="12" t="inlineStr">
        <is>
          <t>FTSE Russell income</t>
        </is>
      </c>
      <c r="C23" s="29" t="n"/>
      <c r="D23" s="29">
        <f>D19+D22</f>
        <v/>
      </c>
      <c r="E23" s="29">
        <f>E19+E22</f>
        <v/>
      </c>
      <c r="F23" s="29">
        <f>F19+F22</f>
        <v/>
      </c>
      <c r="G23" s="29">
        <f>G19+G22</f>
        <v/>
      </c>
      <c r="H23" s="29">
        <f>H19+H22</f>
        <v/>
      </c>
      <c r="I23" s="29">
        <f>I19+I22</f>
        <v/>
      </c>
      <c r="J23" s="29">
        <f>J19+J22</f>
        <v/>
      </c>
    </row>
    <row r="24"/>
    <row r="25">
      <c r="A25" s="9" t="inlineStr">
        <is>
          <t>Risk Intelligence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>
      <c r="A26" t="inlineStr">
        <is>
          <t xml:space="preserve">  Risk Intelligence</t>
        </is>
      </c>
      <c r="C26" s="27" t="n"/>
      <c r="D26" s="19" t="n">
        <v>531</v>
      </c>
      <c r="E26" s="19" t="n">
        <v>579</v>
      </c>
      <c r="F26" s="28">
        <f>Quarterly!$K$10</f>
        <v/>
      </c>
      <c r="G26" s="27">
        <f>F26*(1+G$9+Inputs!$G$47)</f>
        <v/>
      </c>
      <c r="H26" s="27">
        <f>G26*(1+H$9+Inputs!$H$47)</f>
        <v/>
      </c>
      <c r="I26" s="27">
        <f>H26*(1+I$9+Inputs!$I$47)</f>
        <v/>
      </c>
      <c r="J26" s="27">
        <f>I26*(1+J$9+Inputs!$J$47)</f>
        <v/>
      </c>
    </row>
    <row r="27">
      <c r="A27" s="12" t="inlineStr">
        <is>
          <t>Risk Intelligence income</t>
        </is>
      </c>
      <c r="C27" s="29" t="n"/>
      <c r="D27" s="29">
        <f>D26</f>
        <v/>
      </c>
      <c r="E27" s="29">
        <f>E26</f>
        <v/>
      </c>
      <c r="F27" s="29">
        <f>F26</f>
        <v/>
      </c>
      <c r="G27" s="29">
        <f>G26</f>
        <v/>
      </c>
      <c r="H27" s="29">
        <f>H26</f>
        <v/>
      </c>
      <c r="I27" s="29">
        <f>I26</f>
        <v/>
      </c>
      <c r="J27" s="29">
        <f>J26</f>
        <v/>
      </c>
    </row>
    <row r="28"/>
    <row r="29">
      <c r="A29" s="9" t="inlineStr">
        <is>
          <t>Markets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t="inlineStr">
        <is>
          <t xml:space="preserve">  Equities</t>
        </is>
      </c>
      <c r="C30" s="27" t="n"/>
      <c r="D30" s="19" t="n">
        <v>392</v>
      </c>
      <c r="E30" s="19" t="n">
        <v>412</v>
      </c>
      <c r="F30" s="28">
        <f>Quarterly!$K$11</f>
        <v/>
      </c>
      <c r="G30" s="27">
        <f>F30*(1+Inputs!$G$63+Inputs!$C$11)</f>
        <v/>
      </c>
      <c r="H30" s="27">
        <f>G30*(1+Inputs!$H$63+Inputs!$C$11)</f>
        <v/>
      </c>
      <c r="I30" s="27">
        <f>H30*(1+Inputs!$I$63+Inputs!$C$11)</f>
        <v/>
      </c>
      <c r="J30" s="27">
        <f>I30*(1+Inputs!$J$63+Inputs!$C$11)</f>
        <v/>
      </c>
    </row>
    <row r="31">
      <c r="A31" t="inlineStr">
        <is>
          <t xml:space="preserve">    Tradeweb ADV ($bn/day)</t>
        </is>
      </c>
      <c r="C31" s="27" t="n"/>
      <c r="D31" s="27" t="n"/>
      <c r="E31" s="19" t="n">
        <v>2625</v>
      </c>
      <c r="F31" s="27">
        <f>Inputs!$C$55</f>
        <v/>
      </c>
      <c r="G31" s="27">
        <f>F31*(1+Inputs!$G$56+Inputs!$C$11)</f>
        <v/>
      </c>
      <c r="H31" s="27">
        <f>G31*(1+Inputs!$H$56+Inputs!$C$11)</f>
        <v/>
      </c>
      <c r="I31" s="27">
        <f>H31*(1+Inputs!$I$56+Inputs!$C$11)</f>
        <v/>
      </c>
      <c r="J31" s="27">
        <f>I31*(1+Inputs!$J$56+Inputs!$C$11)</f>
        <v/>
      </c>
    </row>
    <row r="32">
      <c r="A32" t="inlineStr">
        <is>
          <t xml:space="preserve">    FIDO revenue per $bn ADV (£m)</t>
        </is>
      </c>
      <c r="C32" s="32" t="n"/>
      <c r="D32" s="32" t="n"/>
      <c r="E32" s="32">
        <f>E33/E31</f>
        <v/>
      </c>
      <c r="F32" s="7">
        <f>Quarterly!$K$12/F31</f>
        <v/>
      </c>
      <c r="G32" s="32">
        <f>F32*(1+Inputs!$G$57)</f>
        <v/>
      </c>
      <c r="H32" s="32">
        <f>G32*(1+Inputs!$H$57)</f>
        <v/>
      </c>
      <c r="I32" s="32">
        <f>H32*(1+Inputs!$I$57)</f>
        <v/>
      </c>
      <c r="J32" s="32">
        <f>I32*(1+Inputs!$J$57)</f>
        <v/>
      </c>
    </row>
    <row r="33">
      <c r="A33" t="inlineStr">
        <is>
          <t xml:space="preserve">  Fixed Income, Derivatives &amp; Other</t>
        </is>
      </c>
      <c r="C33" s="27" t="n"/>
      <c r="D33" s="19" t="n">
        <v>1334</v>
      </c>
      <c r="E33" s="19" t="n">
        <v>1539</v>
      </c>
      <c r="F33" s="28">
        <f>Quarterly!$K$12</f>
        <v/>
      </c>
      <c r="G33" s="27">
        <f>G31*G32</f>
        <v/>
      </c>
      <c r="H33" s="27">
        <f>H31*H32</f>
        <v/>
      </c>
      <c r="I33" s="27">
        <f>I31*I32</f>
        <v/>
      </c>
      <c r="J33" s="27">
        <f>J31*J32</f>
        <v/>
      </c>
    </row>
    <row r="34">
      <c r="A34" t="inlineStr">
        <is>
          <t xml:space="preserve">  FX</t>
        </is>
      </c>
      <c r="C34" s="27" t="n"/>
      <c r="D34" s="19" t="n">
        <v>260</v>
      </c>
      <c r="E34" s="19" t="n">
        <v>272</v>
      </c>
      <c r="F34" s="28">
        <f>Quarterly!$K$13</f>
        <v/>
      </c>
      <c r="G34" s="27">
        <f>F34*(1+Inputs!$G$64+Inputs!$C$11)</f>
        <v/>
      </c>
      <c r="H34" s="27">
        <f>G34*(1+Inputs!$H$64+Inputs!$C$11)</f>
        <v/>
      </c>
      <c r="I34" s="27">
        <f>H34*(1+Inputs!$I$64+Inputs!$C$11)</f>
        <v/>
      </c>
      <c r="J34" s="27">
        <f>I34*(1+Inputs!$J$64+Inputs!$C$11)</f>
        <v/>
      </c>
    </row>
    <row r="35">
      <c r="A35" t="inlineStr">
        <is>
          <t xml:space="preserve">  OTC Derivatives (SwapClear et al.)</t>
        </is>
      </c>
      <c r="C35" s="27" t="n"/>
      <c r="D35" s="19" t="n">
        <v>582</v>
      </c>
      <c r="E35" s="19" t="n">
        <v>641</v>
      </c>
      <c r="F35" s="28">
        <f>Quarterly!$K$14</f>
        <v/>
      </c>
      <c r="G35" s="27">
        <f>F35*(1+Inputs!$G$58+Inputs!$C$11)*(1+Inputs!$G$59)</f>
        <v/>
      </c>
      <c r="H35" s="27">
        <f>G35*(1+Inputs!$H$58+Inputs!$C$11)*(1+Inputs!$H$59)</f>
        <v/>
      </c>
      <c r="I35" s="27">
        <f>H35*(1+Inputs!$I$58+Inputs!$C$11)*(1+Inputs!$I$59)</f>
        <v/>
      </c>
      <c r="J35" s="27">
        <f>I35*(1+Inputs!$J$58+Inputs!$C$11)*(1+Inputs!$J$59)</f>
        <v/>
      </c>
    </row>
    <row r="36">
      <c r="A36" t="inlineStr">
        <is>
          <t xml:space="preserve">  Securities &amp; Reporting</t>
        </is>
      </c>
      <c r="C36" s="27" t="n"/>
      <c r="D36" s="19" t="n">
        <v>235</v>
      </c>
      <c r="E36" s="19" t="n">
        <v>229</v>
      </c>
      <c r="F36" s="28">
        <f>Quarterly!$K$15</f>
        <v/>
      </c>
      <c r="G36" s="27">
        <f>F36*(1+Inputs!$G$65)</f>
        <v/>
      </c>
      <c r="H36" s="27">
        <f>G36*(1+Inputs!$H$65)</f>
        <v/>
      </c>
      <c r="I36" s="27">
        <f>H36*(1+Inputs!$I$65)</f>
        <v/>
      </c>
      <c r="J36" s="27">
        <f>I36*(1+Inputs!$J$65)</f>
        <v/>
      </c>
    </row>
    <row r="37">
      <c r="A37" t="inlineStr">
        <is>
          <t xml:space="preserve">  Non-Cash Collateral</t>
        </is>
      </c>
      <c r="C37" s="27" t="n"/>
      <c r="D37" s="19" t="n">
        <v>111</v>
      </c>
      <c r="E37" s="19" t="n">
        <v>117</v>
      </c>
      <c r="F37" s="28">
        <f>Quarterly!$K$16</f>
        <v/>
      </c>
      <c r="G37" s="27">
        <f>F37*(1+Inputs!$G$66)</f>
        <v/>
      </c>
      <c r="H37" s="27">
        <f>G37*(1+Inputs!$H$66)</f>
        <v/>
      </c>
      <c r="I37" s="27">
        <f>H37*(1+Inputs!$I$66)</f>
        <v/>
      </c>
      <c r="J37" s="27">
        <f>I37*(1+Inputs!$J$66)</f>
        <v/>
      </c>
    </row>
    <row r="38">
      <c r="A38" t="inlineStr">
        <is>
          <t xml:space="preserve">    Average cash collateral (€bn)</t>
        </is>
      </c>
      <c r="C38" s="33" t="n"/>
      <c r="D38" s="17" t="n">
        <v>109</v>
      </c>
      <c r="E38" s="17" t="n">
        <v>101.3</v>
      </c>
      <c r="F38" s="33">
        <f>Inputs!$C$60</f>
        <v/>
      </c>
      <c r="G38" s="33">
        <f>F38*(1+Inputs!$G$61)</f>
        <v/>
      </c>
      <c r="H38" s="33">
        <f>G38*(1+Inputs!$H$61)</f>
        <v/>
      </c>
      <c r="I38" s="33">
        <f>H38*(1+Inputs!$I$61)</f>
        <v/>
      </c>
      <c r="J38" s="33">
        <f>I38*(1+Inputs!$J$61)</f>
        <v/>
      </c>
    </row>
    <row r="39">
      <c r="A39" t="inlineStr">
        <is>
          <t xml:space="preserve">    Net treasury spread (bps)</t>
        </is>
      </c>
      <c r="C39" s="30" t="n"/>
      <c r="D39" s="30">
        <f>D40*Inputs!$C$20/(D38*1000)*10000</f>
        <v/>
      </c>
      <c r="E39" s="30">
        <f>E40*Inputs!$C$20/(E38*1000)*10000</f>
        <v/>
      </c>
      <c r="F39" s="31">
        <f>Quarterly!$K$17*Inputs!$C$20/(F38*1000)*10000</f>
        <v/>
      </c>
      <c r="G39" s="30">
        <f>F39*(1+Inputs!$G$62+IF(G$4=2027,Inputs!$C$13,0))</f>
        <v/>
      </c>
      <c r="H39" s="30">
        <f>G39*(1+Inputs!$H$62+IF(H$4=2027,Inputs!$C$13,0))</f>
        <v/>
      </c>
      <c r="I39" s="30">
        <f>H39*(1+Inputs!$I$62+IF(I$4=2027,Inputs!$C$13,0))</f>
        <v/>
      </c>
      <c r="J39" s="30">
        <f>I39*(1+Inputs!$J$62+IF(J$4=2027,Inputs!$C$13,0))</f>
        <v/>
      </c>
    </row>
    <row r="40">
      <c r="A40" t="inlineStr">
        <is>
          <t xml:space="preserve">  Net Treasury Income</t>
        </is>
      </c>
      <c r="C40" s="27" t="n"/>
      <c r="D40" s="19" t="n">
        <v>266</v>
      </c>
      <c r="E40" s="19" t="n">
        <v>257</v>
      </c>
      <c r="F40" s="28">
        <f>Quarterly!$K$17</f>
        <v/>
      </c>
      <c r="G40" s="27">
        <f>G38*1000*G39/10000/Inputs!$C$20</f>
        <v/>
      </c>
      <c r="H40" s="27">
        <f>H38*1000*H39/10000/Inputs!$C$20</f>
        <v/>
      </c>
      <c r="I40" s="27">
        <f>I38*1000*I39/10000/Inputs!$C$20</f>
        <v/>
      </c>
      <c r="J40" s="27">
        <f>J38*1000*J39/10000/Inputs!$C$20</f>
        <v/>
      </c>
    </row>
    <row r="41">
      <c r="A41" s="12" t="inlineStr">
        <is>
          <t>Markets income</t>
        </is>
      </c>
      <c r="C41" s="29" t="n"/>
      <c r="D41" s="29">
        <f>D30+D33+D34+D35+D36+D37+D40</f>
        <v/>
      </c>
      <c r="E41" s="29">
        <f>E30+E33+E34+E35+E36+E37+E40</f>
        <v/>
      </c>
      <c r="F41" s="29">
        <f>F30+F33+F34+F35+F36+F37+F40</f>
        <v/>
      </c>
      <c r="G41" s="29">
        <f>G30+G33+G34+G35+G36+G37+G40</f>
        <v/>
      </c>
      <c r="H41" s="29">
        <f>H30+H33+H34+H35+H36+H37+H40</f>
        <v/>
      </c>
      <c r="I41" s="29">
        <f>I30+I33+I34+I35+I36+I37+I40</f>
        <v/>
      </c>
      <c r="J41" s="29">
        <f>J30+J33+J34+J35+J36+J37+J40</f>
        <v/>
      </c>
    </row>
    <row r="42"/>
    <row r="43">
      <c r="A43" s="9" t="inlineStr">
        <is>
          <t>Other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</row>
    <row r="44">
      <c r="A44" t="inlineStr">
        <is>
          <t xml:space="preserve">  Other</t>
        </is>
      </c>
      <c r="C44" s="27" t="n"/>
      <c r="D44" s="19" t="n">
        <v>13</v>
      </c>
      <c r="E44" s="19" t="n">
        <v>8</v>
      </c>
      <c r="F44" s="28">
        <f>Quarterly!$K$18</f>
        <v/>
      </c>
      <c r="G44" s="27">
        <f>F44*(1+Inputs!$G$67)</f>
        <v/>
      </c>
      <c r="H44" s="27">
        <f>G44*(1+Inputs!$H$67)</f>
        <v/>
      </c>
      <c r="I44" s="27">
        <f>H44*(1+Inputs!$I$67)</f>
        <v/>
      </c>
      <c r="J44" s="27">
        <f>I44*(1+Inputs!$J$67)</f>
        <v/>
      </c>
    </row>
    <row r="45">
      <c r="A45" s="12" t="inlineStr">
        <is>
          <t>Other income</t>
        </is>
      </c>
      <c r="C45" s="34" t="n"/>
      <c r="D45" s="34">
        <f>D44</f>
        <v/>
      </c>
      <c r="E45" s="34">
        <f>E44</f>
        <v/>
      </c>
      <c r="F45" s="34">
        <f>F44</f>
        <v/>
      </c>
      <c r="G45" s="34">
        <f>G44</f>
        <v/>
      </c>
      <c r="H45" s="34">
        <f>H44</f>
        <v/>
      </c>
      <c r="I45" s="34">
        <f>I44</f>
        <v/>
      </c>
      <c r="J45" s="34">
        <f>J44</f>
        <v/>
      </c>
    </row>
    <row r="46"/>
    <row r="47">
      <c r="A47" s="9" t="inlineStr">
        <is>
          <t>Group income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</row>
    <row r="48">
      <c r="A48" s="12" t="inlineStr">
        <is>
          <t>Total income excl. recoveries</t>
        </is>
      </c>
      <c r="C48" s="35" t="n">
        <v>8009</v>
      </c>
      <c r="D48" s="34">
        <f>D16+D23+D27+D41+D45</f>
        <v/>
      </c>
      <c r="E48" s="34">
        <f>E16+E23+E27+E41+E45</f>
        <v/>
      </c>
      <c r="F48" s="34">
        <f>F16+F23+F27+F41+F45</f>
        <v/>
      </c>
      <c r="G48" s="34">
        <f>G16+G23+G27+G41+G45</f>
        <v/>
      </c>
      <c r="H48" s="34">
        <f>H16+H23+H27+H41+H45</f>
        <v/>
      </c>
      <c r="I48" s="34">
        <f>I16+I23+I27+I41+I45</f>
        <v/>
      </c>
      <c r="J48" s="34">
        <f>J16+J23+J27+J41+J45</f>
        <v/>
      </c>
    </row>
    <row r="49">
      <c r="A49" t="inlineStr">
        <is>
          <t xml:space="preserve">  growth</t>
        </is>
      </c>
      <c r="C49" s="13" t="n"/>
      <c r="D49" s="13">
        <f>D48/C48-1</f>
        <v/>
      </c>
      <c r="E49" s="13">
        <f>E48/D48-1</f>
        <v/>
      </c>
      <c r="F49" s="13">
        <f>F48/E48-1</f>
        <v/>
      </c>
      <c r="G49" s="13">
        <f>G48/F48-1</f>
        <v/>
      </c>
      <c r="H49" s="13">
        <f>H48/G48-1</f>
        <v/>
      </c>
      <c r="I49" s="13">
        <f>I48/H48-1</f>
        <v/>
      </c>
      <c r="J49" s="13">
        <f>J48/I48-1</f>
        <v/>
      </c>
    </row>
    <row r="50">
      <c r="A50" t="inlineStr">
        <is>
          <t xml:space="preserve">  Data &amp; Analytics growth</t>
        </is>
      </c>
      <c r="C50" s="13" t="n"/>
      <c r="D50" s="13" t="n"/>
      <c r="E50" s="13">
        <f>E16/D16-1</f>
        <v/>
      </c>
      <c r="F50" s="13">
        <f>F16/E16-1</f>
        <v/>
      </c>
      <c r="G50" s="13">
        <f>G16/F16-1</f>
        <v/>
      </c>
      <c r="H50" s="13">
        <f>H16/G16-1</f>
        <v/>
      </c>
      <c r="I50" s="13">
        <f>I16/H16-1</f>
        <v/>
      </c>
      <c r="J50" s="13">
        <f>J16/I16-1</f>
        <v/>
      </c>
    </row>
    <row r="51">
      <c r="A51" t="inlineStr">
        <is>
          <t xml:space="preserve">  FTSE Russell growth</t>
        </is>
      </c>
      <c r="C51" s="13" t="n"/>
      <c r="D51" s="13" t="n"/>
      <c r="E51" s="13">
        <f>E23/D23-1</f>
        <v/>
      </c>
      <c r="F51" s="13">
        <f>F23/E23-1</f>
        <v/>
      </c>
      <c r="G51" s="13">
        <f>G23/F23-1</f>
        <v/>
      </c>
      <c r="H51" s="13">
        <f>H23/G23-1</f>
        <v/>
      </c>
      <c r="I51" s="13">
        <f>I23/H23-1</f>
        <v/>
      </c>
      <c r="J51" s="13">
        <f>J23/I23-1</f>
        <v/>
      </c>
    </row>
    <row r="52">
      <c r="A52" t="inlineStr">
        <is>
          <t xml:space="preserve">  Risk Intelligence growth</t>
        </is>
      </c>
      <c r="C52" s="13" t="n"/>
      <c r="D52" s="13" t="n"/>
      <c r="E52" s="13">
        <f>E27/D27-1</f>
        <v/>
      </c>
      <c r="F52" s="13">
        <f>F27/E27-1</f>
        <v/>
      </c>
      <c r="G52" s="13">
        <f>G27/F27-1</f>
        <v/>
      </c>
      <c r="H52" s="13">
        <f>H27/G27-1</f>
        <v/>
      </c>
      <c r="I52" s="13">
        <f>I27/H27-1</f>
        <v/>
      </c>
      <c r="J52" s="13">
        <f>J27/I27-1</f>
        <v/>
      </c>
    </row>
    <row r="53">
      <c r="A53" t="inlineStr">
        <is>
          <t xml:space="preserve">  Markets growth</t>
        </is>
      </c>
      <c r="C53" s="13" t="n"/>
      <c r="D53" s="13" t="n"/>
      <c r="E53" s="13">
        <f>E41/D41-1</f>
        <v/>
      </c>
      <c r="F53" s="13">
        <f>F41/E41-1</f>
        <v/>
      </c>
      <c r="G53" s="13">
        <f>G41/F41-1</f>
        <v/>
      </c>
      <c r="H53" s="13">
        <f>H41/G41-1</f>
        <v/>
      </c>
      <c r="I53" s="13">
        <f>I41/H41-1</f>
        <v/>
      </c>
      <c r="J53" s="13">
        <f>J41/I41-1</f>
        <v/>
      </c>
    </row>
    <row r="54"/>
    <row r="55">
      <c r="A55" s="9" t="inlineStr">
        <is>
          <t>Divisional adjusted EBITDA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</row>
    <row r="56">
      <c r="A56" t="inlineStr">
        <is>
          <t xml:space="preserve">  Data &amp; Analytics margin</t>
        </is>
      </c>
      <c r="C56" s="13" t="n"/>
      <c r="D56" s="13">
        <f>D57/D16</f>
        <v/>
      </c>
      <c r="E56" s="13">
        <f>E57/E16</f>
        <v/>
      </c>
      <c r="F56" s="13">
        <f>Inputs!$F$71+IF(F$4&gt;=2027,Inputs!$C$14*(F$4-2026),0)</f>
        <v/>
      </c>
      <c r="G56" s="13">
        <f>Inputs!$G$71+IF(G$4&gt;=2027,Inputs!$C$14*(G$4-2026),0)</f>
        <v/>
      </c>
      <c r="H56" s="13">
        <f>Inputs!$H$71+IF(H$4&gt;=2027,Inputs!$C$14*(H$4-2026),0)</f>
        <v/>
      </c>
      <c r="I56" s="13">
        <f>Inputs!$I$71+IF(I$4&gt;=2027,Inputs!$C$14*(I$4-2026),0)</f>
        <v/>
      </c>
      <c r="J56" s="13">
        <f>Inputs!$J$71+IF(J$4&gt;=2027,Inputs!$C$14*(J$4-2026),0)</f>
        <v/>
      </c>
    </row>
    <row r="57">
      <c r="A57" t="inlineStr">
        <is>
          <t xml:space="preserve">  Data &amp; Analytics EBITDA</t>
        </is>
      </c>
      <c r="C57" s="27" t="n"/>
      <c r="D57" s="19" t="n">
        <v>1569</v>
      </c>
      <c r="E57" s="19" t="n">
        <v>1617</v>
      </c>
      <c r="F57" s="27">
        <f>(F16-F15)*F56</f>
        <v/>
      </c>
      <c r="G57" s="27">
        <f>(G16-G15)*G56</f>
        <v/>
      </c>
      <c r="H57" s="27">
        <f>(H16-H15)*H56</f>
        <v/>
      </c>
      <c r="I57" s="27">
        <f>(I16-I15)*I56</f>
        <v/>
      </c>
      <c r="J57" s="27">
        <f>(J16-J15)*J56</f>
        <v/>
      </c>
    </row>
    <row r="58">
      <c r="A58" t="inlineStr">
        <is>
          <t xml:space="preserve">  FTSE Russell margin</t>
        </is>
      </c>
      <c r="C58" s="13" t="n"/>
      <c r="D58" s="13">
        <f>D59/D23</f>
        <v/>
      </c>
      <c r="E58" s="13">
        <f>E59/E23</f>
        <v/>
      </c>
      <c r="F58" s="13">
        <f>Inputs!$F$72+IF(F$4&gt;=2027,Inputs!$C$14*(F$4-2026),0)</f>
        <v/>
      </c>
      <c r="G58" s="13">
        <f>Inputs!$G$72+IF(G$4&gt;=2027,Inputs!$C$14*(G$4-2026),0)</f>
        <v/>
      </c>
      <c r="H58" s="13">
        <f>Inputs!$H$72+IF(H$4&gt;=2027,Inputs!$C$14*(H$4-2026),0)</f>
        <v/>
      </c>
      <c r="I58" s="13">
        <f>Inputs!$I$72+IF(I$4&gt;=2027,Inputs!$C$14*(I$4-2026),0)</f>
        <v/>
      </c>
      <c r="J58" s="13">
        <f>Inputs!$J$72+IF(J$4&gt;=2027,Inputs!$C$14*(J$4-2026),0)</f>
        <v/>
      </c>
    </row>
    <row r="59">
      <c r="A59" t="inlineStr">
        <is>
          <t xml:space="preserve">  FTSE Russell EBITDA</t>
        </is>
      </c>
      <c r="C59" s="27" t="n"/>
      <c r="D59" s="19" t="n">
        <v>594</v>
      </c>
      <c r="E59" s="19" t="n">
        <v>635</v>
      </c>
      <c r="F59" s="27">
        <f>F23*F58</f>
        <v/>
      </c>
      <c r="G59" s="27">
        <f>G23*G58</f>
        <v/>
      </c>
      <c r="H59" s="27">
        <f>H23*H58</f>
        <v/>
      </c>
      <c r="I59" s="27">
        <f>I23*I58</f>
        <v/>
      </c>
      <c r="J59" s="27">
        <f>J23*J58</f>
        <v/>
      </c>
    </row>
    <row r="60">
      <c r="A60" t="inlineStr">
        <is>
          <t xml:space="preserve">  Risk Intelligence margin</t>
        </is>
      </c>
      <c r="C60" s="13" t="n"/>
      <c r="D60" s="13">
        <f>D61/D27</f>
        <v/>
      </c>
      <c r="E60" s="13">
        <f>E61/E27</f>
        <v/>
      </c>
      <c r="F60" s="13">
        <f>Inputs!$F$73+IF(F$4&gt;=2027,Inputs!$C$14*(F$4-2026),0)</f>
        <v/>
      </c>
      <c r="G60" s="13">
        <f>Inputs!$G$73+IF(G$4&gt;=2027,Inputs!$C$14*(G$4-2026),0)</f>
        <v/>
      </c>
      <c r="H60" s="13">
        <f>Inputs!$H$73+IF(H$4&gt;=2027,Inputs!$C$14*(H$4-2026),0)</f>
        <v/>
      </c>
      <c r="I60" s="13">
        <f>Inputs!$I$73+IF(I$4&gt;=2027,Inputs!$C$14*(I$4-2026),0)</f>
        <v/>
      </c>
      <c r="J60" s="13">
        <f>Inputs!$J$73+IF(J$4&gt;=2027,Inputs!$C$14*(J$4-2026),0)</f>
        <v/>
      </c>
    </row>
    <row r="61">
      <c r="A61" t="inlineStr">
        <is>
          <t xml:space="preserve">  Risk Intelligence EBITDA</t>
        </is>
      </c>
      <c r="C61" s="27" t="n"/>
      <c r="D61" s="19" t="n">
        <v>293</v>
      </c>
      <c r="E61" s="19" t="n">
        <v>333</v>
      </c>
      <c r="F61" s="27">
        <f>F27*F60</f>
        <v/>
      </c>
      <c r="G61" s="27">
        <f>G27*G60</f>
        <v/>
      </c>
      <c r="H61" s="27">
        <f>H27*H60</f>
        <v/>
      </c>
      <c r="I61" s="27">
        <f>I27*I60</f>
        <v/>
      </c>
      <c r="J61" s="27">
        <f>J27*J60</f>
        <v/>
      </c>
    </row>
    <row r="62">
      <c r="A62" t="inlineStr">
        <is>
          <t xml:space="preserve">  Markets margin</t>
        </is>
      </c>
      <c r="C62" s="13" t="n"/>
      <c r="D62" s="13">
        <f>D63/D41</f>
        <v/>
      </c>
      <c r="E62" s="13">
        <f>E63/E41</f>
        <v/>
      </c>
      <c r="F62" s="13">
        <f>Inputs!$F$74+IF(F$4&gt;=2027,Inputs!$C$14*(F$4-2026),0)</f>
        <v/>
      </c>
      <c r="G62" s="13">
        <f>Inputs!$G$74+IF(G$4&gt;=2027,Inputs!$C$14*(G$4-2026),0)</f>
        <v/>
      </c>
      <c r="H62" s="13">
        <f>Inputs!$H$74+IF(H$4&gt;=2027,Inputs!$C$14*(H$4-2026),0)</f>
        <v/>
      </c>
      <c r="I62" s="13">
        <f>Inputs!$I$74+IF(I$4&gt;=2027,Inputs!$C$14*(I$4-2026),0)</f>
        <v/>
      </c>
      <c r="J62" s="13">
        <f>Inputs!$J$74+IF(J$4&gt;=2027,Inputs!$C$14*(J$4-2026),0)</f>
        <v/>
      </c>
    </row>
    <row r="63">
      <c r="A63" t="inlineStr">
        <is>
          <t xml:space="preserve">  Markets EBITDA</t>
        </is>
      </c>
      <c r="C63" s="27" t="n"/>
      <c r="D63" s="19" t="n">
        <v>1656</v>
      </c>
      <c r="E63" s="19" t="n">
        <v>1929</v>
      </c>
      <c r="F63" s="27">
        <f>F41*F62</f>
        <v/>
      </c>
      <c r="G63" s="27">
        <f>G41*G62</f>
        <v/>
      </c>
      <c r="H63" s="27">
        <f>H41*H62</f>
        <v/>
      </c>
      <c r="I63" s="27">
        <f>I41*I62</f>
        <v/>
      </c>
      <c r="J63" s="27">
        <f>J41*J62</f>
        <v/>
      </c>
    </row>
    <row r="64">
      <c r="A64" t="inlineStr">
        <is>
          <t xml:space="preserve">  Octus EBITDA</t>
        </is>
      </c>
      <c r="C64" s="27" t="n"/>
      <c r="D64" s="27" t="n"/>
      <c r="E64" s="27" t="n"/>
      <c r="F64" s="27">
        <f>F15*Inputs!$C$97</f>
        <v/>
      </c>
      <c r="G64" s="27">
        <f>G15*Inputs!$C$97</f>
        <v/>
      </c>
      <c r="H64" s="27">
        <f>H15*Inputs!$C$97</f>
        <v/>
      </c>
      <c r="I64" s="27">
        <f>I15*Inputs!$C$97</f>
        <v/>
      </c>
      <c r="J64" s="27">
        <f>J15*Inputs!$C$97</f>
        <v/>
      </c>
    </row>
    <row r="65">
      <c r="A65" t="inlineStr">
        <is>
          <t xml:space="preserve">  Other EBITDA</t>
        </is>
      </c>
      <c r="C65" s="27" t="n"/>
      <c r="D65" s="19" t="n">
        <v>36</v>
      </c>
      <c r="E65" s="19" t="n">
        <v>9</v>
      </c>
      <c r="F65" s="27">
        <f>Inputs!$C$75</f>
        <v/>
      </c>
      <c r="G65" s="27">
        <f>Inputs!$C$75</f>
        <v/>
      </c>
      <c r="H65" s="27">
        <f>Inputs!$C$75</f>
        <v/>
      </c>
      <c r="I65" s="27">
        <f>Inputs!$C$75</f>
        <v/>
      </c>
      <c r="J65" s="27">
        <f>Inputs!$C$75</f>
        <v/>
      </c>
    </row>
    <row r="66">
      <c r="A66" s="12" t="inlineStr">
        <is>
          <t>Group adjusted EBITDA</t>
        </is>
      </c>
      <c r="C66" s="36" t="n">
        <v>3777</v>
      </c>
      <c r="D66" s="29">
        <f>D57+D59+D61+D63+D65</f>
        <v/>
      </c>
      <c r="E66" s="29">
        <f>E57+E59+E61+E63+E65</f>
        <v/>
      </c>
      <c r="F66" s="29">
        <f>F57+F59+F61+F63+F64+F65</f>
        <v/>
      </c>
      <c r="G66" s="29">
        <f>G57+G59+G61+G63+G64+G65</f>
        <v/>
      </c>
      <c r="H66" s="29">
        <f>H57+H59+H61+H63+H64+H65</f>
        <v/>
      </c>
      <c r="I66" s="29">
        <f>I57+I59+I61+I63+I64+I65</f>
        <v/>
      </c>
      <c r="J66" s="29">
        <f>J57+J59+J61+J63+J64+J65</f>
        <v/>
      </c>
    </row>
    <row r="67">
      <c r="A67" t="inlineStr">
        <is>
          <t xml:space="preserve">  Group EBITDA margin</t>
        </is>
      </c>
      <c r="C67" s="13">
        <f>C66/C48</f>
        <v/>
      </c>
      <c r="D67" s="13">
        <f>D66/D48</f>
        <v/>
      </c>
      <c r="E67" s="13">
        <f>E66/E48</f>
        <v/>
      </c>
      <c r="F67" s="13">
        <f>F66/F48</f>
        <v/>
      </c>
      <c r="G67" s="13">
        <f>G66/G48</f>
        <v/>
      </c>
      <c r="H67" s="13">
        <f>H66/H48</f>
        <v/>
      </c>
      <c r="I67" s="13">
        <f>I66/I48</f>
        <v/>
      </c>
      <c r="J67" s="13">
        <f>J66/J48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LSEG – Quarterly income by line (£m)</t>
        </is>
      </c>
    </row>
    <row r="2">
      <c r="A2" t="inlineStr">
        <is>
          <t>Q1 2025–Q3 2026 sourced from company releases. Q4 2026E = Q4 2025 × (1 + Inputs growth). FY2026E feeds the Divisions sheet.</t>
        </is>
      </c>
    </row>
    <row r="4">
      <c r="A4" s="8" t="inlineStr">
        <is>
          <t>Line</t>
        </is>
      </c>
      <c r="B4" s="8" t="inlineStr">
        <is>
          <t>Q1 25</t>
        </is>
      </c>
      <c r="C4" s="8" t="inlineStr">
        <is>
          <t>Q2 25</t>
        </is>
      </c>
      <c r="D4" s="8" t="inlineStr">
        <is>
          <t>Q3 25</t>
        </is>
      </c>
      <c r="E4" s="8" t="inlineStr">
        <is>
          <t>Q4 25</t>
        </is>
      </c>
      <c r="F4" s="8" t="inlineStr">
        <is>
          <t>Q1 26</t>
        </is>
      </c>
      <c r="G4" s="8" t="inlineStr">
        <is>
          <t>Q2 26</t>
        </is>
      </c>
      <c r="H4" s="8" t="inlineStr">
        <is>
          <t>Q3 26</t>
        </is>
      </c>
      <c r="I4" s="8" t="inlineStr">
        <is>
          <t>Q4 26E</t>
        </is>
      </c>
      <c r="J4" s="8" t="inlineStr">
        <is>
          <t>FY25 (sum)</t>
        </is>
      </c>
      <c r="K4" s="8" t="inlineStr">
        <is>
          <t>FY26E</t>
        </is>
      </c>
      <c r="L4" s="8" t="inlineStr">
        <is>
          <t>FY26E growth</t>
        </is>
      </c>
      <c r="M4" s="8" t="inlineStr">
        <is>
          <t>Q4E growth</t>
        </is>
      </c>
    </row>
    <row r="5">
      <c r="A5" t="inlineStr">
        <is>
          <t>Workflows</t>
        </is>
      </c>
      <c r="B5" s="19" t="n">
        <v>491</v>
      </c>
      <c r="C5" s="19" t="n">
        <v>477</v>
      </c>
      <c r="D5" s="19" t="n">
        <v>471</v>
      </c>
      <c r="E5" s="19" t="n">
        <v>481</v>
      </c>
      <c r="F5" s="19" t="n">
        <v>491</v>
      </c>
      <c r="G5" s="19" t="n">
        <v>489</v>
      </c>
      <c r="H5" s="19" t="n">
        <v>479</v>
      </c>
      <c r="I5" s="27">
        <f>E5*(1+Inputs!$C$24)</f>
        <v/>
      </c>
      <c r="J5" s="27">
        <f>SUM(B5:E5)</f>
        <v/>
      </c>
      <c r="K5" s="27">
        <f>SUM(F5:I5)</f>
        <v/>
      </c>
      <c r="L5" s="13">
        <f>K5/J5-1</f>
        <v/>
      </c>
      <c r="M5" s="13">
        <f>I5/E5-1</f>
        <v/>
      </c>
    </row>
    <row r="6">
      <c r="A6" t="inlineStr">
        <is>
          <t>Data &amp; Feeds</t>
        </is>
      </c>
      <c r="B6" s="19" t="n">
        <v>454</v>
      </c>
      <c r="C6" s="19" t="n">
        <v>453</v>
      </c>
      <c r="D6" s="19" t="n">
        <v>453</v>
      </c>
      <c r="E6" s="19" t="n">
        <v>466</v>
      </c>
      <c r="F6" s="19" t="n">
        <v>475</v>
      </c>
      <c r="G6" s="19" t="n">
        <v>486</v>
      </c>
      <c r="H6" s="19" t="n">
        <v>483</v>
      </c>
      <c r="I6" s="27">
        <f>E6*(1+Inputs!$C$25)</f>
        <v/>
      </c>
      <c r="J6" s="27">
        <f>SUM(B6:E6)</f>
        <v/>
      </c>
      <c r="K6" s="27">
        <f>SUM(F6:I6)</f>
        <v/>
      </c>
      <c r="L6" s="13">
        <f>K6/J6-1</f>
        <v/>
      </c>
      <c r="M6" s="13">
        <f>I6/E6-1</f>
        <v/>
      </c>
    </row>
    <row r="7">
      <c r="A7" t="inlineStr">
        <is>
          <t>Analytics</t>
        </is>
      </c>
      <c r="B7" s="19" t="n">
        <v>59</v>
      </c>
      <c r="C7" s="19" t="n">
        <v>57</v>
      </c>
      <c r="D7" s="19" t="n">
        <v>58</v>
      </c>
      <c r="E7" s="19" t="n">
        <v>58</v>
      </c>
      <c r="F7" s="19" t="n">
        <v>59</v>
      </c>
      <c r="G7" s="19" t="n">
        <v>61</v>
      </c>
      <c r="H7" s="19" t="n">
        <v>61</v>
      </c>
      <c r="I7" s="27">
        <f>E7*(1+Inputs!$C$26)</f>
        <v/>
      </c>
      <c r="J7" s="27">
        <f>SUM(B7:E7)</f>
        <v/>
      </c>
      <c r="K7" s="27">
        <f>SUM(F7:I7)</f>
        <v/>
      </c>
      <c r="L7" s="13">
        <f>K7/J7-1</f>
        <v/>
      </c>
      <c r="M7" s="13">
        <f>I7/E7-1</f>
        <v/>
      </c>
    </row>
    <row r="8">
      <c r="A8" t="inlineStr">
        <is>
          <t>FTSE Russell Subscription</t>
        </is>
      </c>
      <c r="B8" s="19" t="n">
        <v>155</v>
      </c>
      <c r="C8" s="19" t="n">
        <v>159</v>
      </c>
      <c r="D8" s="19" t="n">
        <v>157</v>
      </c>
      <c r="E8" s="19" t="n">
        <v>159</v>
      </c>
      <c r="F8" s="19" t="n">
        <v>160</v>
      </c>
      <c r="G8" s="19" t="n">
        <v>165</v>
      </c>
      <c r="H8" s="19" t="n">
        <v>169</v>
      </c>
      <c r="I8" s="27">
        <f>E8*(1+Inputs!$C$27)</f>
        <v/>
      </c>
      <c r="J8" s="27">
        <f>SUM(B8:E8)</f>
        <v/>
      </c>
      <c r="K8" s="27">
        <f>SUM(F8:I8)</f>
        <v/>
      </c>
      <c r="L8" s="13">
        <f>K8/J8-1</f>
        <v/>
      </c>
      <c r="M8" s="13">
        <f>I8/E8-1</f>
        <v/>
      </c>
    </row>
    <row r="9">
      <c r="A9" t="inlineStr">
        <is>
          <t>FTSE Russell Asset-based</t>
        </is>
      </c>
      <c r="B9" s="19" t="n">
        <v>83</v>
      </c>
      <c r="C9" s="19" t="n">
        <v>75</v>
      </c>
      <c r="D9" s="19" t="n">
        <v>84</v>
      </c>
      <c r="E9" s="19" t="n">
        <v>82</v>
      </c>
      <c r="F9" s="19" t="n">
        <v>88</v>
      </c>
      <c r="G9" s="19" t="n">
        <v>91</v>
      </c>
      <c r="H9" s="19" t="n">
        <v>96</v>
      </c>
      <c r="I9" s="27">
        <f>E9*(1+Inputs!$C$28)</f>
        <v/>
      </c>
      <c r="J9" s="27">
        <f>SUM(B9:E9)</f>
        <v/>
      </c>
      <c r="K9" s="27">
        <f>SUM(F9:I9)</f>
        <v/>
      </c>
      <c r="L9" s="13">
        <f>K9/J9-1</f>
        <v/>
      </c>
      <c r="M9" s="13">
        <f>I9/E9-1</f>
        <v/>
      </c>
    </row>
    <row r="10">
      <c r="A10" t="inlineStr">
        <is>
          <t>Risk Intelligence</t>
        </is>
      </c>
      <c r="B10" s="19" t="n">
        <v>143</v>
      </c>
      <c r="C10" s="19" t="n">
        <v>144</v>
      </c>
      <c r="D10" s="19" t="n">
        <v>144</v>
      </c>
      <c r="E10" s="19" t="n">
        <v>148</v>
      </c>
      <c r="F10" s="19" t="n">
        <v>153</v>
      </c>
      <c r="G10" s="19" t="n">
        <v>157</v>
      </c>
      <c r="H10" s="19" t="n">
        <v>160</v>
      </c>
      <c r="I10" s="27">
        <f>E10*(1+Inputs!$C$29)</f>
        <v/>
      </c>
      <c r="J10" s="27">
        <f>SUM(B10:E10)</f>
        <v/>
      </c>
      <c r="K10" s="27">
        <f>SUM(F10:I10)</f>
        <v/>
      </c>
      <c r="L10" s="13">
        <f>K10/J10-1</f>
        <v/>
      </c>
      <c r="M10" s="13">
        <f>I10/E10-1</f>
        <v/>
      </c>
    </row>
    <row r="11">
      <c r="A11" t="inlineStr">
        <is>
          <t>Equities</t>
        </is>
      </c>
      <c r="B11" s="19" t="n">
        <v>102</v>
      </c>
      <c r="C11" s="19" t="n">
        <v>103</v>
      </c>
      <c r="D11" s="19" t="n">
        <v>102</v>
      </c>
      <c r="E11" s="19" t="n">
        <v>105</v>
      </c>
      <c r="F11" s="19" t="n">
        <v>114</v>
      </c>
      <c r="G11" s="19" t="n">
        <v>116</v>
      </c>
      <c r="H11" s="19" t="n">
        <v>112</v>
      </c>
      <c r="I11" s="27">
        <f>E11*(1+Inputs!$C$30)</f>
        <v/>
      </c>
      <c r="J11" s="27">
        <f>SUM(B11:E11)</f>
        <v/>
      </c>
      <c r="K11" s="27">
        <f>SUM(F11:I11)</f>
        <v/>
      </c>
      <c r="L11" s="13">
        <f>K11/J11-1</f>
        <v/>
      </c>
      <c r="M11" s="13">
        <f>I11/E11-1</f>
        <v/>
      </c>
    </row>
    <row r="12">
      <c r="A12" t="inlineStr">
        <is>
          <t>Fixed Income, Derivatives &amp; Other</t>
        </is>
      </c>
      <c r="B12" s="19" t="n">
        <v>394</v>
      </c>
      <c r="C12" s="19" t="n">
        <v>383</v>
      </c>
      <c r="D12" s="19" t="n">
        <v>375</v>
      </c>
      <c r="E12" s="19" t="n">
        <v>387</v>
      </c>
      <c r="F12" s="19" t="n">
        <v>452</v>
      </c>
      <c r="G12" s="19" t="n">
        <v>412</v>
      </c>
      <c r="H12" s="19" t="n">
        <v>428</v>
      </c>
      <c r="I12" s="27">
        <f>E12*(1+Inputs!$C$31)</f>
        <v/>
      </c>
      <c r="J12" s="27">
        <f>SUM(B12:E12)</f>
        <v/>
      </c>
      <c r="K12" s="27">
        <f>SUM(F12:I12)</f>
        <v/>
      </c>
      <c r="L12" s="13">
        <f>K12/J12-1</f>
        <v/>
      </c>
      <c r="M12" s="13">
        <f>I12/E12-1</f>
        <v/>
      </c>
    </row>
    <row r="13">
      <c r="A13" t="inlineStr">
        <is>
          <t>FX</t>
        </is>
      </c>
      <c r="B13" s="19" t="n">
        <v>69</v>
      </c>
      <c r="C13" s="19" t="n">
        <v>70</v>
      </c>
      <c r="D13" s="19" t="n">
        <v>67</v>
      </c>
      <c r="E13" s="19" t="n">
        <v>66</v>
      </c>
      <c r="F13" s="19" t="n">
        <v>74</v>
      </c>
      <c r="G13" s="19" t="n">
        <v>71</v>
      </c>
      <c r="H13" s="19" t="n">
        <v>70</v>
      </c>
      <c r="I13" s="27">
        <f>E13*(1+Inputs!$C$32)</f>
        <v/>
      </c>
      <c r="J13" s="27">
        <f>SUM(B13:E13)</f>
        <v/>
      </c>
      <c r="K13" s="27">
        <f>SUM(F13:I13)</f>
        <v/>
      </c>
      <c r="L13" s="13">
        <f>K13/J13-1</f>
        <v/>
      </c>
      <c r="M13" s="13">
        <f>I13/E13-1</f>
        <v/>
      </c>
    </row>
    <row r="14">
      <c r="A14" t="inlineStr">
        <is>
          <t>OTC Derivatives</t>
        </is>
      </c>
      <c r="B14" s="19" t="n">
        <v>161</v>
      </c>
      <c r="C14" s="19" t="n">
        <v>153</v>
      </c>
      <c r="D14" s="19" t="n">
        <v>160</v>
      </c>
      <c r="E14" s="19" t="n">
        <v>167</v>
      </c>
      <c r="F14" s="19" t="n">
        <v>183</v>
      </c>
      <c r="G14" s="19" t="n">
        <v>172</v>
      </c>
      <c r="H14" s="19" t="n">
        <v>186</v>
      </c>
      <c r="I14" s="27">
        <f>E14*(1+Inputs!$C$33)</f>
        <v/>
      </c>
      <c r="J14" s="27">
        <f>SUM(B14:E14)</f>
        <v/>
      </c>
      <c r="K14" s="27">
        <f>SUM(F14:I14)</f>
        <v/>
      </c>
      <c r="L14" s="13">
        <f>K14/J14-1</f>
        <v/>
      </c>
      <c r="M14" s="13">
        <f>I14/E14-1</f>
        <v/>
      </c>
    </row>
    <row r="15">
      <c r="A15" t="inlineStr">
        <is>
          <t>Securities &amp; Reporting</t>
        </is>
      </c>
      <c r="B15" s="19" t="n">
        <v>56</v>
      </c>
      <c r="C15" s="19" t="n">
        <v>59</v>
      </c>
      <c r="D15" s="19" t="n">
        <v>55</v>
      </c>
      <c r="E15" s="19" t="n">
        <v>59</v>
      </c>
      <c r="F15" s="19" t="n">
        <v>61</v>
      </c>
      <c r="G15" s="19" t="n">
        <v>63</v>
      </c>
      <c r="H15" s="19" t="n">
        <v>61</v>
      </c>
      <c r="I15" s="27">
        <f>E15*(1+Inputs!$C$34)</f>
        <v/>
      </c>
      <c r="J15" s="27">
        <f>SUM(B15:E15)</f>
        <v/>
      </c>
      <c r="K15" s="27">
        <f>SUM(F15:I15)</f>
        <v/>
      </c>
      <c r="L15" s="13">
        <f>K15/J15-1</f>
        <v/>
      </c>
      <c r="M15" s="13">
        <f>I15/E15-1</f>
        <v/>
      </c>
    </row>
    <row r="16">
      <c r="A16" t="inlineStr">
        <is>
          <t>Non-Cash Collateral</t>
        </is>
      </c>
      <c r="B16" s="19" t="n">
        <v>27</v>
      </c>
      <c r="C16" s="19" t="n">
        <v>30</v>
      </c>
      <c r="D16" s="19" t="n">
        <v>30</v>
      </c>
      <c r="E16" s="19" t="n">
        <v>30</v>
      </c>
      <c r="F16" s="19" t="n">
        <v>29</v>
      </c>
      <c r="G16" s="19" t="n">
        <v>30</v>
      </c>
      <c r="H16" s="19" t="n">
        <v>27</v>
      </c>
      <c r="I16" s="27">
        <f>E16*(1+Inputs!$C$35)</f>
        <v/>
      </c>
      <c r="J16" s="27">
        <f>SUM(B16:E16)</f>
        <v/>
      </c>
      <c r="K16" s="27">
        <f>SUM(F16:I16)</f>
        <v/>
      </c>
      <c r="L16" s="13">
        <f>K16/J16-1</f>
        <v/>
      </c>
      <c r="M16" s="13">
        <f>I16/E16-1</f>
        <v/>
      </c>
    </row>
    <row r="17">
      <c r="A17" t="inlineStr">
        <is>
          <t>Net Treasury Income</t>
        </is>
      </c>
      <c r="B17" s="19" t="n">
        <v>65</v>
      </c>
      <c r="C17" s="19" t="n">
        <v>63</v>
      </c>
      <c r="D17" s="19" t="n">
        <v>61</v>
      </c>
      <c r="E17" s="19" t="n">
        <v>68</v>
      </c>
      <c r="F17" s="19" t="n">
        <v>74</v>
      </c>
      <c r="G17" s="19" t="n">
        <v>69</v>
      </c>
      <c r="H17" s="19" t="n">
        <v>73</v>
      </c>
      <c r="I17" s="27">
        <f>E17*(1+Inputs!$C$36)</f>
        <v/>
      </c>
      <c r="J17" s="27">
        <f>SUM(B17:E17)</f>
        <v/>
      </c>
      <c r="K17" s="27">
        <f>SUM(F17:I17)</f>
        <v/>
      </c>
      <c r="L17" s="13">
        <f>K17/J17-1</f>
        <v/>
      </c>
      <c r="M17" s="13">
        <f>I17/E17-1</f>
        <v/>
      </c>
    </row>
    <row r="18">
      <c r="A18" t="inlineStr">
        <is>
          <t>Other</t>
        </is>
      </c>
      <c r="B18" s="19" t="n">
        <v>2</v>
      </c>
      <c r="C18" s="19" t="n">
        <v>2</v>
      </c>
      <c r="D18" s="19" t="n">
        <v>2</v>
      </c>
      <c r="E18" s="19" t="n">
        <v>2</v>
      </c>
      <c r="F18" s="19" t="n">
        <v>2</v>
      </c>
      <c r="G18" s="19" t="n">
        <v>2</v>
      </c>
      <c r="H18" s="19" t="n">
        <v>2</v>
      </c>
      <c r="I18" s="27">
        <f>E18*(1+Inputs!$C$37)</f>
        <v/>
      </c>
      <c r="J18" s="27">
        <f>SUM(B18:E18)</f>
        <v/>
      </c>
      <c r="K18" s="27">
        <f>SUM(F18:I18)</f>
        <v/>
      </c>
      <c r="L18" s="13">
        <f>K18/J18-1</f>
        <v/>
      </c>
      <c r="M18" s="13">
        <f>I18/E18-1</f>
        <v/>
      </c>
    </row>
    <row r="19">
      <c r="A19" s="12" t="inlineStr">
        <is>
          <t>Total income excl. recoveries</t>
        </is>
      </c>
      <c r="B19" s="37">
        <f>SUM(B5:B18)</f>
        <v/>
      </c>
      <c r="C19" s="37">
        <f>SUM(C5:C18)</f>
        <v/>
      </c>
      <c r="D19" s="37">
        <f>SUM(D5:D18)</f>
        <v/>
      </c>
      <c r="E19" s="37">
        <f>SUM(E5:E18)</f>
        <v/>
      </c>
      <c r="F19" s="37">
        <f>SUM(F5:F18)</f>
        <v/>
      </c>
      <c r="G19" s="37">
        <f>SUM(G5:G18)</f>
        <v/>
      </c>
      <c r="H19" s="37">
        <f>SUM(H5:H18)</f>
        <v/>
      </c>
      <c r="I19" s="37">
        <f>SUM(I5:I18)</f>
        <v/>
      </c>
      <c r="J19" s="37">
        <f>SUM(J5:J18)</f>
        <v/>
      </c>
      <c r="K19" s="37">
        <f>SUM(K5:K18)</f>
        <v/>
      </c>
      <c r="L19" s="13">
        <f>K19/J19-1</f>
        <v/>
      </c>
    </row>
    <row r="20">
      <c r="A20" t="inlineStr">
        <is>
          <t>YoY growth (total)</t>
        </is>
      </c>
      <c r="F20" s="13">
        <f>F19/B19-1</f>
        <v/>
      </c>
      <c r="G20" s="13">
        <f>G19/C19-1</f>
        <v/>
      </c>
      <c r="H20" s="13">
        <f>H19/D19-1</f>
        <v/>
      </c>
      <c r="I20" s="13">
        <f>I19/E19-1</f>
        <v/>
      </c>
    </row>
    <row r="22">
      <c r="A22" t="inlineStr">
        <is>
          <t>Note: 2025 quarterly sums differ from reported FY by up to £5m per line (restatements/rounding); FY figures on Divisions use the reported FY.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Module: react to results – LSEG Q3 2026 trading update</t>
        </is>
      </c>
    </row>
    <row r="2">
      <c r="A2" t="inlineStr">
        <is>
          <t>Pre-results model = Q3 estimated from each line's H1 2026 growth, no Octus. Post-results = Q3 actuals plus Octus. Snapshot from lseg/engine.py.</t>
        </is>
      </c>
    </row>
    <row r="4">
      <c r="A4" s="8" t="inlineStr">
        <is>
          <t>Line</t>
        </is>
      </c>
      <c r="B4" s="8" t="inlineStr">
        <is>
          <t>Q3 26 expected</t>
        </is>
      </c>
      <c r="C4" s="8" t="inlineStr">
        <is>
          <t>Q3 26 actual</t>
        </is>
      </c>
      <c r="D4" s="8" t="inlineStr">
        <is>
          <t>Surprise £m</t>
        </is>
      </c>
      <c r="E4" s="8" t="inlineStr">
        <is>
          <t>Surprise %</t>
        </is>
      </c>
    </row>
    <row r="5">
      <c r="A5" s="27" t="inlineStr">
        <is>
          <t>Workflows</t>
        </is>
      </c>
      <c r="B5" s="27" t="n">
        <v>476.8388429752066</v>
      </c>
      <c r="C5" s="27" t="n">
        <v>479</v>
      </c>
      <c r="D5" s="27" t="n">
        <v>2.161157024793397</v>
      </c>
      <c r="E5" s="13" t="n">
        <v>0.004532258763378039</v>
      </c>
    </row>
    <row r="6">
      <c r="A6" s="27" t="inlineStr">
        <is>
          <t>Data &amp; Feeds</t>
        </is>
      </c>
      <c r="B6" s="27" t="n">
        <v>479.9702315325248</v>
      </c>
      <c r="C6" s="27" t="n">
        <v>483</v>
      </c>
      <c r="D6" s="27" t="n">
        <v>3.029768467475208</v>
      </c>
      <c r="E6" s="13" t="n">
        <v>0.006312409121293383</v>
      </c>
    </row>
    <row r="7">
      <c r="A7" s="27" t="inlineStr">
        <is>
          <t>Analytics</t>
        </is>
      </c>
      <c r="B7" s="27" t="n">
        <v>60</v>
      </c>
      <c r="C7" s="27" t="n">
        <v>61</v>
      </c>
      <c r="D7" s="27" t="n">
        <v>1</v>
      </c>
      <c r="E7" s="13" t="n">
        <v>0.01666666666666661</v>
      </c>
    </row>
    <row r="8">
      <c r="A8" s="27" t="inlineStr">
        <is>
          <t>FTSE Russell Subscription</t>
        </is>
      </c>
      <c r="B8" s="27" t="n">
        <v>162.5</v>
      </c>
      <c r="C8" s="27" t="n">
        <v>169</v>
      </c>
      <c r="D8" s="27" t="n">
        <v>6.5</v>
      </c>
      <c r="E8" s="13" t="n">
        <v>0.04000000000000004</v>
      </c>
    </row>
    <row r="9">
      <c r="A9" s="27" t="inlineStr">
        <is>
          <t>FTSE Russell Asset-based</t>
        </is>
      </c>
      <c r="B9" s="27" t="n">
        <v>95.16455696202532</v>
      </c>
      <c r="C9" s="27" t="n">
        <v>96</v>
      </c>
      <c r="D9" s="27" t="n">
        <v>0.8354430379746844</v>
      </c>
      <c r="E9" s="13" t="n">
        <v>0.008778930566640142</v>
      </c>
    </row>
    <row r="10">
      <c r="A10" s="27" t="inlineStr">
        <is>
          <t>Risk Intelligence</t>
        </is>
      </c>
      <c r="B10" s="27" t="n">
        <v>155.5400696864112</v>
      </c>
      <c r="C10" s="27" t="n">
        <v>160</v>
      </c>
      <c r="D10" s="27" t="n">
        <v>4.459930313588842</v>
      </c>
      <c r="E10" s="13" t="n">
        <v>0.02867383512544808</v>
      </c>
    </row>
    <row r="11">
      <c r="A11" s="27" t="inlineStr">
        <is>
          <t>Equities</t>
        </is>
      </c>
      <c r="B11" s="27" t="n">
        <v>114.4390243902439</v>
      </c>
      <c r="C11" s="27" t="n">
        <v>112</v>
      </c>
      <c r="D11" s="27" t="n">
        <v>-2.439024390243901</v>
      </c>
      <c r="E11" s="13" t="n">
        <v>-0.02131287297527706</v>
      </c>
    </row>
    <row r="12">
      <c r="A12" s="27" t="inlineStr">
        <is>
          <t>Fixed Income, Derivatives &amp; Other</t>
        </is>
      </c>
      <c r="B12" s="27" t="n">
        <v>416.988416988417</v>
      </c>
      <c r="C12" s="27" t="n">
        <v>428</v>
      </c>
      <c r="D12" s="27" t="n">
        <v>11.01158301158301</v>
      </c>
      <c r="E12" s="13" t="n">
        <v>0.02640740740740743</v>
      </c>
    </row>
    <row r="13">
      <c r="A13" s="27" t="inlineStr">
        <is>
          <t>FX</t>
        </is>
      </c>
      <c r="B13" s="27" t="n">
        <v>69.89208633093526</v>
      </c>
      <c r="C13" s="27" t="n">
        <v>70</v>
      </c>
      <c r="D13" s="27" t="n">
        <v>0.1079136690647431</v>
      </c>
      <c r="E13" s="13" t="n">
        <v>0.001544004117344233</v>
      </c>
    </row>
    <row r="14">
      <c r="A14" s="27" t="inlineStr">
        <is>
          <t>OTC Derivatives</t>
        </is>
      </c>
      <c r="B14" s="27" t="n">
        <v>180.8917197452229</v>
      </c>
      <c r="C14" s="27" t="n">
        <v>186</v>
      </c>
      <c r="D14" s="27" t="n">
        <v>5.108280254777071</v>
      </c>
      <c r="E14" s="13" t="n">
        <v>0.02823943661971828</v>
      </c>
    </row>
    <row r="15">
      <c r="A15" s="27" t="inlineStr">
        <is>
          <t>Securities &amp; Reporting</t>
        </is>
      </c>
      <c r="B15" s="27" t="n">
        <v>59.30434782608695</v>
      </c>
      <c r="C15" s="27" t="n">
        <v>61</v>
      </c>
      <c r="D15" s="27" t="n">
        <v>1.695652173913047</v>
      </c>
      <c r="E15" s="13" t="n">
        <v>0.02859237536656889</v>
      </c>
    </row>
    <row r="16">
      <c r="A16" s="27" t="inlineStr">
        <is>
          <t>Non-Cash Collateral</t>
        </is>
      </c>
      <c r="B16" s="27" t="n">
        <v>31.05263157894737</v>
      </c>
      <c r="C16" s="27" t="n">
        <v>27</v>
      </c>
      <c r="D16" s="27" t="n">
        <v>-4.05263157894737</v>
      </c>
      <c r="E16" s="13" t="n">
        <v>-0.1305084745762712</v>
      </c>
    </row>
    <row r="17">
      <c r="A17" s="27" t="inlineStr">
        <is>
          <t>Net Treasury Income</t>
        </is>
      </c>
      <c r="B17" s="27" t="n">
        <v>68.1484375</v>
      </c>
      <c r="C17" s="27" t="n">
        <v>73</v>
      </c>
      <c r="D17" s="27" t="n">
        <v>4.8515625</v>
      </c>
      <c r="E17" s="13" t="n">
        <v>0.07119110397798933</v>
      </c>
    </row>
    <row r="18">
      <c r="A18" s="27" t="inlineStr">
        <is>
          <t>Other</t>
        </is>
      </c>
      <c r="B18" s="27" t="n">
        <v>2</v>
      </c>
      <c r="C18" s="27" t="n">
        <v>2</v>
      </c>
      <c r="D18" s="27" t="n">
        <v>0</v>
      </c>
      <c r="E18" s="13" t="n">
        <v>0</v>
      </c>
    </row>
    <row r="19">
      <c r="A19" s="12" t="inlineStr">
        <is>
          <t>Total</t>
        </is>
      </c>
      <c r="B19" s="27">
        <f>SUM(B5:B18)</f>
        <v/>
      </c>
      <c r="C19" s="27">
        <f>SUM(C5:C18)</f>
        <v/>
      </c>
      <c r="D19" s="27">
        <f>SUM(D5:D18)</f>
        <v/>
      </c>
      <c r="E19" s="13">
        <f>C19/B19-1</f>
        <v/>
      </c>
    </row>
    <row r="22">
      <c r="A22" s="8" t="inlineStr">
        <is>
          <t>Estimate revision</t>
        </is>
      </c>
      <c r="B22" s="8" t="inlineStr">
        <is>
          <t>Pre-results</t>
        </is>
      </c>
      <c r="C22" s="8" t="inlineStr">
        <is>
          <t>Post-results</t>
        </is>
      </c>
      <c r="D22" s="8" t="inlineStr">
        <is>
          <t>Change</t>
        </is>
      </c>
    </row>
    <row r="23">
      <c r="A23" t="inlineStr">
        <is>
          <t>2026E income excl. recoveries</t>
        </is>
      </c>
      <c r="B23" s="27" t="n">
        <v>9604.545365516022</v>
      </c>
      <c r="C23" s="27" t="n">
        <v>9638.814999999999</v>
      </c>
      <c r="D23" s="13">
        <f>C23/B23-1</f>
        <v/>
      </c>
    </row>
    <row r="24">
      <c r="A24" t="inlineStr">
        <is>
          <t>2026E adjusted EBITDA</t>
        </is>
      </c>
      <c r="B24" s="27" t="n">
        <v>4944.5647331885</v>
      </c>
      <c r="C24" s="27" t="n">
        <v>4963.916975</v>
      </c>
      <c r="D24" s="13">
        <f>C24/B24-1</f>
        <v/>
      </c>
    </row>
    <row r="25">
      <c r="A25" t="inlineStr">
        <is>
          <t>2026E adjusted EPS (p)</t>
        </is>
      </c>
      <c r="B25" s="38" t="n">
        <v>488.6954481119141</v>
      </c>
      <c r="C25" s="38" t="n">
        <v>490.7591958813861</v>
      </c>
      <c r="D25" s="13">
        <f>C25/B25-1</f>
        <v/>
      </c>
    </row>
    <row r="26">
      <c r="A26" t="inlineStr">
        <is>
          <t>2027E income excl. recoveries</t>
        </is>
      </c>
      <c r="B26" s="27" t="n">
        <v>9935.862199029143</v>
      </c>
      <c r="C26" s="27" t="n">
        <v>10234.0852500303</v>
      </c>
      <c r="D26" s="13">
        <f>C26/B26-1</f>
        <v/>
      </c>
    </row>
    <row r="27">
      <c r="A27" t="inlineStr">
        <is>
          <t>2027E adjusted EBITDA</t>
        </is>
      </c>
      <c r="B27" s="27" t="n">
        <v>5147.879500470016</v>
      </c>
      <c r="C27" s="27" t="n">
        <v>5273.10074580812</v>
      </c>
      <c r="D27" s="13">
        <f>C27/B27-1</f>
        <v/>
      </c>
    </row>
    <row r="28">
      <c r="A28" t="inlineStr">
        <is>
          <t>2027E adjusted EPS (p)</t>
        </is>
      </c>
      <c r="B28" s="38" t="n">
        <v>533.7380790408955</v>
      </c>
      <c r="C28" s="38" t="n">
        <v>537.5684684037803</v>
      </c>
      <c r="D28" s="13">
        <f>C28/B28-1</f>
        <v/>
      </c>
    </row>
    <row r="29">
      <c r="A29" t="inlineStr">
        <is>
          <t>2028E income excl. recoveries</t>
        </is>
      </c>
      <c r="B29" s="27" t="n">
        <v>10430.77429910172</v>
      </c>
      <c r="C29" s="27" t="n">
        <v>10762.38939376294</v>
      </c>
      <c r="D29" s="13">
        <f>C29/B29-1</f>
        <v/>
      </c>
    </row>
    <row r="30">
      <c r="A30" t="inlineStr">
        <is>
          <t>2028E adjusted EBITDA</t>
        </is>
      </c>
      <c r="B30" s="27" t="n">
        <v>5447.100786595751</v>
      </c>
      <c r="C30" s="27" t="n">
        <v>5586.134797673963</v>
      </c>
      <c r="D30" s="13">
        <f>C30/B30-1</f>
        <v/>
      </c>
    </row>
    <row r="31">
      <c r="A31" t="inlineStr">
        <is>
          <t>2028E adjusted EPS (p)</t>
        </is>
      </c>
      <c r="B31" s="38" t="n">
        <v>589.8931997779398</v>
      </c>
      <c r="C31" s="38" t="n">
        <v>585.5949087960627</v>
      </c>
      <c r="D31" s="13">
        <f>C31/B31-1</f>
        <v/>
      </c>
    </row>
    <row r="32">
      <c r="A32" t="inlineStr">
        <is>
          <t>DCF value (p)</t>
        </is>
      </c>
      <c r="B32" s="39" t="n">
        <v>9521.672450120917</v>
      </c>
      <c r="C32" s="39" t="n">
        <v>9343.484919489012</v>
      </c>
      <c r="D32" s="13">
        <f>C32/B32-1</f>
        <v/>
      </c>
    </row>
    <row r="35">
      <c r="A35" s="12" t="inlineStr">
        <is>
          <t>DCF value bridge (p)</t>
        </is>
      </c>
    </row>
    <row r="36">
      <c r="A36" t="inlineStr">
        <is>
          <t>Pre-results</t>
        </is>
      </c>
      <c r="B36" s="39" t="n">
        <v>9521.672450120917</v>
      </c>
    </row>
    <row r="37">
      <c r="A37" t="inlineStr">
        <is>
          <t>Q3 beat and guidance</t>
        </is>
      </c>
      <c r="B37" s="39" t="n">
        <v>55.5297621078862</v>
      </c>
    </row>
    <row r="38">
      <c r="A38" t="inlineStr">
        <is>
          <t>Octus at $3.5bn (40% margin, 12% growth assumed)</t>
        </is>
      </c>
      <c r="B38" s="39" t="n">
        <v>-233.7172927397914</v>
      </c>
    </row>
    <row r="39">
      <c r="A39" t="inlineStr">
        <is>
          <t>Post-results</t>
        </is>
      </c>
      <c r="B39" s="39" t="n">
        <v>9343.484919489012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LSEG – Integrated model</t>
        </is>
      </c>
    </row>
    <row r="2">
      <c r="A2" t="inlineStr">
        <is>
          <t>Income and EBITDA link from Divisions. Historical cells are sourced (blue); forecasts are formulas.</t>
        </is>
      </c>
    </row>
    <row r="3"/>
    <row r="4">
      <c r="A4" s="8" t="inlineStr">
        <is>
          <t>£m unless stated</t>
        </is>
      </c>
      <c r="B4" s="8" t="inlineStr"/>
      <c r="C4" s="8" t="n">
        <v>2023</v>
      </c>
      <c r="D4" s="8" t="n">
        <v>2024</v>
      </c>
      <c r="E4" s="8" t="n">
        <v>2025</v>
      </c>
      <c r="F4" s="8" t="n">
        <v>2026</v>
      </c>
      <c r="G4" s="8" t="n">
        <v>2027</v>
      </c>
      <c r="H4" s="8" t="n">
        <v>2028</v>
      </c>
      <c r="I4" s="8" t="n">
        <v>2029</v>
      </c>
      <c r="J4" s="8" t="n">
        <v>2030</v>
      </c>
    </row>
    <row r="5">
      <c r="C5" s="24" t="inlineStr">
        <is>
          <t>A</t>
        </is>
      </c>
      <c r="D5" s="24" t="inlineStr">
        <is>
          <t>A</t>
        </is>
      </c>
      <c r="E5" s="24" t="inlineStr">
        <is>
          <t>A</t>
        </is>
      </c>
      <c r="F5" s="24" t="inlineStr">
        <is>
          <t>E</t>
        </is>
      </c>
      <c r="G5" s="24" t="inlineStr">
        <is>
          <t>E</t>
        </is>
      </c>
      <c r="H5" s="24" t="inlineStr">
        <is>
          <t>E</t>
        </is>
      </c>
      <c r="I5" s="24" t="inlineStr">
        <is>
          <t>E</t>
        </is>
      </c>
      <c r="J5" s="24" t="inlineStr">
        <is>
          <t>E</t>
        </is>
      </c>
    </row>
    <row r="6"/>
    <row r="7">
      <c r="A7" s="9" t="inlineStr">
        <is>
          <t>Profit &amp; loss (adjusted)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</row>
    <row r="8">
      <c r="A8" s="12" t="inlineStr">
        <is>
          <t>Total income excl. recoveries</t>
        </is>
      </c>
      <c r="C8" s="28">
        <f>Divisions!C48</f>
        <v/>
      </c>
      <c r="D8" s="28">
        <f>Divisions!D48</f>
        <v/>
      </c>
      <c r="E8" s="28">
        <f>Divisions!E48</f>
        <v/>
      </c>
      <c r="F8" s="28">
        <f>Divisions!F48</f>
        <v/>
      </c>
      <c r="G8" s="28">
        <f>Divisions!G48</f>
        <v/>
      </c>
      <c r="H8" s="28">
        <f>Divisions!H48</f>
        <v/>
      </c>
      <c r="I8" s="28">
        <f>Divisions!I48</f>
        <v/>
      </c>
      <c r="J8" s="28">
        <f>Divisions!J48</f>
        <v/>
      </c>
    </row>
    <row r="9">
      <c r="A9" t="inlineStr">
        <is>
          <t>Recoveries</t>
        </is>
      </c>
      <c r="C9" s="19" t="n">
        <v>370</v>
      </c>
      <c r="D9" s="19" t="n">
        <v>364</v>
      </c>
      <c r="E9" s="19" t="n">
        <v>360</v>
      </c>
      <c r="F9" s="27">
        <f>E9*(1+Inputs!$C$68)</f>
        <v/>
      </c>
      <c r="G9" s="27">
        <f>F9*(1+Inputs!$C$68)</f>
        <v/>
      </c>
      <c r="H9" s="27">
        <f>G9*(1+Inputs!$C$68)</f>
        <v/>
      </c>
      <c r="I9" s="27">
        <f>H9*(1+Inputs!$C$68)</f>
        <v/>
      </c>
      <c r="J9" s="27">
        <f>I9*(1+Inputs!$C$68)</f>
        <v/>
      </c>
    </row>
    <row r="10">
      <c r="A10" s="12" t="inlineStr">
        <is>
          <t>Adjusted EBITDA</t>
        </is>
      </c>
      <c r="C10" s="28">
        <f>Divisions!C66</f>
        <v/>
      </c>
      <c r="D10" s="28">
        <f>Divisions!D66</f>
        <v/>
      </c>
      <c r="E10" s="28">
        <f>Divisions!E66</f>
        <v/>
      </c>
      <c r="F10" s="28">
        <f>Divisions!F66</f>
        <v/>
      </c>
      <c r="G10" s="28">
        <f>Divisions!G66</f>
        <v/>
      </c>
      <c r="H10" s="28">
        <f>Divisions!H66</f>
        <v/>
      </c>
      <c r="I10" s="28">
        <f>Divisions!I66</f>
        <v/>
      </c>
      <c r="J10" s="28">
        <f>Divisions!J66</f>
        <v/>
      </c>
    </row>
    <row r="11">
      <c r="A11" t="inlineStr">
        <is>
          <t xml:space="preserve">  margin</t>
        </is>
      </c>
      <c r="C11" s="13">
        <f>C10/C8</f>
        <v/>
      </c>
      <c r="D11" s="13">
        <f>D10/D8</f>
        <v/>
      </c>
      <c r="E11" s="13">
        <f>E10/E8</f>
        <v/>
      </c>
      <c r="F11" s="13">
        <f>F10/F8</f>
        <v/>
      </c>
      <c r="G11" s="13">
        <f>G10/G8</f>
        <v/>
      </c>
      <c r="H11" s="13">
        <f>H10/H8</f>
        <v/>
      </c>
      <c r="I11" s="13">
        <f>I10/I8</f>
        <v/>
      </c>
      <c r="J11" s="13">
        <f>J10/J8</f>
        <v/>
      </c>
    </row>
    <row r="12">
      <c r="A12" t="inlineStr">
        <is>
          <t>Adjusted D&amp;A</t>
        </is>
      </c>
      <c r="C12" s="19" t="n">
        <v>915</v>
      </c>
      <c r="D12" s="19" t="n">
        <v>983</v>
      </c>
      <c r="E12" s="19" t="n">
        <v>1017</v>
      </c>
      <c r="F12" s="27">
        <f>F8*Inputs!$F$78</f>
        <v/>
      </c>
      <c r="G12" s="27">
        <f>G8*Inputs!$G$78</f>
        <v/>
      </c>
      <c r="H12" s="27">
        <f>H8*Inputs!$H$78</f>
        <v/>
      </c>
      <c r="I12" s="27">
        <f>I8*Inputs!$I$78</f>
        <v/>
      </c>
      <c r="J12" s="27">
        <f>J8*Inputs!$J$78</f>
        <v/>
      </c>
    </row>
    <row r="13">
      <c r="A13" s="12" t="inlineStr">
        <is>
          <t>Adjusted operating profit</t>
        </is>
      </c>
      <c r="C13" s="29">
        <f>C10-C12</f>
        <v/>
      </c>
      <c r="D13" s="29">
        <f>D10-D12</f>
        <v/>
      </c>
      <c r="E13" s="29">
        <f>E10-E12</f>
        <v/>
      </c>
      <c r="F13" s="29">
        <f>F10-F12</f>
        <v/>
      </c>
      <c r="G13" s="29">
        <f>G10-G12</f>
        <v/>
      </c>
      <c r="H13" s="29">
        <f>H10-H12</f>
        <v/>
      </c>
      <c r="I13" s="29">
        <f>I10-I12</f>
        <v/>
      </c>
      <c r="J13" s="29">
        <f>J10-J12</f>
        <v/>
      </c>
    </row>
    <row r="14">
      <c r="A14" t="inlineStr">
        <is>
          <t>Net finance expense</t>
        </is>
      </c>
      <c r="C14" s="27" t="n"/>
      <c r="D14" s="19" t="n">
        <v>195</v>
      </c>
      <c r="E14" s="19" t="n">
        <v>179</v>
      </c>
      <c r="F14" s="27">
        <f>(E51-E48)*Inputs!$C$85+IF(F$4&gt;=Inputs!$C$94,Inputs!$C$93/Inputs!$C$19*(Inputs!$C$99-Inputs!$C$85),0)</f>
        <v/>
      </c>
      <c r="G14" s="27">
        <f>(F51-F48)*Inputs!$C$85+IF(G$4&gt;=Inputs!$C$94,Inputs!$C$93/Inputs!$C$19*(Inputs!$C$99-Inputs!$C$85),0)</f>
        <v/>
      </c>
      <c r="H14" s="27">
        <f>(G51-G48)*Inputs!$C$85+IF(H$4&gt;=Inputs!$C$94,Inputs!$C$93/Inputs!$C$19*(Inputs!$C$99-Inputs!$C$85),0)</f>
        <v/>
      </c>
      <c r="I14" s="27">
        <f>(H51-H48)*Inputs!$C$85+IF(I$4&gt;=Inputs!$C$94,Inputs!$C$93/Inputs!$C$19*(Inputs!$C$99-Inputs!$C$85),0)</f>
        <v/>
      </c>
      <c r="J14" s="27">
        <f>(I51-I48)*Inputs!$C$85+IF(J$4&gt;=Inputs!$C$94,Inputs!$C$93/Inputs!$C$19*(Inputs!$C$99-Inputs!$C$85),0)</f>
        <v/>
      </c>
    </row>
    <row r="15">
      <c r="A15" t="inlineStr">
        <is>
          <t>Adjusted profit before tax</t>
        </is>
      </c>
      <c r="C15" s="27" t="n"/>
      <c r="D15" s="27">
        <f>D13-D14</f>
        <v/>
      </c>
      <c r="E15" s="27">
        <f>E13-E14</f>
        <v/>
      </c>
      <c r="F15" s="27">
        <f>F13-F14</f>
        <v/>
      </c>
      <c r="G15" s="27">
        <f>G13-G14</f>
        <v/>
      </c>
      <c r="H15" s="27">
        <f>H13-H14</f>
        <v/>
      </c>
      <c r="I15" s="27">
        <f>I13-I14</f>
        <v/>
      </c>
      <c r="J15" s="27">
        <f>J13-J14</f>
        <v/>
      </c>
    </row>
    <row r="16">
      <c r="A16" t="inlineStr">
        <is>
          <t>Tax</t>
        </is>
      </c>
      <c r="C16" s="27" t="n"/>
      <c r="D16" s="27" t="n"/>
      <c r="E16" s="27" t="n"/>
      <c r="F16" s="27">
        <f>F15*Inputs!$C$82</f>
        <v/>
      </c>
      <c r="G16" s="27">
        <f>G15*Inputs!$C$82</f>
        <v/>
      </c>
      <c r="H16" s="27">
        <f>H15*Inputs!$C$82</f>
        <v/>
      </c>
      <c r="I16" s="27">
        <f>I15*Inputs!$C$82</f>
        <v/>
      </c>
      <c r="J16" s="27">
        <f>J15*Inputs!$C$82</f>
        <v/>
      </c>
    </row>
    <row r="17">
      <c r="A17" t="inlineStr">
        <is>
          <t>Adjusted net income</t>
        </is>
      </c>
      <c r="C17" s="27" t="n"/>
      <c r="D17" s="27" t="n"/>
      <c r="E17" s="27" t="n"/>
      <c r="F17" s="27">
        <f>F15-F16</f>
        <v/>
      </c>
      <c r="G17" s="27">
        <f>G15-G16</f>
        <v/>
      </c>
      <c r="H17" s="27">
        <f>H15-H16</f>
        <v/>
      </c>
      <c r="I17" s="27">
        <f>I15-I16</f>
        <v/>
      </c>
      <c r="J17" s="27">
        <f>J15-J16</f>
        <v/>
      </c>
    </row>
    <row r="18">
      <c r="A18" t="inlineStr">
        <is>
          <t xml:space="preserve">  Non-controlling interests (Tradeweb)</t>
        </is>
      </c>
      <c r="C18" s="27" t="n"/>
      <c r="D18" s="19" t="n">
        <v>323</v>
      </c>
      <c r="E18" s="19" t="n">
        <v>334</v>
      </c>
      <c r="F18" s="27">
        <f>F17*Inputs!$C$83</f>
        <v/>
      </c>
      <c r="G18" s="27">
        <f>G17*Inputs!$C$83</f>
        <v/>
      </c>
      <c r="H18" s="27">
        <f>H17*Inputs!$C$83</f>
        <v/>
      </c>
      <c r="I18" s="27">
        <f>I17*Inputs!$C$83</f>
        <v/>
      </c>
      <c r="J18" s="27">
        <f>J17*Inputs!$C$83</f>
        <v/>
      </c>
    </row>
    <row r="19">
      <c r="A19" s="12" t="inlineStr">
        <is>
          <t>Adjusted net income to shareholders</t>
        </is>
      </c>
      <c r="C19" s="29" t="n"/>
      <c r="D19" s="29" t="n"/>
      <c r="E19" s="29" t="n"/>
      <c r="F19" s="29">
        <f>F17-F18</f>
        <v/>
      </c>
      <c r="G19" s="29">
        <f>G17-G18</f>
        <v/>
      </c>
      <c r="H19" s="29">
        <f>H17-H18</f>
        <v/>
      </c>
      <c r="I19" s="29">
        <f>I17-I18</f>
        <v/>
      </c>
      <c r="J19" s="29">
        <f>J17-J18</f>
        <v/>
      </c>
    </row>
    <row r="20">
      <c r="A20" s="12" t="inlineStr">
        <is>
          <t>Adjusted EPS (p)</t>
        </is>
      </c>
      <c r="C20" s="40" t="n">
        <v>323.9</v>
      </c>
      <c r="D20" s="40" t="n">
        <v>363.5</v>
      </c>
      <c r="E20" s="40" t="n">
        <v>420.6</v>
      </c>
      <c r="F20" s="41">
        <f>F19/F44*100</f>
        <v/>
      </c>
      <c r="G20" s="41">
        <f>G19/G44*100</f>
        <v/>
      </c>
      <c r="H20" s="41">
        <f>H19/H44*100</f>
        <v/>
      </c>
      <c r="I20" s="41">
        <f>I19/I44*100</f>
        <v/>
      </c>
      <c r="J20" s="41">
        <f>J19/J44*100</f>
        <v/>
      </c>
    </row>
    <row r="21">
      <c r="A21" t="inlineStr">
        <is>
          <t xml:space="preserve">  EPS growth</t>
        </is>
      </c>
      <c r="C21" s="13" t="n"/>
      <c r="D21" s="13">
        <f>D20/C20-1</f>
        <v/>
      </c>
      <c r="E21" s="13">
        <f>E20/D20-1</f>
        <v/>
      </c>
      <c r="F21" s="13">
        <f>F20/E20-1</f>
        <v/>
      </c>
      <c r="G21" s="13">
        <f>G20/F20-1</f>
        <v/>
      </c>
      <c r="H21" s="13">
        <f>H20/G20-1</f>
        <v/>
      </c>
      <c r="I21" s="13">
        <f>I20/H20-1</f>
        <v/>
      </c>
      <c r="J21" s="13">
        <f>J20/I20-1</f>
        <v/>
      </c>
    </row>
    <row r="22"/>
    <row r="23">
      <c r="A23" s="9" t="inlineStr">
        <is>
          <t>Reported bridge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</row>
    <row r="24">
      <c r="A24" t="inlineStr">
        <is>
          <t xml:space="preserve">  Purchased intangible amortisation (existing)</t>
        </is>
      </c>
      <c r="C24" s="27" t="n"/>
      <c r="D24" s="19" t="n">
        <v>1499</v>
      </c>
      <c r="E24" s="19" t="n">
        <v>1221</v>
      </c>
      <c r="F24" s="27">
        <f>Inputs!$C$80</f>
        <v/>
      </c>
      <c r="G24" s="27">
        <f>F24*(1-Inputs!$C$81)</f>
        <v/>
      </c>
      <c r="H24" s="27">
        <f>G24*(1-Inputs!$C$81)</f>
        <v/>
      </c>
      <c r="I24" s="27">
        <f>H24*(1-Inputs!$C$81)</f>
        <v/>
      </c>
      <c r="J24" s="27">
        <f>I24*(1-Inputs!$C$81)</f>
        <v/>
      </c>
    </row>
    <row r="25">
      <c r="A25" t="inlineStr">
        <is>
          <t xml:space="preserve">  Octus purchased amortisation</t>
        </is>
      </c>
      <c r="C25" s="27" t="n"/>
      <c r="D25" s="27" t="n"/>
      <c r="E25" s="27" t="n"/>
      <c r="F25" s="27">
        <f>IF(F$4&gt;=Inputs!$C$94,Inputs!$C$98,0)</f>
        <v/>
      </c>
      <c r="G25" s="27">
        <f>IF(G$4&gt;=Inputs!$C$94,Inputs!$C$98,0)</f>
        <v/>
      </c>
      <c r="H25" s="27">
        <f>IF(H$4&gt;=Inputs!$C$94,Inputs!$C$98,0)</f>
        <v/>
      </c>
      <c r="I25" s="27">
        <f>IF(I$4&gt;=Inputs!$C$94,Inputs!$C$98,0)</f>
        <v/>
      </c>
      <c r="J25" s="27">
        <f>IF(J$4&gt;=Inputs!$C$94,Inputs!$C$98,0)</f>
        <v/>
      </c>
    </row>
    <row r="26">
      <c r="A26" t="inlineStr">
        <is>
          <t>Total purchased amortisation</t>
        </is>
      </c>
      <c r="C26" s="27" t="n"/>
      <c r="D26" s="27" t="n"/>
      <c r="E26" s="27" t="n"/>
      <c r="F26" s="27">
        <f>F24+F25</f>
        <v/>
      </c>
      <c r="G26" s="27">
        <f>G24+G25</f>
        <v/>
      </c>
      <c r="H26" s="27">
        <f>H24+H25</f>
        <v/>
      </c>
      <c r="I26" s="27">
        <f>I24+I25</f>
        <v/>
      </c>
      <c r="J26" s="27">
        <f>J24+J25</f>
        <v/>
      </c>
    </row>
    <row r="27">
      <c r="A27" t="inlineStr">
        <is>
          <t>Reported net income (total)</t>
        </is>
      </c>
      <c r="C27" s="27" t="n"/>
      <c r="D27" s="27" t="n"/>
      <c r="E27" s="27" t="n"/>
      <c r="F27" s="27">
        <f>(F15-F26)*(1-Inputs!$C$82)</f>
        <v/>
      </c>
      <c r="G27" s="27">
        <f>(G15-G26)*(1-Inputs!$C$82)</f>
        <v/>
      </c>
      <c r="H27" s="27">
        <f>(H15-H26)*(1-Inputs!$C$82)</f>
        <v/>
      </c>
      <c r="I27" s="27">
        <f>(I15-I26)*(1-Inputs!$C$82)</f>
        <v/>
      </c>
      <c r="J27" s="27">
        <f>(J15-J26)*(1-Inputs!$C$82)</f>
        <v/>
      </c>
    </row>
    <row r="28"/>
    <row r="29">
      <c r="A29" s="9" t="inlineStr">
        <is>
          <t>Cash flow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t="inlineStr">
        <is>
          <t>Capex</t>
        </is>
      </c>
      <c r="C30" s="27" t="n"/>
      <c r="D30" s="19" t="n">
        <v>957</v>
      </c>
      <c r="E30" s="19" t="n">
        <v>919</v>
      </c>
      <c r="F30" s="27">
        <f>F8*Inputs!$F$79</f>
        <v/>
      </c>
      <c r="G30" s="27">
        <f>G8*Inputs!$G$79</f>
        <v/>
      </c>
      <c r="H30" s="27">
        <f>H8*Inputs!$H$79</f>
        <v/>
      </c>
      <c r="I30" s="27">
        <f>I8*Inputs!$I$79</f>
        <v/>
      </c>
      <c r="J30" s="27">
        <f>J8*Inputs!$J$79</f>
        <v/>
      </c>
    </row>
    <row r="31">
      <c r="A31" t="inlineStr">
        <is>
          <t>Other cash items (leases, WC, non-underlying)</t>
        </is>
      </c>
      <c r="C31" s="27" t="n"/>
      <c r="D31" s="27" t="n"/>
      <c r="E31" s="27" t="n"/>
      <c r="F31" s="27">
        <f>F10*Inputs!$C$86</f>
        <v/>
      </c>
      <c r="G31" s="27">
        <f>G10*Inputs!$C$86</f>
        <v/>
      </c>
      <c r="H31" s="27">
        <f>H10*Inputs!$C$86</f>
        <v/>
      </c>
      <c r="I31" s="27">
        <f>I10*Inputs!$C$86</f>
        <v/>
      </c>
      <c r="J31" s="27">
        <f>J10*Inputs!$C$86</f>
        <v/>
      </c>
    </row>
    <row r="32">
      <c r="A32" s="12" t="inlineStr">
        <is>
          <t>Equity free cash flow</t>
        </is>
      </c>
      <c r="C32" s="36" t="n">
        <v>1800</v>
      </c>
      <c r="D32" s="36" t="n">
        <v>2184</v>
      </c>
      <c r="E32" s="36" t="n">
        <v>2445</v>
      </c>
      <c r="F32" s="29">
        <f>F10-F30-F14-F16-F31</f>
        <v/>
      </c>
      <c r="G32" s="29">
        <f>G10-G30-G14-G16-G31</f>
        <v/>
      </c>
      <c r="H32" s="29">
        <f>H10-H30-H14-H16-H31</f>
        <v/>
      </c>
      <c r="I32" s="29">
        <f>I10-I30-I14-I16-I31</f>
        <v/>
      </c>
      <c r="J32" s="29">
        <f>J10-J30-J14-J16-J31</f>
        <v/>
      </c>
    </row>
    <row r="33">
      <c r="A33" t="inlineStr">
        <is>
          <t>Acquisitions (Octus)</t>
        </is>
      </c>
      <c r="C33" s="27" t="n"/>
      <c r="D33" s="27" t="n"/>
      <c r="E33" s="27" t="n"/>
      <c r="F33" s="27">
        <f>IF(F$4=Inputs!$C$94,Inputs!$C$93/Inputs!$C$19,0)</f>
        <v/>
      </c>
      <c r="G33" s="27">
        <f>IF(G$4=Inputs!$C$94,Inputs!$C$93/Inputs!$C$19,0)</f>
        <v/>
      </c>
      <c r="H33" s="27">
        <f>IF(H$4=Inputs!$C$94,Inputs!$C$93/Inputs!$C$19,0)</f>
        <v/>
      </c>
      <c r="I33" s="27">
        <f>IF(I$4=Inputs!$C$94,Inputs!$C$93/Inputs!$C$19,0)</f>
        <v/>
      </c>
      <c r="J33" s="27">
        <f>IF(J$4=Inputs!$C$94,Inputs!$C$93/Inputs!$C$19,0)</f>
        <v/>
      </c>
    </row>
    <row r="34">
      <c r="A34" t="inlineStr">
        <is>
          <t>New debt raised</t>
        </is>
      </c>
      <c r="C34" s="27" t="n"/>
      <c r="D34" s="27" t="n"/>
      <c r="E34" s="27" t="n"/>
      <c r="F34" s="27">
        <f>F33</f>
        <v/>
      </c>
      <c r="G34" s="27">
        <f>G33</f>
        <v/>
      </c>
      <c r="H34" s="27">
        <f>H33</f>
        <v/>
      </c>
      <c r="I34" s="27">
        <f>I33</f>
        <v/>
      </c>
      <c r="J34" s="27">
        <f>J33</f>
        <v/>
      </c>
    </row>
    <row r="35">
      <c r="A35" t="inlineStr">
        <is>
          <t>Dividends paid</t>
        </is>
      </c>
      <c r="C35" s="27" t="n"/>
      <c r="D35" s="27" t="n"/>
      <c r="E35" s="27" t="n"/>
      <c r="F35" s="27">
        <f>F45*F41/100</f>
        <v/>
      </c>
      <c r="G35" s="27">
        <f>G45*G41/100</f>
        <v/>
      </c>
      <c r="H35" s="27">
        <f>H45*H41/100</f>
        <v/>
      </c>
      <c r="I35" s="27">
        <f>I45*I41/100</f>
        <v/>
      </c>
      <c r="J35" s="27">
        <f>J45*J41/100</f>
        <v/>
      </c>
    </row>
    <row r="36">
      <c r="A36" t="inlineStr">
        <is>
          <t>Dividends to NCI</t>
        </is>
      </c>
      <c r="C36" s="27" t="n"/>
      <c r="D36" s="27" t="n"/>
      <c r="E36" s="27" t="n"/>
      <c r="F36" s="27">
        <f>F18*Inputs!$C$84</f>
        <v/>
      </c>
      <c r="G36" s="27">
        <f>G18*Inputs!$C$84</f>
        <v/>
      </c>
      <c r="H36" s="27">
        <f>H18*Inputs!$C$84</f>
        <v/>
      </c>
      <c r="I36" s="27">
        <f>I18*Inputs!$C$84</f>
        <v/>
      </c>
      <c r="J36" s="27">
        <f>J18*Inputs!$C$84</f>
        <v/>
      </c>
    </row>
    <row r="37">
      <c r="A37" t="inlineStr">
        <is>
          <t>Share buybacks</t>
        </is>
      </c>
      <c r="C37" s="19" t="n">
        <v>1200</v>
      </c>
      <c r="D37" s="19" t="n">
        <v>1052</v>
      </c>
      <c r="E37" s="19" t="n">
        <v>2152</v>
      </c>
      <c r="F37" s="27">
        <f>IF(ISNUMBER(Inputs!$F$88),Inputs!$F$88,MAX(0,(F32-F35-F36)*Inputs!$C$89))</f>
        <v/>
      </c>
      <c r="G37" s="27">
        <f>IF(ISNUMBER(Inputs!$G$88),Inputs!$G$88,MAX(0,(G32-G35-G36)*Inputs!$C$89))</f>
        <v/>
      </c>
      <c r="H37" s="27">
        <f>IF(ISNUMBER(Inputs!$H$88),Inputs!$H$88,MAX(0,(H32-H35-H36)*Inputs!$C$89))</f>
        <v/>
      </c>
      <c r="I37" s="27">
        <f>IF(ISNUMBER(Inputs!$I$88),Inputs!$I$88,MAX(0,(I32-I35-I36)*Inputs!$C$89))</f>
        <v/>
      </c>
      <c r="J37" s="27">
        <f>IF(ISNUMBER(Inputs!$J$88),Inputs!$J$88,MAX(0,(J32-J35-J36)*Inputs!$C$89))</f>
        <v/>
      </c>
    </row>
    <row r="38">
      <c r="A38" s="12" t="inlineStr">
        <is>
          <t>Net change in cash</t>
        </is>
      </c>
      <c r="C38" s="29" t="n"/>
      <c r="D38" s="29" t="n"/>
      <c r="E38" s="29" t="n"/>
      <c r="F38" s="29">
        <f>F32-F33+F34-F35-F36-F37</f>
        <v/>
      </c>
      <c r="G38" s="29">
        <f>G32-G33+G34-G35-G36-G37</f>
        <v/>
      </c>
      <c r="H38" s="29">
        <f>H32-H33+H34-H35-H36-H37</f>
        <v/>
      </c>
      <c r="I38" s="29">
        <f>I32-I33+I34-I35-I36-I37</f>
        <v/>
      </c>
      <c r="J38" s="29">
        <f>J32-J33+J34-J35-J36-J37</f>
        <v/>
      </c>
    </row>
    <row r="39"/>
    <row r="40">
      <c r="A40" s="9" t="inlineStr">
        <is>
          <t>Shares &amp; returns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</row>
    <row r="41">
      <c r="A41" t="inlineStr">
        <is>
          <t>Opening shares (m)</t>
        </is>
      </c>
      <c r="C41" s="33" t="n"/>
      <c r="D41" s="33" t="n"/>
      <c r="E41" s="33" t="n"/>
      <c r="F41" s="33">
        <f>Inputs!$C$21</f>
        <v/>
      </c>
      <c r="G41" s="33">
        <f>F43</f>
        <v/>
      </c>
      <c r="H41" s="33">
        <f>G43</f>
        <v/>
      </c>
      <c r="I41" s="33">
        <f>H43</f>
        <v/>
      </c>
      <c r="J41" s="33">
        <f>I43</f>
        <v/>
      </c>
    </row>
    <row r="42">
      <c r="A42" t="inlineStr">
        <is>
          <t>Average buyback price (p)</t>
        </is>
      </c>
      <c r="C42" s="39" t="n"/>
      <c r="D42" s="39" t="n"/>
      <c r="E42" s="39" t="n"/>
      <c r="F42" s="39">
        <f>Inputs!$C$18*(1+Inputs!$C$90)^(0+0.5)</f>
        <v/>
      </c>
      <c r="G42" s="39">
        <f>Inputs!$C$18*(1+Inputs!$C$90)^(1+0.5)</f>
        <v/>
      </c>
      <c r="H42" s="39">
        <f>Inputs!$C$18*(1+Inputs!$C$90)^(2+0.5)</f>
        <v/>
      </c>
      <c r="I42" s="39">
        <f>Inputs!$C$18*(1+Inputs!$C$90)^(3+0.5)</f>
        <v/>
      </c>
      <c r="J42" s="39">
        <f>Inputs!$C$18*(1+Inputs!$C$90)^(4+0.5)</f>
        <v/>
      </c>
    </row>
    <row r="43">
      <c r="A43" t="inlineStr">
        <is>
          <t>Closing shares (m)</t>
        </is>
      </c>
      <c r="C43" s="33" t="n"/>
      <c r="D43" s="33" t="n"/>
      <c r="E43" s="33" t="n"/>
      <c r="F43" s="33">
        <f>F41-F37/F42*100</f>
        <v/>
      </c>
      <c r="G43" s="33">
        <f>G41-G37/G42*100</f>
        <v/>
      </c>
      <c r="H43" s="33">
        <f>H41-H37/H42*100</f>
        <v/>
      </c>
      <c r="I43" s="33">
        <f>I41-I37/I42*100</f>
        <v/>
      </c>
      <c r="J43" s="33">
        <f>J41-J37/J42*100</f>
        <v/>
      </c>
    </row>
    <row r="44">
      <c r="A44" t="inlineStr">
        <is>
          <t>Average shares (m)</t>
        </is>
      </c>
      <c r="C44" s="33" t="n"/>
      <c r="D44" s="17" t="n">
        <v>532</v>
      </c>
      <c r="E44" s="17" t="n">
        <v>524</v>
      </c>
      <c r="F44" s="33">
        <f>(F41+F43)/2</f>
        <v/>
      </c>
      <c r="G44" s="33">
        <f>(G41+G43)/2</f>
        <v/>
      </c>
      <c r="H44" s="33">
        <f>(H41+H43)/2</f>
        <v/>
      </c>
      <c r="I44" s="33">
        <f>(I41+I43)/2</f>
        <v/>
      </c>
      <c r="J44" s="33">
        <f>(J41+J43)/2</f>
        <v/>
      </c>
    </row>
    <row r="45">
      <c r="A45" t="inlineStr">
        <is>
          <t>DPS (p)</t>
        </is>
      </c>
      <c r="C45" s="42" t="n">
        <v>115</v>
      </c>
      <c r="D45" s="42" t="n">
        <v>130</v>
      </c>
      <c r="E45" s="42" t="n">
        <v>150</v>
      </c>
      <c r="F45" s="38">
        <f>F19/F41*100*Inputs!$C$87</f>
        <v/>
      </c>
      <c r="G45" s="38">
        <f>G19/G41*100*Inputs!$C$87</f>
        <v/>
      </c>
      <c r="H45" s="38">
        <f>H19/H41*100*Inputs!$C$87</f>
        <v/>
      </c>
      <c r="I45" s="38">
        <f>I19/I41*100*Inputs!$C$87</f>
        <v/>
      </c>
      <c r="J45" s="38">
        <f>J19/J41*100*Inputs!$C$87</f>
        <v/>
      </c>
    </row>
    <row r="46"/>
    <row r="47">
      <c r="A47" s="9" t="inlineStr">
        <is>
          <t>Balance sheet (economic; clearing balances excluded)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</row>
    <row r="48">
      <c r="A48" t="inlineStr">
        <is>
          <t>Cash</t>
        </is>
      </c>
      <c r="C48" s="27" t="n"/>
      <c r="D48" s="27" t="n"/>
      <c r="E48" s="19" t="n">
        <v>3949</v>
      </c>
      <c r="F48" s="27">
        <f>E48+F38</f>
        <v/>
      </c>
      <c r="G48" s="27">
        <f>F48+G38</f>
        <v/>
      </c>
      <c r="H48" s="27">
        <f>G48+H38</f>
        <v/>
      </c>
      <c r="I48" s="27">
        <f>H48+I38</f>
        <v/>
      </c>
      <c r="J48" s="27">
        <f>I48+J38</f>
        <v/>
      </c>
    </row>
    <row r="49">
      <c r="A49" t="inlineStr">
        <is>
          <t>Goodwill, intangibles &amp; PP&amp;E</t>
        </is>
      </c>
      <c r="C49" s="27" t="n"/>
      <c r="D49" s="27" t="n"/>
      <c r="E49" s="19" t="n">
        <v>31273</v>
      </c>
      <c r="F49" s="27">
        <f>E49+F30+F33-F12-F26</f>
        <v/>
      </c>
      <c r="G49" s="27">
        <f>F49+G30+G33-G12-G26</f>
        <v/>
      </c>
      <c r="H49" s="27">
        <f>G49+H30+H33-H12-H26</f>
        <v/>
      </c>
      <c r="I49" s="27">
        <f>H49+I30+I33-I12-I26</f>
        <v/>
      </c>
      <c r="J49" s="27">
        <f>I49+J30+J33-J12-J26</f>
        <v/>
      </c>
    </row>
    <row r="50">
      <c r="A50" t="inlineStr">
        <is>
          <t>Other net assets / (liabilities)</t>
        </is>
      </c>
      <c r="C50" s="27" t="n"/>
      <c r="D50" s="27" t="n"/>
      <c r="E50" s="27">
        <f>E52+E51-E48-E49</f>
        <v/>
      </c>
      <c r="F50" s="27">
        <f>E50+F31+F26*Inputs!$C$82</f>
        <v/>
      </c>
      <c r="G50" s="27">
        <f>F50+G31+G26*Inputs!$C$82</f>
        <v/>
      </c>
      <c r="H50" s="27">
        <f>G50+H31+H26*Inputs!$C$82</f>
        <v/>
      </c>
      <c r="I50" s="27">
        <f>H50+I31+I26*Inputs!$C$82</f>
        <v/>
      </c>
      <c r="J50" s="27">
        <f>I50+J31+J26*Inputs!$C$82</f>
        <v/>
      </c>
    </row>
    <row r="51">
      <c r="A51" t="inlineStr">
        <is>
          <t>Borrowings incl. leases</t>
        </is>
      </c>
      <c r="C51" s="27" t="n"/>
      <c r="D51" s="27" t="n"/>
      <c r="E51" s="19" t="n">
        <v>11718</v>
      </c>
      <c r="F51" s="27">
        <f>E51+F34</f>
        <v/>
      </c>
      <c r="G51" s="27">
        <f>F51+G34</f>
        <v/>
      </c>
      <c r="H51" s="27">
        <f>G51+H34</f>
        <v/>
      </c>
      <c r="I51" s="27">
        <f>H51+I34</f>
        <v/>
      </c>
      <c r="J51" s="27">
        <f>I51+J34</f>
        <v/>
      </c>
    </row>
    <row r="52">
      <c r="A52" t="inlineStr">
        <is>
          <t>Total equity (incl. NCI)</t>
        </is>
      </c>
      <c r="C52" s="27" t="n"/>
      <c r="D52" s="27" t="n"/>
      <c r="E52" s="19" t="n">
        <v>22168</v>
      </c>
      <c r="F52" s="27">
        <f>E52+F27-F35-F36-F37</f>
        <v/>
      </c>
      <c r="G52" s="27">
        <f>F52+G27-G35-G36-G37</f>
        <v/>
      </c>
      <c r="H52" s="27">
        <f>G52+H27-H35-H36-H37</f>
        <v/>
      </c>
      <c r="I52" s="27">
        <f>H52+I27-I35-I36-I37</f>
        <v/>
      </c>
      <c r="J52" s="27">
        <f>I52+J27-J35-J36-J37</f>
        <v/>
      </c>
    </row>
    <row r="53">
      <c r="A53" s="12" t="inlineStr">
        <is>
          <t>Balance check (should be 0)</t>
        </is>
      </c>
      <c r="C53" s="34" t="n"/>
      <c r="D53" s="34" t="n"/>
      <c r="E53" s="34">
        <f>ROUND(E48+E49+E50-E51-E52,3)</f>
        <v/>
      </c>
      <c r="F53" s="34">
        <f>ROUND(F48+F49+F50-F51-F52,3)</f>
        <v/>
      </c>
      <c r="G53" s="34">
        <f>ROUND(G48+G49+G50-G51-G52,3)</f>
        <v/>
      </c>
      <c r="H53" s="34">
        <f>ROUND(H48+H49+H50-H51-H52,3)</f>
        <v/>
      </c>
      <c r="I53" s="34">
        <f>ROUND(I48+I49+I50-I51-I52,3)</f>
        <v/>
      </c>
      <c r="J53" s="34">
        <f>ROUND(J48+J49+J50-J51-J52,3)</f>
        <v/>
      </c>
    </row>
    <row r="54">
      <c r="A54" t="inlineStr">
        <is>
          <t>Net debt</t>
        </is>
      </c>
      <c r="C54" s="43" t="n"/>
      <c r="D54" s="43" t="n"/>
      <c r="E54" s="43">
        <f>E51-E48</f>
        <v/>
      </c>
      <c r="F54" s="43">
        <f>F51-F48</f>
        <v/>
      </c>
      <c r="G54" s="43">
        <f>G51-G48</f>
        <v/>
      </c>
      <c r="H54" s="43">
        <f>H51-H48</f>
        <v/>
      </c>
      <c r="I54" s="43">
        <f>I51-I48</f>
        <v/>
      </c>
      <c r="J54" s="43">
        <f>J51-J48</f>
        <v/>
      </c>
    </row>
    <row r="55">
      <c r="A55" t="inlineStr">
        <is>
          <t>Net debt / adj EBITDA</t>
        </is>
      </c>
      <c r="C55" s="44" t="n"/>
      <c r="D55" s="44" t="n"/>
      <c r="E55" s="44">
        <f>E54/E10</f>
        <v/>
      </c>
      <c r="F55" s="44">
        <f>F54/F10</f>
        <v/>
      </c>
      <c r="G55" s="44">
        <f>G54/G10</f>
        <v/>
      </c>
      <c r="H55" s="44">
        <f>H54/H10</f>
        <v/>
      </c>
      <c r="I55" s="44">
        <f>I54/I10</f>
        <v/>
      </c>
      <c r="J55" s="44">
        <f>J54/J10</f>
        <v/>
      </c>
    </row>
    <row r="56"/>
    <row r="57">
      <c r="A57" s="9" t="inlineStr">
        <is>
          <t>Unlevered free cash flow (for DCF)</t>
        </is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</row>
    <row r="58">
      <c r="A58" s="12" t="inlineStr">
        <is>
          <t>Unlevered FCF (after acquisitions)</t>
        </is>
      </c>
      <c r="C58" s="34" t="n"/>
      <c r="D58" s="34" t="n"/>
      <c r="E58" s="34" t="n"/>
      <c r="F58" s="34">
        <f>F10-F30-F13*Inputs!$C$82-F31-F33</f>
        <v/>
      </c>
      <c r="G58" s="34">
        <f>G10-G30-G13*Inputs!$C$82-G31-G33</f>
        <v/>
      </c>
      <c r="H58" s="34">
        <f>H10-H30-H13*Inputs!$C$82-H31-H33</f>
        <v/>
      </c>
      <c r="I58" s="34">
        <f>I10-I30-I13*Inputs!$C$82-I31-I33</f>
        <v/>
      </c>
      <c r="J58" s="34">
        <f>J10-J30-J13*Inputs!$C$82-J31-J33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2" customWidth="1" min="4" max="4"/>
  </cols>
  <sheetData>
    <row r="1">
      <c r="A1" s="1" t="inlineStr">
        <is>
          <t>LSEG – DCF (valuation date 31 Dec 2026, mid-year convention)</t>
        </is>
      </c>
    </row>
    <row r="3">
      <c r="A3" t="inlineStr">
        <is>
          <t>Cost of equity</t>
        </is>
      </c>
      <c r="B3" s="13">
        <f>Inputs!$C$102+Inputs!$C$103*Inputs!$C$104</f>
        <v/>
      </c>
    </row>
    <row r="4">
      <c r="A4" t="inlineStr">
        <is>
          <t>After-tax cost of debt</t>
        </is>
      </c>
      <c r="B4" s="13">
        <f>Inputs!$C$105*(1-Inputs!$C$82)</f>
        <v/>
      </c>
    </row>
    <row r="5">
      <c r="A5" t="inlineStr">
        <is>
          <t>WACC</t>
        </is>
      </c>
      <c r="B5" s="13">
        <f>(1-Inputs!$C$106)*B3+Inputs!$C$106*B4</f>
        <v/>
      </c>
    </row>
    <row r="6">
      <c r="A6" t="inlineStr">
        <is>
          <t>Terminal growth</t>
        </is>
      </c>
      <c r="B6" s="13">
        <f>Inputs!$C$15</f>
        <v/>
      </c>
    </row>
    <row r="8">
      <c r="A8" s="8" t="inlineStr">
        <is>
          <t>Year</t>
        </is>
      </c>
      <c r="B8" s="8" t="n">
        <v>2027</v>
      </c>
      <c r="C8" s="8" t="n">
        <v>2028</v>
      </c>
      <c r="D8" s="8" t="n">
        <v>2029</v>
      </c>
      <c r="E8" s="8" t="n">
        <v>2030</v>
      </c>
    </row>
    <row r="9">
      <c r="A9" t="inlineStr">
        <is>
          <t>Period</t>
        </is>
      </c>
      <c r="B9" t="n">
        <v>1</v>
      </c>
      <c r="C9" t="n">
        <v>2</v>
      </c>
      <c r="D9" t="n">
        <v>3</v>
      </c>
      <c r="E9" t="n">
        <v>4</v>
      </c>
    </row>
    <row r="10">
      <c r="A10" t="inlineStr">
        <is>
          <t>Unlevered FCF</t>
        </is>
      </c>
      <c r="B10" s="28">
        <f>Model!G58</f>
        <v/>
      </c>
      <c r="C10" s="28">
        <f>Model!H58</f>
        <v/>
      </c>
      <c r="D10" s="28">
        <f>Model!I58</f>
        <v/>
      </c>
      <c r="E10" s="28">
        <f>Model!J58</f>
        <v/>
      </c>
    </row>
    <row r="11">
      <c r="A11" t="inlineStr">
        <is>
          <t>Discount factor</t>
        </is>
      </c>
      <c r="B11" s="32">
        <f>1/(1+$B$5)^(B9-0.5)</f>
        <v/>
      </c>
      <c r="C11" s="32">
        <f>1/(1+$B$5)^(C9-0.5)</f>
        <v/>
      </c>
      <c r="D11" s="32">
        <f>1/(1+$B$5)^(D9-0.5)</f>
        <v/>
      </c>
      <c r="E11" s="32">
        <f>1/(1+$B$5)^(E9-0.5)</f>
        <v/>
      </c>
    </row>
    <row r="12">
      <c r="A12" t="inlineStr">
        <is>
          <t>PV of FCF</t>
        </is>
      </c>
      <c r="B12" s="27">
        <f>B10*B11</f>
        <v/>
      </c>
      <c r="C12" s="27">
        <f>C10*C11</f>
        <v/>
      </c>
      <c r="D12" s="27">
        <f>D10*D11</f>
        <v/>
      </c>
      <c r="E12" s="27">
        <f>E10*E11</f>
        <v/>
      </c>
    </row>
    <row r="14">
      <c r="D14" s="12" t="inlineStr">
        <is>
          <t>Fair value (p): WACC (down) × terminal growth (across)</t>
        </is>
      </c>
    </row>
    <row r="15">
      <c r="A15" t="inlineStr">
        <is>
          <t>Sum of PV of FCF</t>
        </is>
      </c>
      <c r="B15" s="27">
        <f>SUM(B12:E12)</f>
        <v/>
      </c>
      <c r="E15" s="14" t="n">
        <v>0.02</v>
      </c>
      <c r="F15" s="14" t="n">
        <v>0.025</v>
      </c>
      <c r="G15" s="14" t="n">
        <v>0.03</v>
      </c>
      <c r="H15" s="14" t="n">
        <v>0.035</v>
      </c>
      <c r="I15" s="14" t="n">
        <v>0.04</v>
      </c>
    </row>
    <row r="16">
      <c r="A16" t="inlineStr">
        <is>
          <t>Terminal value (Gordon)</t>
        </is>
      </c>
      <c r="B16" s="27">
        <f>E10*(1+B6)/(B5-B6)</f>
        <v/>
      </c>
      <c r="D16" s="45">
        <f>$B$5+-0.01</f>
        <v/>
      </c>
      <c r="E16" s="39">
        <f>(SUMPRODUCT($B$10:$E$10/(1+$D16)^($B$9:$E$9-0.5))+$E$10*(1+E$15)/($D16-E$15)/(1+$D16)^($E$9-0.5)+$B$19+$B$20)/$B$22*100</f>
        <v/>
      </c>
      <c r="F16" s="39">
        <f>(SUMPRODUCT($B$10:$E$10/(1+$D16)^($B$9:$E$9-0.5))+$E$10*(1+F$15)/($D16-F$15)/(1+$D16)^($E$9-0.5)+$B$19+$B$20)/$B$22*100</f>
        <v/>
      </c>
      <c r="G16" s="39">
        <f>(SUMPRODUCT($B$10:$E$10/(1+$D16)^($B$9:$E$9-0.5))+$E$10*(1+G$15)/($D16-G$15)/(1+$D16)^($E$9-0.5)+$B$19+$B$20)/$B$22*100</f>
        <v/>
      </c>
      <c r="H16" s="39">
        <f>(SUMPRODUCT($B$10:$E$10/(1+$D16)^($B$9:$E$9-0.5))+$E$10*(1+H$15)/($D16-H$15)/(1+$D16)^($E$9-0.5)+$B$19+$B$20)/$B$22*100</f>
        <v/>
      </c>
      <c r="I16" s="39">
        <f>(SUMPRODUCT($B$10:$E$10/(1+$D16)^($B$9:$E$9-0.5))+$E$10*(1+I$15)/($D16-I$15)/(1+$D16)^($E$9-0.5)+$B$19+$B$20)/$B$22*100</f>
        <v/>
      </c>
    </row>
    <row r="17">
      <c r="A17" t="inlineStr">
        <is>
          <t>PV of terminal value</t>
        </is>
      </c>
      <c r="B17" s="27">
        <f>B16/(1+B5)^(E9-0.5)</f>
        <v/>
      </c>
      <c r="D17" s="45">
        <f>$B$5+-0.005</f>
        <v/>
      </c>
      <c r="E17" s="39">
        <f>(SUMPRODUCT($B$10:$E$10/(1+$D17)^($B$9:$E$9-0.5))+$E$10*(1+E$15)/($D17-E$15)/(1+$D17)^($E$9-0.5)+$B$19+$B$20)/$B$22*100</f>
        <v/>
      </c>
      <c r="F17" s="39">
        <f>(SUMPRODUCT($B$10:$E$10/(1+$D17)^($B$9:$E$9-0.5))+$E$10*(1+F$15)/($D17-F$15)/(1+$D17)^($E$9-0.5)+$B$19+$B$20)/$B$22*100</f>
        <v/>
      </c>
      <c r="G17" s="39">
        <f>(SUMPRODUCT($B$10:$E$10/(1+$D17)^($B$9:$E$9-0.5))+$E$10*(1+G$15)/($D17-G$15)/(1+$D17)^($E$9-0.5)+$B$19+$B$20)/$B$22*100</f>
        <v/>
      </c>
      <c r="H17" s="39">
        <f>(SUMPRODUCT($B$10:$E$10/(1+$D17)^($B$9:$E$9-0.5))+$E$10*(1+H$15)/($D17-H$15)/(1+$D17)^($E$9-0.5)+$B$19+$B$20)/$B$22*100</f>
        <v/>
      </c>
      <c r="I17" s="39">
        <f>(SUMPRODUCT($B$10:$E$10/(1+$D17)^($B$9:$E$9-0.5))+$E$10*(1+I$15)/($D17-I$15)/(1+$D17)^($E$9-0.5)+$B$19+$B$20)/$B$22*100</f>
        <v/>
      </c>
    </row>
    <row r="18">
      <c r="A18" s="12" t="inlineStr">
        <is>
          <t>Enterprise value</t>
        </is>
      </c>
      <c r="B18" s="46">
        <f>B15+B17</f>
        <v/>
      </c>
      <c r="D18" s="45">
        <f>$B$5+0</f>
        <v/>
      </c>
      <c r="E18" s="39">
        <f>(SUMPRODUCT($B$10:$E$10/(1+$D18)^($B$9:$E$9-0.5))+$E$10*(1+E$15)/($D18-E$15)/(1+$D18)^($E$9-0.5)+$B$19+$B$20)/$B$22*100</f>
        <v/>
      </c>
      <c r="F18" s="39">
        <f>(SUMPRODUCT($B$10:$E$10/(1+$D18)^($B$9:$E$9-0.5))+$E$10*(1+F$15)/($D18-F$15)/(1+$D18)^($E$9-0.5)+$B$19+$B$20)/$B$22*100</f>
        <v/>
      </c>
      <c r="G18" s="39">
        <f>(SUMPRODUCT($B$10:$E$10/(1+$D18)^($B$9:$E$9-0.5))+$E$10*(1+G$15)/($D18-G$15)/(1+$D18)^($E$9-0.5)+$B$19+$B$20)/$B$22*100</f>
        <v/>
      </c>
      <c r="H18" s="39">
        <f>(SUMPRODUCT($B$10:$E$10/(1+$D18)^($B$9:$E$9-0.5))+$E$10*(1+H$15)/($D18-H$15)/(1+$D18)^($E$9-0.5)+$B$19+$B$20)/$B$22*100</f>
        <v/>
      </c>
      <c r="I18" s="39">
        <f>(SUMPRODUCT($B$10:$E$10/(1+$D18)^($B$9:$E$9-0.5))+$E$10*(1+I$15)/($D18-I$15)/(1+$D18)^($E$9-0.5)+$B$19+$B$20)/$B$22*100</f>
        <v/>
      </c>
    </row>
    <row r="19">
      <c r="A19" t="inlineStr">
        <is>
          <t>Less: net debt (end-2026)</t>
        </is>
      </c>
      <c r="B19" s="27">
        <f>-Model!F54</f>
        <v/>
      </c>
      <c r="D19" s="45">
        <f>$B$5+0.005</f>
        <v/>
      </c>
      <c r="E19" s="39">
        <f>(SUMPRODUCT($B$10:$E$10/(1+$D19)^($B$9:$E$9-0.5))+$E$10*(1+E$15)/($D19-E$15)/(1+$D19)^($E$9-0.5)+$B$19+$B$20)/$B$22*100</f>
        <v/>
      </c>
      <c r="F19" s="39">
        <f>(SUMPRODUCT($B$10:$E$10/(1+$D19)^($B$9:$E$9-0.5))+$E$10*(1+F$15)/($D19-F$15)/(1+$D19)^($E$9-0.5)+$B$19+$B$20)/$B$22*100</f>
        <v/>
      </c>
      <c r="G19" s="39">
        <f>(SUMPRODUCT($B$10:$E$10/(1+$D19)^($B$9:$E$9-0.5))+$E$10*(1+G$15)/($D19-G$15)/(1+$D19)^($E$9-0.5)+$B$19+$B$20)/$B$22*100</f>
        <v/>
      </c>
      <c r="H19" s="39">
        <f>(SUMPRODUCT($B$10:$E$10/(1+$D19)^($B$9:$E$9-0.5))+$E$10*(1+H$15)/($D19-H$15)/(1+$D19)^($E$9-0.5)+$B$19+$B$20)/$B$22*100</f>
        <v/>
      </c>
      <c r="I19" s="39">
        <f>(SUMPRODUCT($B$10:$E$10/(1+$D19)^($B$9:$E$9-0.5))+$E$10*(1+I$15)/($D19-I$15)/(1+$D19)^($E$9-0.5)+$B$19+$B$20)/$B$22*100</f>
        <v/>
      </c>
    </row>
    <row r="20">
      <c r="A20" t="inlineStr">
        <is>
          <t>Less: Tradeweb minority at market value</t>
        </is>
      </c>
      <c r="B20" s="27">
        <f>-Inputs!$C$111*Inputs!$C$112*(1-Inputs!$C$114)/Inputs!$C$19</f>
        <v/>
      </c>
      <c r="D20" s="45">
        <f>$B$5+0.01</f>
        <v/>
      </c>
      <c r="E20" s="39">
        <f>(SUMPRODUCT($B$10:$E$10/(1+$D20)^($B$9:$E$9-0.5))+$E$10*(1+E$15)/($D20-E$15)/(1+$D20)^($E$9-0.5)+$B$19+$B$20)/$B$22*100</f>
        <v/>
      </c>
      <c r="F20" s="39">
        <f>(SUMPRODUCT($B$10:$E$10/(1+$D20)^($B$9:$E$9-0.5))+$E$10*(1+F$15)/($D20-F$15)/(1+$D20)^($E$9-0.5)+$B$19+$B$20)/$B$22*100</f>
        <v/>
      </c>
      <c r="G20" s="39">
        <f>(SUMPRODUCT($B$10:$E$10/(1+$D20)^($B$9:$E$9-0.5))+$E$10*(1+G$15)/($D20-G$15)/(1+$D20)^($E$9-0.5)+$B$19+$B$20)/$B$22*100</f>
        <v/>
      </c>
      <c r="H20" s="39">
        <f>(SUMPRODUCT($B$10:$E$10/(1+$D20)^($B$9:$E$9-0.5))+$E$10*(1+H$15)/($D20-H$15)/(1+$D20)^($E$9-0.5)+$B$19+$B$20)/$B$22*100</f>
        <v/>
      </c>
      <c r="I20" s="39">
        <f>(SUMPRODUCT($B$10:$E$10/(1+$D20)^($B$9:$E$9-0.5))+$E$10*(1+I$15)/($D20-I$15)/(1+$D20)^($E$9-0.5)+$B$19+$B$20)/$B$22*100</f>
        <v/>
      </c>
    </row>
    <row r="21">
      <c r="A21" s="12" t="inlineStr">
        <is>
          <t>Equity value</t>
        </is>
      </c>
      <c r="B21" s="46">
        <f>B18+B19+B20</f>
        <v/>
      </c>
    </row>
    <row r="22">
      <c r="A22" t="inlineStr">
        <is>
          <t>Shares (end-2026, m)</t>
        </is>
      </c>
      <c r="B22" s="33">
        <f>Model!F43</f>
        <v/>
      </c>
    </row>
    <row r="23">
      <c r="A23" s="12" t="inlineStr">
        <is>
          <t>Fair value per share (p)</t>
        </is>
      </c>
      <c r="B23" s="47">
        <f>B21/B22*100</f>
        <v/>
      </c>
      <c r="D23" s="12" t="inlineStr">
        <is>
          <t>Beta check</t>
        </is>
      </c>
    </row>
    <row r="24">
      <c r="A24" t="inlineStr">
        <is>
          <t>Current share price (p)</t>
        </is>
      </c>
      <c r="B24" s="39">
        <f>Inputs!$C$18</f>
        <v/>
      </c>
      <c r="D24" t="inlineStr">
        <is>
          <t>Observed 5y beta</t>
        </is>
      </c>
      <c r="E24" s="30">
        <f>Inputs!$C$107</f>
        <v/>
      </c>
    </row>
    <row r="25">
      <c r="A25" s="12" t="inlineStr">
        <is>
          <t>Upside / (downside)</t>
        </is>
      </c>
      <c r="B25" s="48">
        <f>B23/B24-1</f>
        <v/>
      </c>
      <c r="D25" t="inlineStr">
        <is>
          <t>Blume-adjusted</t>
        </is>
      </c>
      <c r="E25" s="30">
        <f>Inputs!$C$108</f>
        <v/>
      </c>
    </row>
    <row r="26">
      <c r="A26" t="inlineStr">
        <is>
          <t>TV as % of EV</t>
        </is>
      </c>
      <c r="B26" s="13">
        <f>B17/B18</f>
        <v/>
      </c>
      <c r="D26" t="inlineStr">
        <is>
          <t>Used in WACC</t>
        </is>
      </c>
      <c r="E26" s="30">
        <f>Inputs!$C$103</f>
        <v/>
      </c>
    </row>
    <row r="27">
      <c r="A27" t="inlineStr">
        <is>
          <t>Implied TV / 2030E EBITDA</t>
        </is>
      </c>
      <c r="B27" s="44">
        <f>B16/Model!J10</f>
        <v/>
      </c>
    </row>
    <row r="28">
      <c r="A28" t="inlineStr">
        <is>
          <t>2027E P/E at current price</t>
        </is>
      </c>
      <c r="B28" s="44">
        <f>B24/Model!G20</f>
        <v/>
      </c>
      <c r="D28" s="12" t="inlineStr">
        <is>
          <t>DCF value (p) by beta, base case (engine snapshot)</t>
        </is>
      </c>
    </row>
    <row r="29">
      <c r="D29" t="inlineStr">
        <is>
          <t>Beta</t>
        </is>
      </c>
      <c r="E29" s="30" t="n">
        <v>0.6</v>
      </c>
      <c r="F29" s="30" t="n">
        <v>0.85</v>
      </c>
      <c r="G29" s="30" t="n">
        <v>1</v>
      </c>
    </row>
    <row r="30">
      <c r="D30" t="inlineStr">
        <is>
          <t>Value (p)</t>
        </is>
      </c>
      <c r="E30" s="39" t="n">
        <v>12752.98903059893</v>
      </c>
      <c r="F30" s="39" t="n">
        <v>9343.484919489012</v>
      </c>
      <c r="G30" s="39" t="n">
        <v>7879.749431015418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0" customWidth="1" min="10" max="10"/>
    <col width="12" customWidth="1" min="11" max="11"/>
    <col width="12" customWidth="1" min="12" max="12"/>
  </cols>
  <sheetData>
    <row r="1">
      <c r="A1" s="1" t="inlineStr">
        <is>
          <t>LSEG – Sum of the parts (forward P/E basis, 2026E earnings mix)</t>
        </is>
      </c>
    </row>
    <row r="2">
      <c r="A2" t="inlineStr">
        <is>
          <t>Each division's share of shareholder earnings × its peer median forward P/E → blended P/E × LSEG forward EPS (same data source as comps).</t>
        </is>
      </c>
    </row>
    <row r="4">
      <c r="A4" s="8" t="inlineStr">
        <is>
          <t>Division</t>
        </is>
      </c>
      <c r="B4" s="8" t="inlineStr">
        <is>
          <t>EBITDA 2026E</t>
        </is>
      </c>
      <c r="C4" s="8" t="inlineStr">
        <is>
          <t>D&amp;A alloc.</t>
        </is>
      </c>
      <c r="D4" s="8" t="inlineStr">
        <is>
          <t>EBIT</t>
        </is>
      </c>
      <c r="E4" s="8" t="inlineStr">
        <is>
          <t>Interest alloc.</t>
        </is>
      </c>
      <c r="F4" s="8" t="inlineStr">
        <is>
          <t>Tax</t>
        </is>
      </c>
      <c r="G4" s="8" t="inlineStr">
        <is>
          <t>NCI</t>
        </is>
      </c>
      <c r="H4" s="8" t="inlineStr">
        <is>
          <t>Earnings</t>
        </is>
      </c>
      <c r="I4" s="8" t="inlineStr">
        <is>
          <t>Weight</t>
        </is>
      </c>
      <c r="J4" s="8" t="inlineStr">
        <is>
          <t>Peers</t>
        </is>
      </c>
      <c r="K4" s="8" t="inlineStr">
        <is>
          <t>Peer median P/E</t>
        </is>
      </c>
      <c r="L4" s="8" t="inlineStr">
        <is>
          <t>Weighted P/E</t>
        </is>
      </c>
    </row>
    <row r="5">
      <c r="A5" t="inlineStr">
        <is>
          <t>Data &amp; Analytics</t>
        </is>
      </c>
      <c r="B5" s="28">
        <f>Divisions!F57</f>
        <v/>
      </c>
      <c r="C5" s="27">
        <f>Model!F12*574/1017</f>
        <v/>
      </c>
      <c r="D5" s="27">
        <f>B5-C5</f>
        <v/>
      </c>
      <c r="E5" s="27">
        <f>Model!F14*D5/SUM($D$5:$D$8)</f>
        <v/>
      </c>
      <c r="F5" s="27">
        <f>(D5-E5)*Inputs!$C$82</f>
        <v/>
      </c>
      <c r="G5" s="27" t="n">
        <v>0</v>
      </c>
      <c r="H5" s="27">
        <f>D5-E5-F5-G5</f>
        <v/>
      </c>
      <c r="I5" s="13">
        <f>H5/SUM($H$5:$H$8)</f>
        <v/>
      </c>
      <c r="J5" t="inlineStr">
        <is>
          <t>FDS, SPGI, REL.L, EXPN.L</t>
        </is>
      </c>
      <c r="K5" s="44">
        <f>MEDIAN(Comps!G8,Comps!G5,Comps!G9,Comps!G10)</f>
        <v/>
      </c>
      <c r="L5" s="49">
        <f>I5*K5</f>
        <v/>
      </c>
    </row>
    <row r="6">
      <c r="A6" t="inlineStr">
        <is>
          <t>FTSE Russell</t>
        </is>
      </c>
      <c r="B6" s="28">
        <f>Divisions!F59</f>
        <v/>
      </c>
      <c r="C6" s="27">
        <f>Model!F12*89/1017</f>
        <v/>
      </c>
      <c r="D6" s="27">
        <f>B6-C6</f>
        <v/>
      </c>
      <c r="E6" s="27">
        <f>Model!F14*D6/SUM($D$5:$D$8)</f>
        <v/>
      </c>
      <c r="F6" s="27">
        <f>(D6-E6)*Inputs!$C$82</f>
        <v/>
      </c>
      <c r="G6" s="27" t="n">
        <v>0</v>
      </c>
      <c r="H6" s="27">
        <f>D6-E6-F6-G6</f>
        <v/>
      </c>
      <c r="I6" s="13">
        <f>H6/SUM($H$5:$H$8)</f>
        <v/>
      </c>
      <c r="J6" t="inlineStr">
        <is>
          <t>MSCI, SPGI</t>
        </is>
      </c>
      <c r="K6" s="44">
        <f>MEDIAN(Comps!G7,Comps!G5)</f>
        <v/>
      </c>
      <c r="L6" s="49">
        <f>I6*K6</f>
        <v/>
      </c>
    </row>
    <row r="7">
      <c r="A7" t="inlineStr">
        <is>
          <t>Risk Intelligence</t>
        </is>
      </c>
      <c r="B7" s="28">
        <f>Divisions!F61</f>
        <v/>
      </c>
      <c r="C7" s="27">
        <f>Model!F12*48/1017</f>
        <v/>
      </c>
      <c r="D7" s="27">
        <f>B7-C7</f>
        <v/>
      </c>
      <c r="E7" s="27">
        <f>Model!F14*D7/SUM($D$5:$D$8)</f>
        <v/>
      </c>
      <c r="F7" s="27">
        <f>(D7-E7)*Inputs!$C$82</f>
        <v/>
      </c>
      <c r="G7" s="27" t="n">
        <v>0</v>
      </c>
      <c r="H7" s="27">
        <f>D7-E7-F7-G7</f>
        <v/>
      </c>
      <c r="I7" s="13">
        <f>H7/SUM($H$5:$H$8)</f>
        <v/>
      </c>
      <c r="J7" t="inlineStr">
        <is>
          <t>EXPN.L, REL.L, MCO</t>
        </is>
      </c>
      <c r="K7" s="44">
        <f>MEDIAN(Comps!G10,Comps!G9,Comps!G6)</f>
        <v/>
      </c>
      <c r="L7" s="49">
        <f>I7*K7</f>
        <v/>
      </c>
    </row>
    <row r="8">
      <c r="A8" t="inlineStr">
        <is>
          <t>Markets</t>
        </is>
      </c>
      <c r="B8" s="28">
        <f>Divisions!F63</f>
        <v/>
      </c>
      <c r="C8" s="27">
        <f>Model!F12*306/1017</f>
        <v/>
      </c>
      <c r="D8" s="27">
        <f>B8-C8</f>
        <v/>
      </c>
      <c r="E8" s="27">
        <f>Model!F14*D8/SUM($D$5:$D$8)</f>
        <v/>
      </c>
      <c r="F8" s="27">
        <f>(D8-E8)*Inputs!$C$82</f>
        <v/>
      </c>
      <c r="G8" s="27">
        <f>Model!F18</f>
        <v/>
      </c>
      <c r="H8" s="27">
        <f>D8-E8-F8-G8</f>
        <v/>
      </c>
      <c r="I8" s="13">
        <f>H8/SUM($H$5:$H$8)</f>
        <v/>
      </c>
      <c r="J8" t="inlineStr">
        <is>
          <t>ICE, CME, NDAQ, DB1.DE, ENX.PA</t>
        </is>
      </c>
      <c r="K8" s="44">
        <f>MEDIAN(Comps!G11,Comps!G13,Comps!G12,Comps!G14,Comps!G15)</f>
        <v/>
      </c>
      <c r="L8" s="49">
        <f>I8*K8</f>
        <v/>
      </c>
    </row>
    <row r="10">
      <c r="A10" t="inlineStr">
        <is>
          <t>Blended peer P/E</t>
        </is>
      </c>
      <c r="B10" s="44">
        <f>SUM(L5:L8)</f>
        <v/>
      </c>
    </row>
    <row r="11">
      <c r="A11" t="inlineStr">
        <is>
          <t>LSEG forward P/E (same source)</t>
        </is>
      </c>
      <c r="B11" s="44">
        <f>Comps!G22</f>
        <v/>
      </c>
    </row>
    <row r="12">
      <c r="A12" t="inlineStr">
        <is>
          <t>LSEG forward EPS implied by source (p)</t>
        </is>
      </c>
      <c r="B12" s="38">
        <f>Comps!B24/Comps!G22</f>
        <v/>
      </c>
    </row>
    <row r="13">
      <c r="A13" s="12" t="inlineStr">
        <is>
          <t>SOTP value per share (p)</t>
        </is>
      </c>
      <c r="B13" s="47">
        <f>B10*B12</f>
        <v/>
      </c>
    </row>
    <row r="14">
      <c r="A14" s="12" t="inlineStr">
        <is>
          <t>Upside vs price on same source</t>
        </is>
      </c>
      <c r="B14" s="48">
        <f>B13/Comps!B24-1</f>
        <v/>
      </c>
    </row>
    <row r="16">
      <c r="A16" t="inlineStr">
        <is>
          <t>EV/EBITDA SOTP not used: third-party trailing EBITDA definitions differ (LSEG shows 17.4x on the source vs c.13x on adjusted EBITDA).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</cols>
  <sheetData>
    <row r="1">
      <c r="A1" s="1" t="inlineStr">
        <is>
          <t>LSEG excluding its Tradeweb stake</t>
        </is>
      </c>
    </row>
    <row r="2">
      <c r="A2" t="inlineStr">
        <is>
          <t>Tradeweb is listed. Remove LSEG's 51.2% stake at market value and see what the rest of the group costs, on the same forward-earnings source as the comps.</t>
        </is>
      </c>
    </row>
    <row r="5">
      <c r="A5" t="inlineStr">
        <is>
          <t>LSEG market cap (£m)</t>
        </is>
      </c>
      <c r="B5" s="27">
        <f>Comps!B24*Inputs!$C$115/100</f>
        <v/>
      </c>
    </row>
    <row r="6">
      <c r="A6" t="inlineStr">
        <is>
          <t>Tradeweb market cap (£m)</t>
        </is>
      </c>
      <c r="B6" s="27">
        <f>Inputs!$C$111*Inputs!$C$112/Inputs!$C$19</f>
        <v/>
      </c>
    </row>
    <row r="7">
      <c r="A7" t="inlineStr">
        <is>
          <t>LSEG stake in Tradeweb (£m)</t>
        </is>
      </c>
      <c r="B7" s="27">
        <f>B6*Inputs!$C$114</f>
        <v/>
      </c>
    </row>
    <row r="8">
      <c r="A8" t="inlineStr">
        <is>
          <t xml:space="preserve">  as % of LSEG market cap</t>
        </is>
      </c>
      <c r="B8" s="13">
        <f>B7/B5</f>
        <v/>
      </c>
    </row>
    <row r="9">
      <c r="A9" t="inlineStr">
        <is>
          <t>Stub value: LSEG ex-Tradeweb (£m)</t>
        </is>
      </c>
      <c r="B9" s="27">
        <f>B5-B7</f>
        <v/>
      </c>
    </row>
    <row r="10">
      <c r="A10" t="inlineStr">
        <is>
          <t>LSEG forward earnings (£m)</t>
        </is>
      </c>
      <c r="B10" s="27">
        <f>B5/Comps!G22</f>
        <v/>
      </c>
    </row>
    <row r="11">
      <c r="A11" t="inlineStr">
        <is>
          <t>Tradeweb forward earnings attributable to LSEG (£m)</t>
        </is>
      </c>
      <c r="B11" s="27">
        <f>B6/Inputs!$C$113*Inputs!$C$114</f>
        <v/>
      </c>
    </row>
    <row r="12">
      <c r="A12" t="inlineStr">
        <is>
          <t>Stub forward earnings (£m)</t>
        </is>
      </c>
      <c r="B12" s="27">
        <f>B10-B11</f>
        <v/>
      </c>
    </row>
    <row r="13">
      <c r="A13" s="12" t="inlineStr">
        <is>
          <t>Stub forward P/E</t>
        </is>
      </c>
      <c r="B13" s="50">
        <f>B9/B12</f>
        <v/>
      </c>
    </row>
    <row r="14">
      <c r="A14" t="inlineStr">
        <is>
          <t>LSEG group forward P/E</t>
        </is>
      </c>
      <c r="B14" s="44">
        <f>Comps!G22</f>
        <v/>
      </c>
    </row>
    <row r="15">
      <c r="A15" t="inlineStr">
        <is>
          <t>FactSet forward P/E</t>
        </is>
      </c>
      <c r="B15" s="44">
        <f>Comps!G8</f>
        <v/>
      </c>
    </row>
    <row r="16">
      <c r="A16" t="inlineStr">
        <is>
          <t>Data &amp; analytics peer median</t>
        </is>
      </c>
      <c r="B16" s="44">
        <f>SOTP!K5</f>
        <v/>
      </c>
    </row>
    <row r="17">
      <c r="A17" t="inlineStr">
        <is>
          <t>Stub discount to data &amp; analytics peers</t>
        </is>
      </c>
      <c r="B17" s="13">
        <f>B13/B16-1</f>
        <v/>
      </c>
    </row>
    <row r="19">
      <c r="A19" t="inlineStr">
        <is>
          <t>Read: the rest of LSEG (Data &amp; Analytics, FTSE Russell, Risk Intelligence, LCH, equities) costs less than FactSet on forward earnings.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8" max="8"/>
  </cols>
  <sheetData>
    <row r="1">
      <c r="A1" s="1" t="inlineStr">
        <is>
          <t>LSEG trailing P/E, Jan 2022 – Oct 2026</t>
        </is>
      </c>
    </row>
    <row r="2">
      <c r="A2" t="inlineStr">
        <is>
          <t>Month-end price ÷ LTM adjusted EPS (interpolated between reported half and full years; Dec 2026 = model). Prices: Alpha Vantage.</t>
        </is>
      </c>
    </row>
    <row r="4">
      <c r="A4" s="8" t="inlineStr">
        <is>
          <t>Month</t>
        </is>
      </c>
      <c r="B4" s="8" t="inlineStr">
        <is>
          <t>Price (p)</t>
        </is>
      </c>
      <c r="C4" s="8" t="inlineStr">
        <is>
          <t>LTM adj EPS (p)</t>
        </is>
      </c>
      <c r="D4" s="8" t="inlineStr">
        <is>
          <t>Trailing P/E</t>
        </is>
      </c>
      <c r="E4" s="8" t="inlineStr">
        <is>
          <t>5y average</t>
        </is>
      </c>
      <c r="H4" s="12" t="inlineStr">
        <is>
          <t>Current</t>
        </is>
      </c>
      <c r="I4" s="44">
        <f>D62</f>
        <v/>
      </c>
    </row>
    <row r="5">
      <c r="A5" t="inlineStr">
        <is>
          <t>2022-01</t>
        </is>
      </c>
      <c r="B5" s="39" t="n">
        <v>7220</v>
      </c>
      <c r="C5" s="38" t="n">
        <v>276.1833333333333</v>
      </c>
      <c r="D5" s="44">
        <f>B5/C5</f>
        <v/>
      </c>
      <c r="E5" s="44">
        <f>AVERAGE($D$5:$D$62)</f>
        <v/>
      </c>
      <c r="H5" s="12" t="inlineStr">
        <is>
          <t>5y average</t>
        </is>
      </c>
      <c r="I5" s="44">
        <f>AVERAGE(D5:D62)</f>
        <v/>
      </c>
    </row>
    <row r="6">
      <c r="A6" t="inlineStr">
        <is>
          <t>2022-02</t>
        </is>
      </c>
      <c r="B6" s="39" t="n">
        <v>6574</v>
      </c>
      <c r="C6" s="38" t="n">
        <v>279.9666666666667</v>
      </c>
      <c r="D6" s="44">
        <f>B6/C6</f>
        <v/>
      </c>
      <c r="E6" s="44">
        <f>AVERAGE($D$5:$D$62)</f>
        <v/>
      </c>
      <c r="H6" s="12" t="inlineStr">
        <is>
          <t>5y low</t>
        </is>
      </c>
      <c r="I6" s="44">
        <f>MIN(D5:D62)</f>
        <v/>
      </c>
    </row>
    <row r="7">
      <c r="A7" t="inlineStr">
        <is>
          <t>2022-03</t>
        </is>
      </c>
      <c r="B7" s="39" t="n">
        <v>7966</v>
      </c>
      <c r="C7" s="38" t="n">
        <v>283.75</v>
      </c>
      <c r="D7" s="44">
        <f>B7/C7</f>
        <v/>
      </c>
      <c r="E7" s="44">
        <f>AVERAGE($D$5:$D$62)</f>
        <v/>
      </c>
      <c r="H7" s="12" t="inlineStr">
        <is>
          <t>5y high</t>
        </is>
      </c>
      <c r="I7" s="44">
        <f>MAX(D5:D62)</f>
        <v/>
      </c>
    </row>
    <row r="8">
      <c r="A8" t="inlineStr">
        <is>
          <t>2022-04</t>
        </is>
      </c>
      <c r="B8" s="39" t="n">
        <v>7916</v>
      </c>
      <c r="C8" s="38" t="n">
        <v>287.5333333333333</v>
      </c>
      <c r="D8" s="44">
        <f>B8/C8</f>
        <v/>
      </c>
      <c r="E8" s="44">
        <f>AVERAGE($D$5:$D$62)</f>
        <v/>
      </c>
      <c r="H8" s="12" t="inlineStr">
        <is>
          <t>Percentile of current</t>
        </is>
      </c>
      <c r="I8" s="13">
        <f>PERCENTRANK(D5:D62,D62)</f>
        <v/>
      </c>
    </row>
    <row r="9">
      <c r="A9" t="inlineStr">
        <is>
          <t>2022-05</t>
        </is>
      </c>
      <c r="B9" s="39" t="n">
        <v>7402</v>
      </c>
      <c r="C9" s="38" t="n">
        <v>291.3166666666667</v>
      </c>
      <c r="D9" s="44">
        <f>B9/C9</f>
        <v/>
      </c>
      <c r="E9" s="44">
        <f>AVERAGE($D$5:$D$62)</f>
        <v/>
      </c>
    </row>
    <row r="10">
      <c r="A10" t="inlineStr">
        <is>
          <t>2022-06</t>
        </is>
      </c>
      <c r="B10" s="39" t="n">
        <v>7632</v>
      </c>
      <c r="C10" s="38" t="n">
        <v>295.1</v>
      </c>
      <c r="D10" s="44">
        <f>B10/C10</f>
        <v/>
      </c>
      <c r="E10" s="44">
        <f>AVERAGE($D$5:$D$62)</f>
        <v/>
      </c>
    </row>
    <row r="11">
      <c r="A11" t="inlineStr">
        <is>
          <t>2022-07</t>
        </is>
      </c>
      <c r="B11" s="39" t="n">
        <v>7998</v>
      </c>
      <c r="C11" s="38" t="n">
        <v>298.8833333333333</v>
      </c>
      <c r="D11" s="44">
        <f>B11/C11</f>
        <v/>
      </c>
      <c r="E11" s="44">
        <f>AVERAGE($D$5:$D$62)</f>
        <v/>
      </c>
    </row>
    <row r="12">
      <c r="A12" t="inlineStr">
        <is>
          <t>2022-08</t>
        </is>
      </c>
      <c r="B12" s="39" t="n">
        <v>8102</v>
      </c>
      <c r="C12" s="38" t="n">
        <v>302.6666666666667</v>
      </c>
      <c r="D12" s="44">
        <f>B12/C12</f>
        <v/>
      </c>
      <c r="E12" s="44">
        <f>AVERAGE($D$5:$D$62)</f>
        <v/>
      </c>
    </row>
    <row r="13">
      <c r="A13" t="inlineStr">
        <is>
          <t>2022-09</t>
        </is>
      </c>
      <c r="B13" s="39" t="n">
        <v>7628</v>
      </c>
      <c r="C13" s="38" t="n">
        <v>306.45</v>
      </c>
      <c r="D13" s="44">
        <f>B13/C13</f>
        <v/>
      </c>
      <c r="E13" s="44">
        <f>AVERAGE($D$5:$D$62)</f>
        <v/>
      </c>
    </row>
    <row r="14">
      <c r="A14" t="inlineStr">
        <is>
          <t>2022-10</t>
        </is>
      </c>
      <c r="B14" s="39" t="n">
        <v>7566</v>
      </c>
      <c r="C14" s="38" t="n">
        <v>310.2333333333333</v>
      </c>
      <c r="D14" s="44">
        <f>B14/C14</f>
        <v/>
      </c>
      <c r="E14" s="44">
        <f>AVERAGE($D$5:$D$62)</f>
        <v/>
      </c>
    </row>
    <row r="15">
      <c r="A15" t="inlineStr">
        <is>
          <t>2022-11</t>
        </is>
      </c>
      <c r="B15" s="39" t="n">
        <v>8248</v>
      </c>
      <c r="C15" s="38" t="n">
        <v>314.0166666666667</v>
      </c>
      <c r="D15" s="44">
        <f>B15/C15</f>
        <v/>
      </c>
      <c r="E15" s="44">
        <f>AVERAGE($D$5:$D$62)</f>
        <v/>
      </c>
    </row>
    <row r="16">
      <c r="A16" t="inlineStr">
        <is>
          <t>2022-12</t>
        </is>
      </c>
      <c r="B16" s="39" t="n">
        <v>7136</v>
      </c>
      <c r="C16" s="38" t="n">
        <v>317.8</v>
      </c>
      <c r="D16" s="44">
        <f>B16/C16</f>
        <v/>
      </c>
      <c r="E16" s="44">
        <f>AVERAGE($D$5:$D$62)</f>
        <v/>
      </c>
    </row>
    <row r="17">
      <c r="A17" t="inlineStr">
        <is>
          <t>2023-01</t>
        </is>
      </c>
      <c r="B17" s="39" t="n">
        <v>7406</v>
      </c>
      <c r="C17" s="38" t="n">
        <v>318.3083333333333</v>
      </c>
      <c r="D17" s="44">
        <f>B17/C17</f>
        <v/>
      </c>
      <c r="E17" s="44">
        <f>AVERAGE($D$5:$D$62)</f>
        <v/>
      </c>
    </row>
    <row r="18">
      <c r="A18" t="inlineStr">
        <is>
          <t>2023-02</t>
        </is>
      </c>
      <c r="B18" s="39" t="n">
        <v>7432</v>
      </c>
      <c r="C18" s="38" t="n">
        <v>318.8166666666667</v>
      </c>
      <c r="D18" s="44">
        <f>B18/C18</f>
        <v/>
      </c>
      <c r="E18" s="44">
        <f>AVERAGE($D$5:$D$62)</f>
        <v/>
      </c>
    </row>
    <row r="19">
      <c r="A19" t="inlineStr">
        <is>
          <t>2023-03</t>
        </is>
      </c>
      <c r="B19" s="39" t="n">
        <v>7868</v>
      </c>
      <c r="C19" s="38" t="n">
        <v>319.325</v>
      </c>
      <c r="D19" s="44">
        <f>B19/C19</f>
        <v/>
      </c>
      <c r="E19" s="44">
        <f>AVERAGE($D$5:$D$62)</f>
        <v/>
      </c>
    </row>
    <row r="20">
      <c r="A20" t="inlineStr">
        <is>
          <t>2023-04</t>
        </is>
      </c>
      <c r="B20" s="39" t="n">
        <v>8346</v>
      </c>
      <c r="C20" s="38" t="n">
        <v>319.8333333333334</v>
      </c>
      <c r="D20" s="44">
        <f>B20/C20</f>
        <v/>
      </c>
      <c r="E20" s="44">
        <f>AVERAGE($D$5:$D$62)</f>
        <v/>
      </c>
    </row>
    <row r="21">
      <c r="A21" t="inlineStr">
        <is>
          <t>2023-05</t>
        </is>
      </c>
      <c r="B21" s="39" t="n">
        <v>8550</v>
      </c>
      <c r="C21" s="38" t="n">
        <v>320.3416666666667</v>
      </c>
      <c r="D21" s="44">
        <f>B21/C21</f>
        <v/>
      </c>
      <c r="E21" s="44">
        <f>AVERAGE($D$5:$D$62)</f>
        <v/>
      </c>
    </row>
    <row r="22">
      <c r="A22" t="inlineStr">
        <is>
          <t>2023-06</t>
        </is>
      </c>
      <c r="B22" s="39" t="n">
        <v>8366</v>
      </c>
      <c r="C22" s="38" t="n">
        <v>320.85</v>
      </c>
      <c r="D22" s="44">
        <f>B22/C22</f>
        <v/>
      </c>
      <c r="E22" s="44">
        <f>AVERAGE($D$5:$D$62)</f>
        <v/>
      </c>
    </row>
    <row r="23">
      <c r="A23" t="inlineStr">
        <is>
          <t>2023-07</t>
        </is>
      </c>
      <c r="B23" s="39" t="n">
        <v>8462</v>
      </c>
      <c r="C23" s="38" t="n">
        <v>321.3583333333333</v>
      </c>
      <c r="D23" s="44">
        <f>B23/C23</f>
        <v/>
      </c>
      <c r="E23" s="44">
        <f>AVERAGE($D$5:$D$62)</f>
        <v/>
      </c>
    </row>
    <row r="24">
      <c r="A24" t="inlineStr">
        <is>
          <t>2023-08</t>
        </is>
      </c>
      <c r="B24" s="39" t="n">
        <v>8178</v>
      </c>
      <c r="C24" s="38" t="n">
        <v>321.8666666666667</v>
      </c>
      <c r="D24" s="44">
        <f>B24/C24</f>
        <v/>
      </c>
      <c r="E24" s="44">
        <f>AVERAGE($D$5:$D$62)</f>
        <v/>
      </c>
    </row>
    <row r="25">
      <c r="A25" t="inlineStr">
        <is>
          <t>2023-09</t>
        </is>
      </c>
      <c r="B25" s="39" t="n">
        <v>8234</v>
      </c>
      <c r="C25" s="38" t="n">
        <v>322.375</v>
      </c>
      <c r="D25" s="44">
        <f>B25/C25</f>
        <v/>
      </c>
      <c r="E25" s="44">
        <f>AVERAGE($D$5:$D$62)</f>
        <v/>
      </c>
    </row>
    <row r="26">
      <c r="A26" t="inlineStr">
        <is>
          <t>2023-10</t>
        </is>
      </c>
      <c r="B26" s="39" t="n">
        <v>8280</v>
      </c>
      <c r="C26" s="38" t="n">
        <v>322.8833333333333</v>
      </c>
      <c r="D26" s="44">
        <f>B26/C26</f>
        <v/>
      </c>
      <c r="E26" s="44">
        <f>AVERAGE($D$5:$D$62)</f>
        <v/>
      </c>
    </row>
    <row r="27">
      <c r="A27" t="inlineStr">
        <is>
          <t>2023-11</t>
        </is>
      </c>
      <c r="B27" s="39" t="n">
        <v>8906</v>
      </c>
      <c r="C27" s="38" t="n">
        <v>323.3916666666667</v>
      </c>
      <c r="D27" s="44">
        <f>B27/C27</f>
        <v/>
      </c>
      <c r="E27" s="44">
        <f>AVERAGE($D$5:$D$62)</f>
        <v/>
      </c>
    </row>
    <row r="28">
      <c r="A28" t="inlineStr">
        <is>
          <t>2023-12</t>
        </is>
      </c>
      <c r="B28" s="39" t="n">
        <v>9274</v>
      </c>
      <c r="C28" s="38" t="n">
        <v>323.9</v>
      </c>
      <c r="D28" s="44">
        <f>B28/C28</f>
        <v/>
      </c>
      <c r="E28" s="44">
        <f>AVERAGE($D$5:$D$62)</f>
        <v/>
      </c>
    </row>
    <row r="29">
      <c r="A29" t="inlineStr">
        <is>
          <t>2024-01</t>
        </is>
      </c>
      <c r="B29" s="39" t="n">
        <v>8942</v>
      </c>
      <c r="C29" s="38" t="n">
        <v>327.2</v>
      </c>
      <c r="D29" s="44">
        <f>B29/C29</f>
        <v/>
      </c>
      <c r="E29" s="44">
        <f>AVERAGE($D$5:$D$62)</f>
        <v/>
      </c>
    </row>
    <row r="30">
      <c r="A30" t="inlineStr">
        <is>
          <t>2024-02</t>
        </is>
      </c>
      <c r="B30" s="39" t="n">
        <v>8876</v>
      </c>
      <c r="C30" s="38" t="n">
        <v>330.5</v>
      </c>
      <c r="D30" s="44">
        <f>B30/C30</f>
        <v/>
      </c>
      <c r="E30" s="44">
        <f>AVERAGE($D$5:$D$62)</f>
        <v/>
      </c>
    </row>
    <row r="31">
      <c r="A31" t="inlineStr">
        <is>
          <t>2024-03</t>
        </is>
      </c>
      <c r="B31" s="39" t="n">
        <v>9490</v>
      </c>
      <c r="C31" s="38" t="n">
        <v>333.8</v>
      </c>
      <c r="D31" s="44">
        <f>B31/C31</f>
        <v/>
      </c>
      <c r="E31" s="44">
        <f>AVERAGE($D$5:$D$62)</f>
        <v/>
      </c>
    </row>
    <row r="32">
      <c r="A32" t="inlineStr">
        <is>
          <t>2024-04</t>
        </is>
      </c>
      <c r="B32" s="39" t="n">
        <v>8846</v>
      </c>
      <c r="C32" s="38" t="n">
        <v>337.1</v>
      </c>
      <c r="D32" s="44">
        <f>B32/C32</f>
        <v/>
      </c>
      <c r="E32" s="44">
        <f>AVERAGE($D$5:$D$62)</f>
        <v/>
      </c>
    </row>
    <row r="33">
      <c r="A33" t="inlineStr">
        <is>
          <t>2024-05</t>
        </is>
      </c>
      <c r="B33" s="39" t="n">
        <v>9162</v>
      </c>
      <c r="C33" s="38" t="n">
        <v>340.4</v>
      </c>
      <c r="D33" s="44">
        <f>B33/C33</f>
        <v/>
      </c>
      <c r="E33" s="44">
        <f>AVERAGE($D$5:$D$62)</f>
        <v/>
      </c>
    </row>
    <row r="34">
      <c r="A34" t="inlineStr">
        <is>
          <t>2024-06</t>
        </is>
      </c>
      <c r="B34" s="39" t="n">
        <v>9400</v>
      </c>
      <c r="C34" s="38" t="n">
        <v>343.7</v>
      </c>
      <c r="D34" s="44">
        <f>B34/C34</f>
        <v/>
      </c>
      <c r="E34" s="44">
        <f>AVERAGE($D$5:$D$62)</f>
        <v/>
      </c>
    </row>
    <row r="35">
      <c r="A35" t="inlineStr">
        <is>
          <t>2024-07</t>
        </is>
      </c>
      <c r="B35" s="39" t="n">
        <v>9470</v>
      </c>
      <c r="C35" s="38" t="n">
        <v>347</v>
      </c>
      <c r="D35" s="44">
        <f>B35/C35</f>
        <v/>
      </c>
      <c r="E35" s="44">
        <f>AVERAGE($D$5:$D$62)</f>
        <v/>
      </c>
    </row>
    <row r="36">
      <c r="A36" t="inlineStr">
        <is>
          <t>2024-08</t>
        </is>
      </c>
      <c r="B36" s="39" t="n">
        <v>10250</v>
      </c>
      <c r="C36" s="38" t="n">
        <v>350.3</v>
      </c>
      <c r="D36" s="44">
        <f>B36/C36</f>
        <v/>
      </c>
      <c r="E36" s="44">
        <f>AVERAGE($D$5:$D$62)</f>
        <v/>
      </c>
    </row>
    <row r="37">
      <c r="A37" t="inlineStr">
        <is>
          <t>2024-09</t>
        </is>
      </c>
      <c r="B37" s="39" t="n">
        <v>10220</v>
      </c>
      <c r="C37" s="38" t="n">
        <v>353.6</v>
      </c>
      <c r="D37" s="44">
        <f>B37/C37</f>
        <v/>
      </c>
      <c r="E37" s="44">
        <f>AVERAGE($D$5:$D$62)</f>
        <v/>
      </c>
    </row>
    <row r="38">
      <c r="A38" t="inlineStr">
        <is>
          <t>2024-10</t>
        </is>
      </c>
      <c r="B38" s="39" t="n">
        <v>10515</v>
      </c>
      <c r="C38" s="38" t="n">
        <v>356.9</v>
      </c>
      <c r="D38" s="44">
        <f>B38/C38</f>
        <v/>
      </c>
      <c r="E38" s="44">
        <f>AVERAGE($D$5:$D$62)</f>
        <v/>
      </c>
    </row>
    <row r="39">
      <c r="A39" t="inlineStr">
        <is>
          <t>2024-11</t>
        </is>
      </c>
      <c r="B39" s="39" t="n">
        <v>11270</v>
      </c>
      <c r="C39" s="38" t="n">
        <v>360.2</v>
      </c>
      <c r="D39" s="44">
        <f>B39/C39</f>
        <v/>
      </c>
      <c r="E39" s="44">
        <f>AVERAGE($D$5:$D$62)</f>
        <v/>
      </c>
    </row>
    <row r="40">
      <c r="A40" t="inlineStr">
        <is>
          <t>2024-12</t>
        </is>
      </c>
      <c r="B40" s="39" t="n">
        <v>11285</v>
      </c>
      <c r="C40" s="38" t="n">
        <v>363.5</v>
      </c>
      <c r="D40" s="44">
        <f>B40/C40</f>
        <v/>
      </c>
      <c r="E40" s="44">
        <f>AVERAGE($D$5:$D$62)</f>
        <v/>
      </c>
    </row>
    <row r="41">
      <c r="A41" t="inlineStr">
        <is>
          <t>2025-01</t>
        </is>
      </c>
      <c r="B41" s="39" t="n">
        <v>12035</v>
      </c>
      <c r="C41" s="38" t="n">
        <v>368.2583333333333</v>
      </c>
      <c r="D41" s="44">
        <f>B41/C41</f>
        <v/>
      </c>
      <c r="E41" s="44">
        <f>AVERAGE($D$5:$D$62)</f>
        <v/>
      </c>
    </row>
    <row r="42">
      <c r="A42" t="inlineStr">
        <is>
          <t>2025-02</t>
        </is>
      </c>
      <c r="B42" s="39" t="n">
        <v>11845</v>
      </c>
      <c r="C42" s="38" t="n">
        <v>373.0166666666667</v>
      </c>
      <c r="D42" s="44">
        <f>B42/C42</f>
        <v/>
      </c>
      <c r="E42" s="44">
        <f>AVERAGE($D$5:$D$62)</f>
        <v/>
      </c>
    </row>
    <row r="43">
      <c r="A43" t="inlineStr">
        <is>
          <t>2025-03</t>
        </is>
      </c>
      <c r="B43" s="39" t="n">
        <v>11460</v>
      </c>
      <c r="C43" s="38" t="n">
        <v>377.775</v>
      </c>
      <c r="D43" s="44">
        <f>B43/C43</f>
        <v/>
      </c>
      <c r="E43" s="44">
        <f>AVERAGE($D$5:$D$62)</f>
        <v/>
      </c>
    </row>
    <row r="44">
      <c r="A44" t="inlineStr">
        <is>
          <t>2025-04</t>
        </is>
      </c>
      <c r="B44" s="39" t="n">
        <v>11625</v>
      </c>
      <c r="C44" s="38" t="n">
        <v>382.5333333333334</v>
      </c>
      <c r="D44" s="44">
        <f>B44/C44</f>
        <v/>
      </c>
      <c r="E44" s="44">
        <f>AVERAGE($D$5:$D$62)</f>
        <v/>
      </c>
    </row>
    <row r="45">
      <c r="A45" t="inlineStr">
        <is>
          <t>2025-05</t>
        </is>
      </c>
      <c r="B45" s="39" t="n">
        <v>11275</v>
      </c>
      <c r="C45" s="38" t="n">
        <v>387.2916666666666</v>
      </c>
      <c r="D45" s="44">
        <f>B45/C45</f>
        <v/>
      </c>
      <c r="E45" s="44">
        <f>AVERAGE($D$5:$D$62)</f>
        <v/>
      </c>
    </row>
    <row r="46">
      <c r="A46" t="inlineStr">
        <is>
          <t>2025-06</t>
        </is>
      </c>
      <c r="B46" s="39" t="n">
        <v>10635</v>
      </c>
      <c r="C46" s="38" t="n">
        <v>392.05</v>
      </c>
      <c r="D46" s="44">
        <f>B46/C46</f>
        <v/>
      </c>
      <c r="E46" s="44">
        <f>AVERAGE($D$5:$D$62)</f>
        <v/>
      </c>
    </row>
    <row r="47">
      <c r="A47" t="inlineStr">
        <is>
          <t>2025-07</t>
        </is>
      </c>
      <c r="B47" s="39" t="n">
        <v>9260</v>
      </c>
      <c r="C47" s="38" t="n">
        <v>396.8083333333333</v>
      </c>
      <c r="D47" s="44">
        <f>B47/C47</f>
        <v/>
      </c>
      <c r="E47" s="44">
        <f>AVERAGE($D$5:$D$62)</f>
        <v/>
      </c>
    </row>
    <row r="48">
      <c r="A48" t="inlineStr">
        <is>
          <t>2025-08</t>
        </is>
      </c>
      <c r="B48" s="39" t="n">
        <v>9168</v>
      </c>
      <c r="C48" s="38" t="n">
        <v>401.5666666666667</v>
      </c>
      <c r="D48" s="44">
        <f>B48/C48</f>
        <v/>
      </c>
      <c r="E48" s="44">
        <f>AVERAGE($D$5:$D$62)</f>
        <v/>
      </c>
    </row>
    <row r="49">
      <c r="A49" t="inlineStr">
        <is>
          <t>2025-09</t>
        </is>
      </c>
      <c r="B49" s="39" t="n">
        <v>8516</v>
      </c>
      <c r="C49" s="38" t="n">
        <v>406.325</v>
      </c>
      <c r="D49" s="44">
        <f>B49/C49</f>
        <v/>
      </c>
      <c r="E49" s="44">
        <f>AVERAGE($D$5:$D$62)</f>
        <v/>
      </c>
    </row>
    <row r="50">
      <c r="A50" t="inlineStr">
        <is>
          <t>2025-10</t>
        </is>
      </c>
      <c r="B50" s="39" t="n">
        <v>9486</v>
      </c>
      <c r="C50" s="38" t="n">
        <v>411.0833333333334</v>
      </c>
      <c r="D50" s="44">
        <f>B50/C50</f>
        <v/>
      </c>
      <c r="E50" s="44">
        <f>AVERAGE($D$5:$D$62)</f>
        <v/>
      </c>
    </row>
    <row r="51">
      <c r="A51" t="inlineStr">
        <is>
          <t>2025-11</t>
        </is>
      </c>
      <c r="B51" s="39" t="n">
        <v>8908</v>
      </c>
      <c r="C51" s="38" t="n">
        <v>415.8416666666667</v>
      </c>
      <c r="D51" s="44">
        <f>B51/C51</f>
        <v/>
      </c>
      <c r="E51" s="44">
        <f>AVERAGE($D$5:$D$62)</f>
        <v/>
      </c>
    </row>
    <row r="52">
      <c r="A52" t="inlineStr">
        <is>
          <t>2025-12</t>
        </is>
      </c>
      <c r="B52" s="39" t="n">
        <v>8952</v>
      </c>
      <c r="C52" s="38" t="n">
        <v>420.6</v>
      </c>
      <c r="D52" s="44">
        <f>B52/C52</f>
        <v/>
      </c>
      <c r="E52" s="44">
        <f>AVERAGE($D$5:$D$62)</f>
        <v/>
      </c>
    </row>
    <row r="53">
      <c r="A53" t="inlineStr">
        <is>
          <t>2026-01</t>
        </is>
      </c>
      <c r="B53" s="39" t="n">
        <v>8122</v>
      </c>
      <c r="C53" s="38" t="n">
        <v>426.6</v>
      </c>
      <c r="D53" s="44">
        <f>B53/C53</f>
        <v/>
      </c>
      <c r="E53" s="44">
        <f>AVERAGE($D$5:$D$62)</f>
        <v/>
      </c>
    </row>
    <row r="54">
      <c r="A54" t="inlineStr">
        <is>
          <t>2026-02</t>
        </is>
      </c>
      <c r="B54" s="39" t="n">
        <v>8860</v>
      </c>
      <c r="C54" s="38" t="n">
        <v>432.6</v>
      </c>
      <c r="D54" s="44">
        <f>B54/C54</f>
        <v/>
      </c>
      <c r="E54" s="44">
        <f>AVERAGE($D$5:$D$62)</f>
        <v/>
      </c>
    </row>
    <row r="55">
      <c r="A55" t="inlineStr">
        <is>
          <t>2026-03</t>
        </is>
      </c>
      <c r="B55" s="39" t="n">
        <v>8864</v>
      </c>
      <c r="C55" s="38" t="n">
        <v>438.6</v>
      </c>
      <c r="D55" s="44">
        <f>B55/C55</f>
        <v/>
      </c>
      <c r="E55" s="44">
        <f>AVERAGE($D$5:$D$62)</f>
        <v/>
      </c>
    </row>
    <row r="56">
      <c r="A56" t="inlineStr">
        <is>
          <t>2026-04</t>
        </is>
      </c>
      <c r="B56" s="39" t="n">
        <v>9550</v>
      </c>
      <c r="C56" s="38" t="n">
        <v>444.6</v>
      </c>
      <c r="D56" s="44">
        <f>B56/C56</f>
        <v/>
      </c>
      <c r="E56" s="44">
        <f>AVERAGE($D$5:$D$62)</f>
        <v/>
      </c>
    </row>
    <row r="57">
      <c r="A57" t="inlineStr">
        <is>
          <t>2026-05</t>
        </is>
      </c>
      <c r="B57" s="39" t="n">
        <v>9022</v>
      </c>
      <c r="C57" s="38" t="n">
        <v>450.6</v>
      </c>
      <c r="D57" s="44">
        <f>B57/C57</f>
        <v/>
      </c>
      <c r="E57" s="44">
        <f>AVERAGE($D$5:$D$62)</f>
        <v/>
      </c>
    </row>
    <row r="58">
      <c r="A58" t="inlineStr">
        <is>
          <t>2026-06</t>
        </is>
      </c>
      <c r="B58" s="39" t="n">
        <v>8162</v>
      </c>
      <c r="C58" s="38" t="n">
        <v>456.6</v>
      </c>
      <c r="D58" s="44">
        <f>B58/C58</f>
        <v/>
      </c>
      <c r="E58" s="44">
        <f>AVERAGE($D$5:$D$62)</f>
        <v/>
      </c>
    </row>
    <row r="59">
      <c r="A59" t="inlineStr">
        <is>
          <t>2026-07</t>
        </is>
      </c>
      <c r="B59" s="39" t="n">
        <v>8398</v>
      </c>
      <c r="C59" s="38" t="n">
        <v>462.2931993135644</v>
      </c>
      <c r="D59" s="44">
        <f>B59/C59</f>
        <v/>
      </c>
      <c r="E59" s="44">
        <f>AVERAGE($D$5:$D$62)</f>
        <v/>
      </c>
    </row>
    <row r="60">
      <c r="A60" t="inlineStr">
        <is>
          <t>2026-08</t>
        </is>
      </c>
      <c r="B60" s="39" t="n">
        <v>9000</v>
      </c>
      <c r="C60" s="38" t="n">
        <v>467.9863986271287</v>
      </c>
      <c r="D60" s="44">
        <f>B60/C60</f>
        <v/>
      </c>
      <c r="E60" s="44">
        <f>AVERAGE($D$5:$D$62)</f>
        <v/>
      </c>
    </row>
    <row r="61">
      <c r="A61" t="inlineStr">
        <is>
          <t>2026-09</t>
        </is>
      </c>
      <c r="B61" s="39" t="n">
        <v>8160</v>
      </c>
      <c r="C61" s="38" t="n">
        <v>473.679597940693</v>
      </c>
      <c r="D61" s="44">
        <f>B61/C61</f>
        <v/>
      </c>
      <c r="E61" s="44">
        <f>AVERAGE($D$5:$D$62)</f>
        <v/>
      </c>
    </row>
    <row r="62">
      <c r="A62" t="inlineStr">
        <is>
          <t>2026-10</t>
        </is>
      </c>
      <c r="B62" s="39" t="n">
        <v>9510</v>
      </c>
      <c r="C62" s="38" t="n">
        <v>479.3727972542574</v>
      </c>
      <c r="D62" s="44">
        <f>B62/C62</f>
        <v/>
      </c>
      <c r="E62" s="44">
        <f>AVERAGE($D$5:$D$62)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2" customWidth="1" min="3" max="3"/>
    <col width="70" customWidth="1" min="4" max="4"/>
    <col width="40" customWidth="1" min="5" max="5"/>
    <col width="40" customWidth="1" min="6" max="6"/>
  </cols>
  <sheetData>
    <row r="1">
      <c r="A1" s="1" t="inlineStr">
        <is>
          <t>What third-party data says about AI and market-data demand</t>
        </is>
      </c>
    </row>
    <row r="2">
      <c r="A2" t="inlineStr">
        <is>
          <t>Credible industry studies and filings, Apr–Oct 2026. These inform the retention and scenario assumptions; they are not inputs to formulas.</t>
        </is>
      </c>
    </row>
    <row r="4">
      <c r="A4" s="8" t="inlineStr">
        <is>
          <t>Source</t>
        </is>
      </c>
      <c r="B4" s="8" t="inlineStr">
        <is>
          <t>Date</t>
        </is>
      </c>
      <c r="C4" s="8" t="inlineStr">
        <is>
          <t>Sample</t>
        </is>
      </c>
      <c r="D4" s="8" t="inlineStr">
        <is>
          <t>Finding</t>
        </is>
      </c>
      <c r="E4" s="8" t="inlineStr">
        <is>
          <t>Read for LSEG</t>
        </is>
      </c>
      <c r="F4" s="8" t="inlineStr">
        <is>
          <t>Link</t>
        </is>
      </c>
    </row>
    <row r="5">
      <c r="A5" s="51" t="inlineStr">
        <is>
          <t>Burton-Taylor (TP ICAP), via FOW</t>
        </is>
      </c>
      <c r="B5" s="51" t="inlineStr">
        <is>
          <t>8 Apr 2026</t>
        </is>
      </c>
      <c r="C5" s="51" t="inlineStr">
        <is>
          <t>Industry spend data</t>
        </is>
      </c>
      <c r="D5" s="51" t="inlineStr">
        <is>
          <t>Global financial market data spend reached $49.2bn in 2025, up 6.5%; AI, automated trading and volatility outweighed cost pressure.</t>
        </is>
      </c>
      <c r="E5" s="51" t="inlineStr">
        <is>
          <t>Demand for data is still growing.</t>
        </is>
      </c>
      <c r="F5" s="51" t="inlineStr">
        <is>
          <t>https://www.fow.com/insights/market-data-spend-hits-usd49-2bn-as-ai-volatility-and-algos-drive-growth</t>
        </is>
      </c>
    </row>
    <row r="6">
      <c r="A6" s="51" t="inlineStr">
        <is>
          <t>Expand Research (BCG), via A-Team Insight</t>
        </is>
      </c>
      <c r="B6" s="51" t="inlineStr">
        <is>
          <t>20 Oct 2026</t>
        </is>
      </c>
      <c r="C6" s="51" t="inlineStr">
        <is>
          <t>Industry spend data</t>
        </is>
      </c>
      <c r="D6" s="51" t="inlineStr">
        <is>
          <t>Market and reference data spend passed $50bn; a further 7% rise expected in 2026. Data teams manage 34% more vendors than four years ago.</t>
        </is>
      </c>
      <c r="E6" s="51" t="inlineStr">
        <is>
          <t>Spend growth is broadening, not shrinking.</t>
        </is>
      </c>
      <c r="F6" s="51" t="inlineStr">
        <is>
          <t>https://a-teaminsight.com/blog/substantive-research-finds-ai-driving-market-data-costs-higher-as-investment-research-budgets-stall/</t>
        </is>
      </c>
    </row>
    <row r="7">
      <c r="A7" s="51" t="inlineStr">
        <is>
          <t>Crisil Coalition Greenwich and SIX, Market Data Study</t>
        </is>
      </c>
      <c r="B7" s="51" t="inlineStr">
        <is>
          <t>13 Oct 2026</t>
        </is>
      </c>
      <c r="C7" s="51" t="inlineStr">
        <is>
          <t>73 buy- and sell-side institutions</t>
        </is>
      </c>
      <c r="D7" s="51" t="inlineStr">
        <is>
          <t>Market data spending could rise by more than 50% by 2027, driven largely by AI adoption; licences built for human users are mismatched to AI use.</t>
        </is>
      </c>
      <c r="E7" s="51" t="inlineStr">
        <is>
          <t>AI increases data consumption and gives data owners pricing power.</t>
        </is>
      </c>
      <c r="F7" s="51" t="inlineStr">
        <is>
          <t>https://fintech.garden/news/2026-10-13-ai-expected-to-push-market-data-costs-up-more-than-50-by-2027-study-finds/</t>
        </is>
      </c>
    </row>
    <row r="8">
      <c r="A8" s="51" t="inlineStr">
        <is>
          <t>Substantive Research, via A-Team Insight</t>
        </is>
      </c>
      <c r="B8" s="51" t="inlineStr">
        <is>
          <t>20 Oct 2026</t>
        </is>
      </c>
      <c r="C8" s="51" t="inlineStr">
        <is>
          <t>50 asset managers, c.$20trn AUM</t>
        </is>
      </c>
      <c r="D8" s="51" t="inlineStr">
        <is>
          <t>AI-related charges in 2026 vendor proposals ranged from $30k to $1m; some agreements could rise up to 50% in 2027. Research budgets rose only 0.4% in H1 2026; AI research tooling spend rose 40%.</t>
        </is>
      </c>
      <c r="E8" s="51" t="inlineStr">
        <is>
          <t>Budgets are tight, so money moves from people and screens to data and AI tooling.</t>
        </is>
      </c>
      <c r="F8" s="51" t="inlineStr">
        <is>
          <t>https://a-teaminsight.com/blog/substantive-research-finds-ai-driving-market-data-costs-higher-as-investment-research-budgets-stall/</t>
        </is>
      </c>
    </row>
    <row r="9">
      <c r="A9" s="51" t="inlineStr">
        <is>
          <t>FactSet Q4 FY2026 results (8-K)</t>
        </is>
      </c>
      <c r="B9" s="51" t="inlineStr">
        <is>
          <t>30 Sep 2026</t>
        </is>
      </c>
      <c r="C9" s="51" t="inlineStr">
        <is>
          <t>Company filing</t>
        </is>
      </c>
      <c r="D9" s="51" t="inlineStr">
        <is>
          <t>Organic ASV +7.0% to $2.57bn; ASV retention above 95%; AI solutions ASV more than doubled. FY27 guide: organic ASV +5.0% to 6.5%.</t>
        </is>
      </c>
      <c r="E9" s="51" t="inlineStr">
        <is>
          <t>Even the purest 'AI loser' is not losing customers. Also a reason not to short it.</t>
        </is>
      </c>
      <c r="F9" s="51" t="inlineStr">
        <is>
          <t>https://www.sec.gov/Archives/edgar/data/0001013237/000162828026063888/fdsq42026earningsrelease.htm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Trackers: hiring mix and the Tradeweb stub</t>
        </is>
      </c>
    </row>
    <row r="2">
      <c r="A2" t="inlineStr">
        <is>
          <t>Data in /data, refreshed every Monday by .github/workflows/refresh-data.yml (Workday career sites; weekly prices).</t>
        </is>
      </c>
    </row>
    <row r="4">
      <c r="A4" s="12" t="inlineStr">
        <is>
          <t>Open roles by function, snapshot 2026-10-25</t>
        </is>
      </c>
    </row>
    <row r="5">
      <c r="A5" s="8" t="inlineStr">
        <is>
          <t>Function</t>
        </is>
      </c>
      <c r="B5" s="8" t="inlineStr">
        <is>
          <t>LSEG</t>
        </is>
      </c>
      <c r="C5" s="8" t="inlineStr">
        <is>
          <t>LSEG %</t>
        </is>
      </c>
      <c r="D5" s="8" t="inlineStr">
        <is>
          <t>FactSet</t>
        </is>
      </c>
      <c r="E5" s="8" t="inlineStr">
        <is>
          <t>FactSet %</t>
        </is>
      </c>
    </row>
    <row r="6">
      <c r="A6" t="inlineStr">
        <is>
          <t>AI &amp; data science</t>
        </is>
      </c>
      <c r="B6" t="n">
        <v>49</v>
      </c>
      <c r="C6" s="13">
        <f>B6/B14</f>
        <v/>
      </c>
      <c r="D6" t="n">
        <v>3</v>
      </c>
      <c r="E6" s="13">
        <f>D6/D14</f>
        <v/>
      </c>
    </row>
    <row r="7">
      <c r="A7" t="inlineStr">
        <is>
          <t>Sales &amp; client</t>
        </is>
      </c>
      <c r="B7" t="n">
        <v>87</v>
      </c>
      <c r="C7" s="13">
        <f>B7/B14</f>
        <v/>
      </c>
      <c r="D7" t="n">
        <v>25</v>
      </c>
      <c r="E7" s="13">
        <f>D7/D14</f>
        <v/>
      </c>
    </row>
    <row r="8">
      <c r="A8" t="inlineStr">
        <is>
          <t>Engineering</t>
        </is>
      </c>
      <c r="B8" t="n">
        <v>286</v>
      </c>
      <c r="C8" s="13">
        <f>B8/B14</f>
        <v/>
      </c>
      <c r="D8" t="n">
        <v>29</v>
      </c>
      <c r="E8" s="13">
        <f>D8/D14</f>
        <v/>
      </c>
    </row>
    <row r="9">
      <c r="A9" t="inlineStr">
        <is>
          <t>Content &amp; data ops</t>
        </is>
      </c>
      <c r="B9" t="n">
        <v>79</v>
      </c>
      <c r="C9" s="13">
        <f>B9/B14</f>
        <v/>
      </c>
      <c r="D9" t="n">
        <v>9</v>
      </c>
      <c r="E9" s="13">
        <f>D9/D14</f>
        <v/>
      </c>
    </row>
    <row r="10">
      <c r="A10" t="inlineStr">
        <is>
          <t>Product</t>
        </is>
      </c>
      <c r="B10" t="n">
        <v>24</v>
      </c>
      <c r="C10" s="13">
        <f>B10/B14</f>
        <v/>
      </c>
      <c r="D10" t="n">
        <v>4</v>
      </c>
      <c r="E10" s="13">
        <f>D10/D14</f>
        <v/>
      </c>
    </row>
    <row r="11">
      <c r="A11" t="inlineStr">
        <is>
          <t>Operations</t>
        </is>
      </c>
      <c r="B11" t="n">
        <v>54</v>
      </c>
      <c r="C11" s="13">
        <f>B11/B14</f>
        <v/>
      </c>
      <c r="D11" t="n">
        <v>2</v>
      </c>
      <c r="E11" s="13">
        <f>D11/D14</f>
        <v/>
      </c>
    </row>
    <row r="12">
      <c r="A12" t="inlineStr">
        <is>
          <t>Corporate</t>
        </is>
      </c>
      <c r="B12" t="n">
        <v>36</v>
      </c>
      <c r="C12" s="13">
        <f>B12/B14</f>
        <v/>
      </c>
      <c r="D12" t="n">
        <v>5</v>
      </c>
      <c r="E12" s="13">
        <f>D12/D14</f>
        <v/>
      </c>
    </row>
    <row r="13">
      <c r="A13" t="inlineStr">
        <is>
          <t>Other</t>
        </is>
      </c>
      <c r="B13" t="n">
        <v>53</v>
      </c>
      <c r="C13" s="13">
        <f>B13/B14</f>
        <v/>
      </c>
      <c r="D13" t="n">
        <v>16</v>
      </c>
      <c r="E13" s="13">
        <f>D13/D14</f>
        <v/>
      </c>
    </row>
    <row r="14">
      <c r="A14" s="12" t="inlineStr">
        <is>
          <t>Total</t>
        </is>
      </c>
      <c r="B14" s="12">
        <f>SUM(B6:B13)</f>
        <v/>
      </c>
      <c r="D14" s="12">
        <f>SUM(D6:D13)</f>
        <v/>
      </c>
    </row>
    <row r="16">
      <c r="A16" s="12" t="inlineStr">
        <is>
          <t>Weekly: Tradeweb stake as % of LSEG market cap, and LSEG vs FactSet relative price in GBP (Jan 2024 = 100)</t>
        </is>
      </c>
    </row>
    <row r="17">
      <c r="A17" s="8" t="inlineStr">
        <is>
          <t>Week</t>
        </is>
      </c>
      <c r="B17" s="8" t="inlineStr">
        <is>
          <t>LSEG (p)</t>
        </is>
      </c>
      <c r="C17" s="8" t="inlineStr">
        <is>
          <t>Tradeweb ($)</t>
        </is>
      </c>
      <c r="D17" s="8" t="inlineStr">
        <is>
          <t>FactSet ($)</t>
        </is>
      </c>
      <c r="E17" s="8" t="inlineStr">
        <is>
          <t>GBPUSD</t>
        </is>
      </c>
      <c r="F17" s="8" t="inlineStr">
        <is>
          <t>Tradeweb stake % of LSEG</t>
        </is>
      </c>
      <c r="G17" s="8" t="inlineStr">
        <is>
          <t>LSEG vs FactSet (rebased)</t>
        </is>
      </c>
    </row>
    <row r="18">
      <c r="A18" s="52" t="inlineStr">
        <is>
          <t>2024-01-01</t>
        </is>
      </c>
      <c r="B18" s="39" t="n">
        <v>8980</v>
      </c>
      <c r="C18" s="30" t="n">
        <v>93</v>
      </c>
      <c r="D18" s="30" t="n">
        <v>456.5799865722656</v>
      </c>
      <c r="E18" s="53" t="n">
        <v>1.272599816322327</v>
      </c>
      <c r="F18" s="13" t="n">
        <v>0.182264658935901</v>
      </c>
      <c r="G18" s="33" t="n">
        <v>100</v>
      </c>
    </row>
    <row r="19">
      <c r="A19" s="52" t="inlineStr">
        <is>
          <t>2024-01-08</t>
        </is>
      </c>
      <c r="B19" s="39" t="n">
        <v>9184</v>
      </c>
      <c r="C19" s="30" t="n">
        <v>95.91000366210938</v>
      </c>
      <c r="D19" s="30" t="n">
        <v>466.5599975585938</v>
      </c>
      <c r="E19" s="53" t="n">
        <v>1.274700522422791</v>
      </c>
      <c r="F19" s="13" t="n">
        <v>0.1835159672927071</v>
      </c>
      <c r="G19" s="33" t="n">
        <v>100.2492695602747</v>
      </c>
    </row>
    <row r="20">
      <c r="A20" s="52" t="inlineStr">
        <is>
          <t>2024-01-15</t>
        </is>
      </c>
      <c r="B20" s="39" t="n">
        <v>9140</v>
      </c>
      <c r="C20" s="30" t="n">
        <v>97.94999694824219</v>
      </c>
      <c r="D20" s="30" t="n">
        <v>463.4500122070312</v>
      </c>
      <c r="E20" s="53" t="n">
        <v>1.270499587059021</v>
      </c>
      <c r="F20" s="13" t="n">
        <v>0.188971354979676</v>
      </c>
      <c r="G20" s="33" t="n">
        <v>100.1074742596748</v>
      </c>
    </row>
    <row r="21">
      <c r="A21" s="52" t="inlineStr">
        <is>
          <t>2024-01-22</t>
        </is>
      </c>
      <c r="B21" s="39" t="n">
        <v>9070</v>
      </c>
      <c r="C21" s="30" t="n">
        <v>97.83000183105469</v>
      </c>
      <c r="D21" s="30" t="n">
        <v>470.6700134277344</v>
      </c>
      <c r="E21" s="53" t="n">
        <v>1.271000027656555</v>
      </c>
      <c r="F21" s="13" t="n">
        <v>0.1901488852057663</v>
      </c>
      <c r="G21" s="33" t="n">
        <v>97.85544473214937</v>
      </c>
    </row>
    <row r="22">
      <c r="A22" s="52" t="inlineStr">
        <is>
          <t>2024-01-29</t>
        </is>
      </c>
      <c r="B22" s="39" t="n">
        <v>8876</v>
      </c>
      <c r="C22" s="30" t="n">
        <v>96.83000183105469</v>
      </c>
      <c r="D22" s="30" t="n">
        <v>486.7699890136719</v>
      </c>
      <c r="E22" s="53" t="n">
        <v>1.263399958610535</v>
      </c>
      <c r="F22" s="13" t="n">
        <v>0.1935034269837231</v>
      </c>
      <c r="G22" s="33" t="n">
        <v>92.04136172663286</v>
      </c>
    </row>
    <row r="23">
      <c r="A23" s="52" t="inlineStr">
        <is>
          <t>2024-02-05</t>
        </is>
      </c>
      <c r="B23" s="39" t="n">
        <v>8836</v>
      </c>
      <c r="C23" s="30" t="n">
        <v>102.3899993896484</v>
      </c>
      <c r="D23" s="30" t="n">
        <v>477.5899963378906</v>
      </c>
      <c r="E23" s="53" t="n">
        <v>1.262999415397644</v>
      </c>
      <c r="F23" s="13" t="n">
        <v>0.2056353946559263</v>
      </c>
      <c r="G23" s="33" t="n">
        <v>93.35816641024542</v>
      </c>
    </row>
    <row r="24">
      <c r="A24" s="52" t="inlineStr">
        <is>
          <t>2024-02-12</t>
        </is>
      </c>
      <c r="B24" s="39" t="n">
        <v>8888</v>
      </c>
      <c r="C24" s="30" t="n">
        <v>101.5100021362305</v>
      </c>
      <c r="D24" s="30" t="n">
        <v>458.4200134277344</v>
      </c>
      <c r="E24" s="53" t="n">
        <v>1.260299801826477</v>
      </c>
      <c r="F24" s="13" t="n">
        <v>0.2031385882360129</v>
      </c>
      <c r="G24" s="33" t="n">
        <v>97.62544409129855</v>
      </c>
    </row>
    <row r="25">
      <c r="A25" s="52" t="inlineStr">
        <is>
          <t>2024-02-19</t>
        </is>
      </c>
      <c r="B25" s="39" t="n">
        <v>8922</v>
      </c>
      <c r="C25" s="30" t="n">
        <v>105.0899963378906</v>
      </c>
      <c r="D25" s="30" t="n">
        <v>463.4700012207031</v>
      </c>
      <c r="E25" s="53" t="n">
        <v>1.267999172210693</v>
      </c>
      <c r="F25" s="13" t="n">
        <v>0.2082591182760366</v>
      </c>
      <c r="G25" s="33" t="n">
        <v>97.52326619389395</v>
      </c>
    </row>
    <row r="26">
      <c r="A26" s="52" t="inlineStr">
        <is>
          <t>2024-02-26</t>
        </is>
      </c>
      <c r="B26" s="39" t="n">
        <v>9016</v>
      </c>
      <c r="C26" s="30" t="n">
        <v>104.8099975585938</v>
      </c>
      <c r="D26" s="30" t="n">
        <v>461.3200073242188</v>
      </c>
      <c r="E26" s="53" t="n">
        <v>1.265800356864929</v>
      </c>
      <c r="F26" s="13" t="n">
        <v>0.205925330122822</v>
      </c>
      <c r="G26" s="33" t="n">
        <v>98.83835408774048</v>
      </c>
    </row>
    <row r="27">
      <c r="A27" s="52" t="inlineStr">
        <is>
          <t>2024-03-04</t>
        </is>
      </c>
      <c r="B27" s="39" t="n">
        <v>9264</v>
      </c>
      <c r="C27" s="30" t="n">
        <v>102.879997253418</v>
      </c>
      <c r="D27" s="30" t="n">
        <v>466.1199951171875</v>
      </c>
      <c r="E27" s="53" t="n">
        <v>1.285900712013245</v>
      </c>
      <c r="F27" s="13" t="n">
        <v>0.1936749649505239</v>
      </c>
      <c r="G27" s="33" t="n">
        <v>102.1073318942184</v>
      </c>
    </row>
    <row r="28">
      <c r="A28" s="52" t="inlineStr">
        <is>
          <t>2024-03-11</t>
        </is>
      </c>
      <c r="B28" s="39" t="n">
        <v>9450</v>
      </c>
      <c r="C28" s="30" t="n">
        <v>104.1900024414062</v>
      </c>
      <c r="D28" s="30" t="n">
        <v>475.9599914550781</v>
      </c>
      <c r="E28" s="53" t="n">
        <v>1.273199319839478</v>
      </c>
      <c r="F28" s="13" t="n">
        <v>0.1942266074140616</v>
      </c>
      <c r="G28" s="33" t="n">
        <v>100.9965262298678</v>
      </c>
    </row>
    <row r="29">
      <c r="A29" s="52" t="inlineStr">
        <is>
          <t>2024-03-18</t>
        </is>
      </c>
      <c r="B29" s="39" t="n">
        <v>9652</v>
      </c>
      <c r="C29" s="30" t="n">
        <v>105.2300033569336</v>
      </c>
      <c r="D29" s="30" t="n">
        <v>447.4599914550781</v>
      </c>
      <c r="E29" s="53" t="n">
        <v>1.260199785232544</v>
      </c>
      <c r="F29" s="13" t="n">
        <v>0.1940689779340321</v>
      </c>
      <c r="G29" s="33" t="n">
        <v>108.6053407664602</v>
      </c>
    </row>
    <row r="30">
      <c r="A30" s="52" t="inlineStr">
        <is>
          <t>2024-03-31</t>
        </is>
      </c>
      <c r="B30" s="39" t="n">
        <v>9378</v>
      </c>
      <c r="C30" s="30" t="n">
        <v>104.1699981689453</v>
      </c>
      <c r="D30" s="30" t="n">
        <v>454.3900146484375</v>
      </c>
      <c r="E30" s="53" t="n">
        <v>1.263899683952332</v>
      </c>
      <c r="F30" s="13" t="n">
        <v>0.1972009118128356</v>
      </c>
      <c r="G30" s="33" t="n">
        <v>104.2179995519169</v>
      </c>
    </row>
    <row r="31">
      <c r="A31" s="52" t="inlineStr">
        <is>
          <t>2024-04-07</t>
        </is>
      </c>
      <c r="B31" s="39" t="n">
        <v>9314</v>
      </c>
      <c r="C31" s="30" t="n">
        <v>102.4000015258789</v>
      </c>
      <c r="D31" s="30" t="n">
        <v>433.1700134277344</v>
      </c>
      <c r="E31" s="53" t="n">
        <v>1.245800137519836</v>
      </c>
      <c r="F31" s="13" t="n">
        <v>0.1980463500020924</v>
      </c>
      <c r="G31" s="33" t="n">
        <v>107.0224531570183</v>
      </c>
    </row>
    <row r="32">
      <c r="A32" s="52" t="inlineStr">
        <is>
          <t>2024-04-14</t>
        </is>
      </c>
      <c r="B32" s="39" t="n">
        <v>8984</v>
      </c>
      <c r="C32" s="30" t="n">
        <v>102.129997253418</v>
      </c>
      <c r="D32" s="30" t="n">
        <v>426.239990234375</v>
      </c>
      <c r="E32" s="53" t="n">
        <v>1.237000703811646</v>
      </c>
      <c r="F32" s="13" t="n">
        <v>0.2062659393042311</v>
      </c>
      <c r="G32" s="33" t="n">
        <v>104.1679637795144</v>
      </c>
    </row>
    <row r="33">
      <c r="A33" s="52" t="inlineStr">
        <is>
          <t>2024-04-21</t>
        </is>
      </c>
      <c r="B33" s="39" t="n">
        <v>8934</v>
      </c>
      <c r="C33" s="30" t="n">
        <v>101.0500030517578</v>
      </c>
      <c r="D33" s="30" t="n">
        <v>434.0199890136719</v>
      </c>
      <c r="E33" s="53" t="n">
        <v>1.263899683952332</v>
      </c>
      <c r="F33" s="13" t="n">
        <v>0.20088803745942</v>
      </c>
      <c r="G33" s="33" t="n">
        <v>103.9435391330819</v>
      </c>
    </row>
    <row r="34">
      <c r="A34" s="52" t="inlineStr">
        <is>
          <t>2024-04-28</t>
        </is>
      </c>
      <c r="B34" s="39" t="n">
        <v>9162</v>
      </c>
      <c r="C34" s="30" t="n">
        <v>101.8399963378906</v>
      </c>
      <c r="D34" s="30" t="n">
        <v>421.4700012207031</v>
      </c>
      <c r="E34" s="53" t="n">
        <v>1.254900336265564</v>
      </c>
      <c r="F34" s="13" t="n">
        <v>0.1988646403708517</v>
      </c>
      <c r="G34" s="33" t="n">
        <v>108.9887151390269</v>
      </c>
    </row>
    <row r="35">
      <c r="A35" s="52" t="inlineStr">
        <is>
          <t>2024-05-05</t>
        </is>
      </c>
      <c r="B35" s="39" t="n">
        <v>9128</v>
      </c>
      <c r="C35" s="30" t="n">
        <v>104.5400009155273</v>
      </c>
      <c r="D35" s="30" t="n">
        <v>428.25</v>
      </c>
      <c r="E35" s="53" t="n">
        <v>1.247599959373474</v>
      </c>
      <c r="F35" s="13" t="n">
        <v>0.2061259457268322</v>
      </c>
      <c r="G35" s="33" t="n">
        <v>106.2434805556205</v>
      </c>
    </row>
    <row r="36">
      <c r="A36" s="52" t="inlineStr">
        <is>
          <t>2024-05-12</t>
        </is>
      </c>
      <c r="B36" s="39" t="n">
        <v>9336</v>
      </c>
      <c r="C36" s="30" t="n">
        <v>110.4100036621094</v>
      </c>
      <c r="D36" s="30" t="n">
        <v>439.1600036621094</v>
      </c>
      <c r="E36" s="53" t="n">
        <v>1.266600370407104</v>
      </c>
      <c r="F36" s="13" t="n">
        <v>0.2096870222429605</v>
      </c>
      <c r="G36" s="33" t="n">
        <v>107.5787148438785</v>
      </c>
    </row>
    <row r="37">
      <c r="A37" s="52" t="inlineStr">
        <is>
          <t>2024-05-19</t>
        </is>
      </c>
      <c r="B37" s="39" t="n">
        <v>9324</v>
      </c>
      <c r="C37" s="30" t="n">
        <v>112.8099975585938</v>
      </c>
      <c r="D37" s="30" t="n">
        <v>448.8800048828125</v>
      </c>
      <c r="E37" s="53" t="n">
        <v>1.266600370407104</v>
      </c>
      <c r="F37" s="13" t="n">
        <v>0.2145515922006041</v>
      </c>
      <c r="G37" s="33" t="n">
        <v>105.1139347048453</v>
      </c>
    </row>
    <row r="38">
      <c r="A38" s="52" t="inlineStr">
        <is>
          <t>2024-05-26</t>
        </is>
      </c>
      <c r="B38" s="39" t="n">
        <v>9162</v>
      </c>
      <c r="C38" s="30" t="n">
        <v>112.25</v>
      </c>
      <c r="D38" s="30" t="n">
        <v>436.0400085449219</v>
      </c>
      <c r="E38" s="53" t="n">
        <v>1.273799300193787</v>
      </c>
      <c r="F38" s="13" t="n">
        <v>0.2160645604837109</v>
      </c>
      <c r="G38" s="33" t="n">
        <v>106.9334631243783</v>
      </c>
    </row>
    <row r="39">
      <c r="A39" s="52" t="inlineStr">
        <is>
          <t>2024-06-02</t>
        </is>
      </c>
      <c r="B39" s="39" t="n">
        <v>9432</v>
      </c>
      <c r="C39" s="30" t="n">
        <v>109.0100021362305</v>
      </c>
      <c r="D39" s="30" t="n">
        <v>404.260009765625</v>
      </c>
      <c r="E39" s="53" t="n">
        <v>1.270199298858643</v>
      </c>
      <c r="F39" s="13" t="n">
        <v>0.2044285900632309</v>
      </c>
      <c r="G39" s="33" t="n">
        <v>118.4032318437814</v>
      </c>
    </row>
    <row r="40">
      <c r="A40" s="52" t="inlineStr">
        <is>
          <t>2024-06-09</t>
        </is>
      </c>
      <c r="B40" s="39" t="n">
        <v>9434</v>
      </c>
      <c r="C40" s="30" t="n">
        <v>105.3099975585938</v>
      </c>
      <c r="D40" s="30" t="n">
        <v>409.9299926757812</v>
      </c>
      <c r="E40" s="53" t="n">
        <v>1.26610004901886</v>
      </c>
      <c r="F40" s="13" t="n">
        <v>0.1981158051676622</v>
      </c>
      <c r="G40" s="33" t="n">
        <v>116.413375149298</v>
      </c>
    </row>
    <row r="41">
      <c r="A41" s="52" t="inlineStr">
        <is>
          <t>2024-06-16</t>
        </is>
      </c>
      <c r="B41" s="39" t="n">
        <v>9654</v>
      </c>
      <c r="C41" s="30" t="n">
        <v>104.3099975585938</v>
      </c>
      <c r="D41" s="30" t="n">
        <v>401.739990234375</v>
      </c>
      <c r="E41" s="53" t="n">
        <v>1.265499114990234</v>
      </c>
      <c r="F41" s="13" t="n">
        <v>0.1918813190509435</v>
      </c>
      <c r="G41" s="33" t="n">
        <v>121.4990140471131</v>
      </c>
    </row>
    <row r="42">
      <c r="A42" s="52" t="inlineStr">
        <is>
          <t>2024-06-23</t>
        </is>
      </c>
      <c r="B42" s="39" t="n">
        <v>9400</v>
      </c>
      <c r="C42" s="30" t="n">
        <v>105.7200012207031</v>
      </c>
      <c r="D42" s="30" t="n">
        <v>423.7300109863281</v>
      </c>
      <c r="E42" s="53" t="n">
        <v>1.264999747276306</v>
      </c>
      <c r="F42" s="13" t="n">
        <v>0.1998376242934096</v>
      </c>
      <c r="G42" s="33" t="n">
        <v>112.1186206422094</v>
      </c>
    </row>
    <row r="43">
      <c r="A43" s="52" t="inlineStr">
        <is>
          <t>2024-06-30</t>
        </is>
      </c>
      <c r="B43" s="39" t="n">
        <v>9312</v>
      </c>
      <c r="C43" s="30" t="n">
        <v>106</v>
      </c>
      <c r="D43" s="30" t="n">
        <v>408.2699890136719</v>
      </c>
      <c r="E43" s="53" t="n">
        <v>1.27970027923584</v>
      </c>
      <c r="F43" s="13" t="n">
        <v>0.1999657074081692</v>
      </c>
      <c r="G43" s="33" t="n">
        <v>116.6144727432116</v>
      </c>
    </row>
    <row r="44">
      <c r="A44" s="52" t="inlineStr">
        <is>
          <t>2024-07-07</t>
        </is>
      </c>
      <c r="B44" s="39" t="n">
        <v>9428</v>
      </c>
      <c r="C44" s="30" t="n">
        <v>106.4899978637695</v>
      </c>
      <c r="D44" s="30" t="n">
        <v>423.4100036621094</v>
      </c>
      <c r="E44" s="53" t="n">
        <v>1.270299315452576</v>
      </c>
      <c r="F44" s="13" t="n">
        <v>0.1999155516544502</v>
      </c>
      <c r="G44" s="33" t="n">
        <v>113.0090440938032</v>
      </c>
    </row>
    <row r="45">
      <c r="A45" s="52" t="inlineStr">
        <is>
          <t>2024-07-14</t>
        </is>
      </c>
      <c r="B45" s="39" t="n">
        <v>9422</v>
      </c>
      <c r="C45" s="30" t="n">
        <v>104.9400024414062</v>
      </c>
      <c r="D45" s="30" t="n">
        <v>423.8999938964844</v>
      </c>
      <c r="E45" s="53" t="n">
        <v>1.291799426078796</v>
      </c>
      <c r="F45" s="13" t="n">
        <v>0.1938781199662657</v>
      </c>
      <c r="G45" s="33" t="n">
        <v>114.7158572722581</v>
      </c>
    </row>
    <row r="46">
      <c r="A46" s="52" t="inlineStr">
        <is>
          <t>2024-07-21</t>
        </is>
      </c>
      <c r="B46" s="39" t="n">
        <v>9478</v>
      </c>
      <c r="C46" s="30" t="n">
        <v>109.4000015258789</v>
      </c>
      <c r="D46" s="30" t="n">
        <v>424.3200073242188</v>
      </c>
      <c r="E46" s="53" t="n">
        <v>1.285700678825378</v>
      </c>
      <c r="F46" s="13" t="n">
        <v>0.2019059856247249</v>
      </c>
      <c r="G46" s="33" t="n">
        <v>114.739181051264</v>
      </c>
    </row>
    <row r="47">
      <c r="A47" s="52" t="inlineStr">
        <is>
          <t>2024-07-28</t>
        </is>
      </c>
      <c r="B47" s="39" t="n">
        <v>9740</v>
      </c>
      <c r="C47" s="30" t="n">
        <v>106.8399963378906</v>
      </c>
      <c r="D47" s="30" t="n">
        <v>415.3299865722656</v>
      </c>
      <c r="E47" s="53" t="n">
        <v>1.280799984931946</v>
      </c>
      <c r="F47" s="13" t="n">
        <v>0.1926391587389683</v>
      </c>
      <c r="G47" s="33" t="n">
        <v>120.0039829951848</v>
      </c>
    </row>
    <row r="48">
      <c r="A48" s="52" t="inlineStr">
        <is>
          <t>2024-08-04</t>
        </is>
      </c>
      <c r="B48" s="39" t="n">
        <v>9828</v>
      </c>
      <c r="C48" s="30" t="n">
        <v>109.870002746582</v>
      </c>
      <c r="D48" s="30" t="n">
        <v>414.5599975585938</v>
      </c>
      <c r="E48" s="53" t="n">
        <v>1.275900721549988</v>
      </c>
      <c r="F48" s="13" t="n">
        <v>0.1971108943240464</v>
      </c>
      <c r="G48" s="33" t="n">
        <v>120.8490709032957</v>
      </c>
    </row>
    <row r="49">
      <c r="A49" s="52" t="inlineStr">
        <is>
          <t>2024-08-11</t>
        </is>
      </c>
      <c r="B49" s="39" t="n">
        <v>9970</v>
      </c>
      <c r="C49" s="30" t="n">
        <v>115.4000015258789</v>
      </c>
      <c r="D49" s="30" t="n">
        <v>403.0299987792969</v>
      </c>
      <c r="E49" s="53" t="n">
        <v>1.29449999332428</v>
      </c>
      <c r="F49" s="13" t="n">
        <v>0.2011799432341421</v>
      </c>
      <c r="G49" s="33" t="n">
        <v>127.9406390710803</v>
      </c>
    </row>
    <row r="50">
      <c r="A50" s="52" t="inlineStr">
        <is>
          <t>2024-08-18</t>
        </is>
      </c>
      <c r="B50" s="39" t="n">
        <v>10010</v>
      </c>
      <c r="C50" s="30" t="n">
        <v>116.0100021362305</v>
      </c>
      <c r="D50" s="30" t="n">
        <v>410.8699951171875</v>
      </c>
      <c r="E50" s="53" t="n">
        <v>1.321899771690369</v>
      </c>
      <c r="F50" s="13" t="n">
        <v>0.1972883633171223</v>
      </c>
      <c r="G50" s="33" t="n">
        <v>128.6698682480694</v>
      </c>
    </row>
    <row r="51">
      <c r="A51" s="52" t="inlineStr">
        <is>
          <t>2024-08-25</t>
        </is>
      </c>
      <c r="B51" s="39" t="n">
        <v>10250</v>
      </c>
      <c r="C51" s="30" t="n">
        <v>117.4499969482422</v>
      </c>
      <c r="D51" s="30" t="n">
        <v>408.9700012207031</v>
      </c>
      <c r="E51" s="53" t="n">
        <v>1.313199400901794</v>
      </c>
      <c r="F51" s="13" t="n">
        <v>0.196381096427449</v>
      </c>
      <c r="G51" s="33" t="n">
        <v>131.4957651892358</v>
      </c>
    </row>
    <row r="52">
      <c r="A52" s="52" t="inlineStr">
        <is>
          <t>2024-09-01</t>
        </is>
      </c>
      <c r="B52" s="39" t="n">
        <v>10180</v>
      </c>
      <c r="C52" s="30" t="n">
        <v>118.2399978637695</v>
      </c>
      <c r="D52" s="30" t="n">
        <v>422.8399963378906</v>
      </c>
      <c r="E52" s="53" t="n">
        <v>1.313299417495728</v>
      </c>
      <c r="F52" s="13" t="n">
        <v>0.1990749779076619</v>
      </c>
      <c r="G52" s="33" t="n">
        <v>126.3234992266403</v>
      </c>
    </row>
    <row r="53">
      <c r="A53" s="52" t="inlineStr">
        <is>
          <t>2024-09-08</t>
        </is>
      </c>
      <c r="B53" s="39" t="n">
        <v>10480</v>
      </c>
      <c r="C53" s="30" t="n">
        <v>111.8099975585938</v>
      </c>
      <c r="D53" s="30" t="n">
        <v>424.0299987792969</v>
      </c>
      <c r="E53" s="53" t="n">
        <v>1.312499523162842</v>
      </c>
      <c r="F53" s="13" t="n">
        <v>0.1829981011674686</v>
      </c>
      <c r="G53" s="33" t="n">
        <v>129.6022473468332</v>
      </c>
    </row>
    <row r="54">
      <c r="A54" s="52" t="inlineStr">
        <is>
          <t>2024-09-15</t>
        </is>
      </c>
      <c r="B54" s="39" t="n">
        <v>10315</v>
      </c>
      <c r="C54" s="30" t="n">
        <v>117.5400009155273</v>
      </c>
      <c r="D54" s="30" t="n">
        <v>445.3599853515625</v>
      </c>
      <c r="E54" s="53" t="n">
        <v>1.331800818443298</v>
      </c>
      <c r="F54" s="13" t="n">
        <v>0.1926487347746139</v>
      </c>
      <c r="G54" s="33" t="n">
        <v>123.2383837113741</v>
      </c>
    </row>
    <row r="55">
      <c r="A55" s="52" t="inlineStr">
        <is>
          <t>2024-09-22</t>
        </is>
      </c>
      <c r="B55" s="39" t="n">
        <v>10265</v>
      </c>
      <c r="C55" s="30" t="n">
        <v>119.4800033569336</v>
      </c>
      <c r="D55" s="30" t="n">
        <v>465.9100036621094</v>
      </c>
      <c r="E55" s="53" t="n">
        <v>1.337200522422791</v>
      </c>
      <c r="F55" s="13" t="n">
        <v>0.1960159102745835</v>
      </c>
      <c r="G55" s="33" t="n">
        <v>117.706957460708</v>
      </c>
    </row>
    <row r="56">
      <c r="A56" s="52" t="inlineStr">
        <is>
          <t>2024-09-29</t>
        </is>
      </c>
      <c r="B56" s="39" t="n">
        <v>10235</v>
      </c>
      <c r="C56" s="30" t="n">
        <v>121.75</v>
      </c>
      <c r="D56" s="30" t="n">
        <v>458.489990234375</v>
      </c>
      <c r="E56" s="53" t="n">
        <v>1.312299728393555</v>
      </c>
      <c r="F56" s="13" t="n">
        <v>0.2041560665561671</v>
      </c>
      <c r="G56" s="33" t="n">
        <v>117.0414532180989</v>
      </c>
    </row>
    <row r="57">
      <c r="A57" s="52" t="inlineStr">
        <is>
          <t>2024-10-06</t>
        </is>
      </c>
      <c r="B57" s="39" t="n">
        <v>10120</v>
      </c>
      <c r="C57" s="30" t="n">
        <v>131.4100036621094</v>
      </c>
      <c r="D57" s="30" t="n">
        <v>457</v>
      </c>
      <c r="E57" s="53" t="n">
        <v>1.306999802589417</v>
      </c>
      <c r="F57" s="13" t="n">
        <v>0.223794404865307</v>
      </c>
      <c r="G57" s="33" t="n">
        <v>115.6347890691153</v>
      </c>
    </row>
    <row r="58">
      <c r="A58" s="52" t="inlineStr">
        <is>
          <t>2024-10-13</t>
        </is>
      </c>
      <c r="B58" s="39" t="n">
        <v>10535</v>
      </c>
      <c r="C58" s="30" t="n">
        <v>133.4400024414062</v>
      </c>
      <c r="D58" s="30" t="n">
        <v>456.8099975585938</v>
      </c>
      <c r="E58" s="53" t="n">
        <v>1.304900407791138</v>
      </c>
      <c r="F58" s="13" t="n">
        <v>0.2186822838254995</v>
      </c>
      <c r="G58" s="33" t="n">
        <v>120.233360233646</v>
      </c>
    </row>
    <row r="59">
      <c r="A59" s="52" t="inlineStr">
        <is>
          <t>2024-10-20</t>
        </is>
      </c>
      <c r="B59" s="39" t="n">
        <v>10605</v>
      </c>
      <c r="C59" s="30" t="n">
        <v>133.0399932861328</v>
      </c>
      <c r="D59" s="30" t="n">
        <v>471.5299987792969</v>
      </c>
      <c r="E59" s="53" t="n">
        <v>1.296199798583984</v>
      </c>
      <c r="F59" s="13" t="n">
        <v>0.2180729015550474</v>
      </c>
      <c r="G59" s="33" t="n">
        <v>116.4721179379503</v>
      </c>
    </row>
    <row r="60">
      <c r="A60" s="52" t="inlineStr">
        <is>
          <t>2024-10-28</t>
        </is>
      </c>
      <c r="B60" s="39" t="n">
        <v>10750</v>
      </c>
      <c r="C60" s="30" t="n">
        <v>126.9000015258789</v>
      </c>
      <c r="D60" s="30" t="n">
        <v>458.7999877929688</v>
      </c>
      <c r="E60" s="53" t="n">
        <v>1.292200088500977</v>
      </c>
      <c r="F60" s="13" t="n">
        <v>0.2058719181702734</v>
      </c>
      <c r="G60" s="33" t="n">
        <v>120.9660532349615</v>
      </c>
    </row>
    <row r="61">
      <c r="A61" s="52" t="inlineStr">
        <is>
          <t>2024-11-04</t>
        </is>
      </c>
      <c r="B61" s="39" t="n">
        <v>10745</v>
      </c>
      <c r="C61" s="30" t="n">
        <v>131.9299926757812</v>
      </c>
      <c r="D61" s="30" t="n">
        <v>477.4599914550781</v>
      </c>
      <c r="E61" s="53" t="n">
        <v>1.291899561882019</v>
      </c>
      <c r="F61" s="13" t="n">
        <v>0.2142124681611678</v>
      </c>
      <c r="G61" s="33" t="n">
        <v>116.1573947806017</v>
      </c>
    </row>
    <row r="62">
      <c r="A62" s="52" t="inlineStr">
        <is>
          <t>2024-11-11</t>
        </is>
      </c>
      <c r="B62" s="39" t="n">
        <v>10640</v>
      </c>
      <c r="C62" s="30" t="n">
        <v>128.8500061035156</v>
      </c>
      <c r="D62" s="30" t="n">
        <v>483.8999938964844</v>
      </c>
      <c r="E62" s="53" t="n">
        <v>1.261899709701538</v>
      </c>
      <c r="F62" s="13" t="n">
        <v>0.2163301368463889</v>
      </c>
      <c r="G62" s="33" t="n">
        <v>110.8560831931484</v>
      </c>
    </row>
    <row r="63">
      <c r="A63" s="52" t="inlineStr">
        <is>
          <t>2024-11-18</t>
        </is>
      </c>
      <c r="B63" s="39" t="n">
        <v>11100</v>
      </c>
      <c r="C63" s="30" t="n">
        <v>135.9900054931641</v>
      </c>
      <c r="D63" s="30" t="n">
        <v>487.6199951171875</v>
      </c>
      <c r="E63" s="53" t="n">
        <v>1.25320041179657</v>
      </c>
      <c r="F63" s="13" t="n">
        <v>0.2204069145261765</v>
      </c>
      <c r="G63" s="33" t="n">
        <v>113.975283209216</v>
      </c>
    </row>
    <row r="64">
      <c r="A64" s="52" t="inlineStr">
        <is>
          <t>2024-11-25</t>
        </is>
      </c>
      <c r="B64" s="39" t="n">
        <v>11270</v>
      </c>
      <c r="C64" s="30" t="n">
        <v>135.5</v>
      </c>
      <c r="D64" s="30" t="n">
        <v>490.6700134277344</v>
      </c>
      <c r="E64" s="53" t="n">
        <v>1.273899912834167</v>
      </c>
      <c r="F64" s="13" t="n">
        <v>0.2128161062676561</v>
      </c>
      <c r="G64" s="33" t="n">
        <v>116.9010426057044</v>
      </c>
    </row>
    <row r="65">
      <c r="A65" s="52" t="inlineStr">
        <is>
          <t>2024-12-02</t>
        </is>
      </c>
      <c r="B65" s="39" t="n">
        <v>11365</v>
      </c>
      <c r="C65" s="30" t="n">
        <v>130.8399963378906</v>
      </c>
      <c r="D65" s="30" t="n">
        <v>479.9700012207031</v>
      </c>
      <c r="E65" s="53" t="n">
        <v>1.27459979057312</v>
      </c>
      <c r="F65" s="13" t="n">
        <v>0.2036968727753862</v>
      </c>
      <c r="G65" s="33" t="n">
        <v>120.580718326558</v>
      </c>
    </row>
    <row r="66">
      <c r="A66" s="52" t="inlineStr">
        <is>
          <t>2024-12-09</t>
        </is>
      </c>
      <c r="B66" s="39" t="n">
        <v>11390</v>
      </c>
      <c r="C66" s="30" t="n">
        <v>131.5</v>
      </c>
      <c r="D66" s="30" t="n">
        <v>488.739990234375</v>
      </c>
      <c r="E66" s="53" t="n">
        <v>1.262500405311584</v>
      </c>
      <c r="F66" s="13" t="n">
        <v>0.2062625260728403</v>
      </c>
      <c r="G66" s="33" t="n">
        <v>117.5509254548532</v>
      </c>
    </row>
    <row r="67">
      <c r="A67" s="52" t="inlineStr">
        <is>
          <t>2024-12-16</t>
        </is>
      </c>
      <c r="B67" s="39" t="n">
        <v>11320</v>
      </c>
      <c r="C67" s="30" t="n">
        <v>132.7299957275391</v>
      </c>
      <c r="D67" s="30" t="n">
        <v>483.5199890136719</v>
      </c>
      <c r="E67" s="53" t="n">
        <v>1.256799340248108</v>
      </c>
      <c r="F67" s="13" t="n">
        <v>0.2104598501031619</v>
      </c>
      <c r="G67" s="33" t="n">
        <v>117.5564915654933</v>
      </c>
    </row>
    <row r="68">
      <c r="A68" s="52" t="inlineStr">
        <is>
          <t>2024-12-23</t>
        </is>
      </c>
      <c r="B68" s="39" t="n">
        <v>11330</v>
      </c>
      <c r="C68" s="30" t="n">
        <v>134.9299926757812</v>
      </c>
      <c r="D68" s="30" t="n">
        <v>486.5599975585938</v>
      </c>
      <c r="E68" s="53" t="n">
        <v>1.257300138473511</v>
      </c>
      <c r="F68" s="13" t="n">
        <v>0.2137051053206085</v>
      </c>
      <c r="G68" s="33" t="n">
        <v>116.9717939967624</v>
      </c>
    </row>
    <row r="69">
      <c r="A69" s="52" t="inlineStr">
        <is>
          <t>2024-12-30</t>
        </is>
      </c>
      <c r="B69" s="39" t="n">
        <v>11420</v>
      </c>
      <c r="C69" s="30" t="n">
        <v>134.4299926757812</v>
      </c>
      <c r="D69" s="30" t="n">
        <v>475.0599975585938</v>
      </c>
      <c r="E69" s="53" t="n">
        <v>1.2423996925354</v>
      </c>
      <c r="F69" s="13" t="n">
        <v>0.2137995296052809</v>
      </c>
      <c r="G69" s="33" t="n">
        <v>119.3239592406978</v>
      </c>
    </row>
    <row r="70">
      <c r="A70" s="52" t="inlineStr">
        <is>
          <t>2025-01-06</t>
        </is>
      </c>
      <c r="B70" s="39" t="n">
        <v>11675</v>
      </c>
      <c r="C70" s="30" t="n">
        <v>131.0800018310547</v>
      </c>
      <c r="D70" s="30" t="n">
        <v>453.0199890136719</v>
      </c>
      <c r="E70" s="53" t="n">
        <v>1.220899820327759</v>
      </c>
      <c r="F70" s="13" t="n">
        <v>0.2076485586235959</v>
      </c>
      <c r="G70" s="33" t="n">
        <v>125.7095384806853</v>
      </c>
    </row>
    <row r="71">
      <c r="A71" s="52" t="inlineStr">
        <is>
          <t>2025-01-13</t>
        </is>
      </c>
      <c r="B71" s="39" t="n">
        <v>11770</v>
      </c>
      <c r="C71" s="30" t="n">
        <v>129.0200042724609</v>
      </c>
      <c r="D71" s="30" t="n">
        <v>462.989990234375</v>
      </c>
      <c r="E71" s="53" t="n">
        <v>1.216999530792236</v>
      </c>
      <c r="F71" s="13" t="n">
        <v>0.2035397851546324</v>
      </c>
      <c r="G71" s="33" t="n">
        <v>123.6072515927344</v>
      </c>
    </row>
    <row r="72">
      <c r="A72" s="52" t="inlineStr">
        <is>
          <t>2025-01-20</t>
        </is>
      </c>
      <c r="B72" s="39" t="n">
        <v>11775</v>
      </c>
      <c r="C72" s="30" t="n">
        <v>131</v>
      </c>
      <c r="D72" s="30" t="n">
        <v>467.1199951171875</v>
      </c>
      <c r="E72" s="53" t="n">
        <v>1.248600006103516</v>
      </c>
      <c r="F72" s="13" t="n">
        <v>0.2015005163970789</v>
      </c>
      <c r="G72" s="33" t="n">
        <v>125.7489793965552</v>
      </c>
    </row>
    <row r="73">
      <c r="A73" s="52" t="inlineStr">
        <is>
          <t>2025-01-27</t>
        </is>
      </c>
      <c r="B73" s="39" t="n">
        <v>12035</v>
      </c>
      <c r="C73" s="30" t="n">
        <v>126.9000015258789</v>
      </c>
      <c r="D73" s="30" t="n">
        <v>474.4100036621094</v>
      </c>
      <c r="E73" s="53" t="n">
        <v>1.239499926567078</v>
      </c>
      <c r="F73" s="13" t="n">
        <v>0.1925255520900625</v>
      </c>
      <c r="G73" s="33" t="n">
        <v>125.6282875405112</v>
      </c>
    </row>
    <row r="74">
      <c r="A74" s="52" t="inlineStr">
        <is>
          <t>2025-02-03</t>
        </is>
      </c>
      <c r="B74" s="39" t="n">
        <v>11725</v>
      </c>
      <c r="C74" s="30" t="n">
        <v>124.3499984741211</v>
      </c>
      <c r="D74" s="30" t="n">
        <v>466.7900085449219</v>
      </c>
      <c r="E74" s="53" t="n">
        <v>1.240399360656738</v>
      </c>
      <c r="F74" s="13" t="n">
        <v>0.1936516645651882</v>
      </c>
      <c r="G74" s="33" t="n">
        <v>124.4805537601418</v>
      </c>
    </row>
    <row r="75">
      <c r="A75" s="52" t="inlineStr">
        <is>
          <t>2025-02-10</t>
        </is>
      </c>
      <c r="B75" s="39" t="n">
        <v>11690</v>
      </c>
      <c r="C75" s="30" t="n">
        <v>127.0299987792969</v>
      </c>
      <c r="D75" s="30" t="n">
        <v>456.0899963378906</v>
      </c>
      <c r="E75" s="53" t="n">
        <v>1.258700728416443</v>
      </c>
      <c r="F75" s="13" t="n">
        <v>0.1956815461459121</v>
      </c>
      <c r="G75" s="33" t="n">
        <v>128.8947195946247</v>
      </c>
    </row>
    <row r="76">
      <c r="A76" s="52" t="inlineStr">
        <is>
          <t>2025-02-17</t>
        </is>
      </c>
      <c r="B76" s="39" t="n">
        <v>11585</v>
      </c>
      <c r="C76" s="30" t="n">
        <v>134.1499938964844</v>
      </c>
      <c r="D76" s="30" t="n">
        <v>461.7799987792969</v>
      </c>
      <c r="E76" s="53" t="n">
        <v>1.263200521469116</v>
      </c>
      <c r="F76" s="13" t="n">
        <v>0.207938010129241</v>
      </c>
      <c r="G76" s="33" t="n">
        <v>126.614048100671</v>
      </c>
    </row>
    <row r="77">
      <c r="A77" s="52" t="inlineStr">
        <is>
          <t>2025-02-24</t>
        </is>
      </c>
      <c r="B77" s="39" t="n">
        <v>11845</v>
      </c>
      <c r="C77" s="30" t="n">
        <v>135.3699951171875</v>
      </c>
      <c r="D77" s="30" t="n">
        <v>461.739990234375</v>
      </c>
      <c r="E77" s="53" t="n">
        <v>1.257399797439575</v>
      </c>
      <c r="F77" s="13" t="n">
        <v>0.2063273328785049</v>
      </c>
      <c r="G77" s="33" t="n">
        <v>128.8723178934401</v>
      </c>
    </row>
    <row r="78">
      <c r="A78" s="52" t="inlineStr">
        <is>
          <t>2025-03-03</t>
        </is>
      </c>
      <c r="B78" s="39" t="n">
        <v>10830</v>
      </c>
      <c r="C78" s="30" t="n">
        <v>133.2299957275391</v>
      </c>
      <c r="D78" s="30" t="n">
        <v>440.7300109863281</v>
      </c>
      <c r="E78" s="53" t="n">
        <v>1.29050076007843</v>
      </c>
      <c r="F78" s="13" t="n">
        <v>0.2165656577965285</v>
      </c>
      <c r="G78" s="33" t="n">
        <v>126.6959624857946</v>
      </c>
    </row>
    <row r="79">
      <c r="A79" s="52" t="inlineStr">
        <is>
          <t>2025-03-10</t>
        </is>
      </c>
      <c r="B79" s="39" t="n">
        <v>10985</v>
      </c>
      <c r="C79" s="30" t="n">
        <v>135.8000030517578</v>
      </c>
      <c r="D79" s="30" t="n">
        <v>436.8500061035156</v>
      </c>
      <c r="E79" s="53" t="n">
        <v>1.294399499893188</v>
      </c>
      <c r="F79" s="13" t="n">
        <v>0.2171387960644936</v>
      </c>
      <c r="G79" s="33" t="n">
        <v>130.0423262475085</v>
      </c>
    </row>
    <row r="80">
      <c r="A80" s="52" t="inlineStr">
        <is>
          <t>2025-03-17</t>
        </is>
      </c>
      <c r="B80" s="39" t="n">
        <v>11235</v>
      </c>
      <c r="C80" s="30" t="n">
        <v>142.4100036621094</v>
      </c>
      <c r="D80" s="30" t="n">
        <v>432.8599853515625</v>
      </c>
      <c r="E80" s="53" t="n">
        <v>1.291999578475952</v>
      </c>
      <c r="F80" s="13" t="n">
        <v>0.2232251345394195</v>
      </c>
      <c r="G80" s="33" t="n">
        <v>133.9789859517326</v>
      </c>
    </row>
    <row r="81">
      <c r="A81" s="52" t="inlineStr">
        <is>
          <t>2025-03-30</t>
        </is>
      </c>
      <c r="B81" s="39" t="n">
        <v>11145</v>
      </c>
      <c r="C81" s="30" t="n">
        <v>146.7700042724609</v>
      </c>
      <c r="D81" s="30" t="n">
        <v>448.760009765625</v>
      </c>
      <c r="E81" s="53" t="n">
        <v>1.287999153137207</v>
      </c>
      <c r="F81" s="13" t="n">
        <v>0.2329683632164831</v>
      </c>
      <c r="G81" s="33" t="n">
        <v>127.7998015955345</v>
      </c>
    </row>
    <row r="82">
      <c r="A82" s="52" t="inlineStr">
        <is>
          <t>2025-04-06</t>
        </is>
      </c>
      <c r="B82" s="39" t="n">
        <v>11165</v>
      </c>
      <c r="C82" s="30" t="n">
        <v>130.6000061035156</v>
      </c>
      <c r="D82" s="30" t="n">
        <v>416.1900024414062</v>
      </c>
      <c r="E82" s="53" t="n">
        <v>1.308299422264099</v>
      </c>
      <c r="F82" s="13" t="n">
        <v>0.2038756411153908</v>
      </c>
      <c r="G82" s="33" t="n">
        <v>140.2241808240387</v>
      </c>
    </row>
    <row r="83">
      <c r="A83" s="52" t="inlineStr">
        <is>
          <t>2025-04-13</t>
        </is>
      </c>
      <c r="B83" s="39" t="n">
        <v>11360</v>
      </c>
      <c r="C83" s="30" t="n">
        <v>128.0800018310547</v>
      </c>
      <c r="D83" s="30" t="n">
        <v>425.4400024414062</v>
      </c>
      <c r="E83" s="53" t="n">
        <v>1.323398947715759</v>
      </c>
      <c r="F83" s="13" t="n">
        <v>0.1944165405780942</v>
      </c>
      <c r="G83" s="33" t="n">
        <v>141.1820462005384</v>
      </c>
    </row>
    <row r="84">
      <c r="A84" s="52" t="inlineStr">
        <is>
          <t>2025-04-20</t>
        </is>
      </c>
      <c r="B84" s="39" t="n">
        <v>11440</v>
      </c>
      <c r="C84" s="30" t="n">
        <v>134.3800048828125</v>
      </c>
      <c r="D84" s="30" t="n">
        <v>427.0499877929688</v>
      </c>
      <c r="E84" s="53" t="n">
        <v>1.331400156021118</v>
      </c>
      <c r="F84" s="13" t="n">
        <v>0.2014903564595063</v>
      </c>
      <c r="G84" s="33" t="n">
        <v>142.4966295882045</v>
      </c>
    </row>
    <row r="85">
      <c r="A85" s="52" t="inlineStr">
        <is>
          <t>2025-04-27</t>
        </is>
      </c>
      <c r="B85" s="39" t="n">
        <v>11565</v>
      </c>
      <c r="C85" s="30" t="n">
        <v>135.2899932861328</v>
      </c>
      <c r="D85" s="30" t="n">
        <v>424.4700012207031</v>
      </c>
      <c r="E85" s="53" t="n">
        <v>1.326800227165222</v>
      </c>
      <c r="F85" s="13" t="n">
        <v>0.2015126135547262</v>
      </c>
      <c r="G85" s="33" t="n">
        <v>144.4284830631806</v>
      </c>
    </row>
    <row r="86">
      <c r="A86" s="52" t="inlineStr">
        <is>
          <t>2025-05-04</t>
        </is>
      </c>
      <c r="B86" s="39" t="n">
        <v>11300</v>
      </c>
      <c r="C86" s="30" t="n">
        <v>141.8600006103516</v>
      </c>
      <c r="D86" s="30" t="n">
        <v>434.5599975585938</v>
      </c>
      <c r="E86" s="53" t="n">
        <v>1.329999446868896</v>
      </c>
      <c r="F86" s="13" t="n">
        <v>0.2158994514123574</v>
      </c>
      <c r="G86" s="33" t="n">
        <v>138.1747972883678</v>
      </c>
    </row>
    <row r="87">
      <c r="A87" s="52" t="inlineStr">
        <is>
          <t>2025-05-11</t>
        </is>
      </c>
      <c r="B87" s="39" t="n">
        <v>11520</v>
      </c>
      <c r="C87" s="30" t="n">
        <v>147.4600067138672</v>
      </c>
      <c r="D87" s="30" t="n">
        <v>454.6199951171875</v>
      </c>
      <c r="E87" s="53" t="n">
        <v>1.32819938659668</v>
      </c>
      <c r="F87" s="13" t="n">
        <v>0.2206043070740309</v>
      </c>
      <c r="G87" s="33" t="n">
        <v>134.4670569138105</v>
      </c>
    </row>
    <row r="88">
      <c r="A88" s="52" t="inlineStr">
        <is>
          <t>2025-05-18</t>
        </is>
      </c>
      <c r="B88" s="39" t="n">
        <v>11530</v>
      </c>
      <c r="C88" s="30" t="n">
        <v>145.1699981689453</v>
      </c>
      <c r="D88" s="30" t="n">
        <v>473.3200073242188</v>
      </c>
      <c r="E88" s="53" t="n">
        <v>1.353700160980225</v>
      </c>
      <c r="F88" s="13" t="n">
        <v>0.2130663372561966</v>
      </c>
      <c r="G88" s="33" t="n">
        <v>131.7484769655509</v>
      </c>
    </row>
    <row r="89">
      <c r="A89" s="52" t="inlineStr">
        <is>
          <t>2025-05-25</t>
        </is>
      </c>
      <c r="B89" s="39" t="n">
        <v>11275</v>
      </c>
      <c r="C89" s="30" t="n">
        <v>145.6199951171875</v>
      </c>
      <c r="D89" s="30" t="n">
        <v>462.7999877929688</v>
      </c>
      <c r="E89" s="53" t="n">
        <v>1.346300959587097</v>
      </c>
      <c r="F89" s="13" t="n">
        <v>0.2199310687190469</v>
      </c>
      <c r="G89" s="33" t="n">
        <v>131.0430658483077</v>
      </c>
    </row>
    <row r="90">
      <c r="A90" s="52" t="inlineStr">
        <is>
          <t>2025-06-01</t>
        </is>
      </c>
      <c r="B90" s="39" t="n">
        <v>11390</v>
      </c>
      <c r="C90" s="30" t="n">
        <v>144.4499969482422</v>
      </c>
      <c r="D90" s="30" t="n">
        <v>458.260009765625</v>
      </c>
      <c r="E90" s="53" t="n">
        <v>1.352899789810181</v>
      </c>
      <c r="F90" s="13" t="n">
        <v>0.2150736678220579</v>
      </c>
      <c r="G90" s="33" t="n">
        <v>134.3464117774736</v>
      </c>
    </row>
    <row r="91">
      <c r="A91" s="52" t="inlineStr">
        <is>
          <t>2025-06-08</t>
        </is>
      </c>
      <c r="B91" s="39" t="n">
        <v>11045</v>
      </c>
      <c r="C91" s="30" t="n">
        <v>140.0500030517578</v>
      </c>
      <c r="D91" s="30" t="n">
        <v>432.3500061035156</v>
      </c>
      <c r="E91" s="53" t="n">
        <v>1.355700612068176</v>
      </c>
      <c r="F91" s="13" t="n">
        <v>0.2147571866679035</v>
      </c>
      <c r="G91" s="33" t="n">
        <v>138.3702485335137</v>
      </c>
    </row>
    <row r="92">
      <c r="A92" s="52" t="inlineStr">
        <is>
          <t>2025-06-15</t>
        </is>
      </c>
      <c r="B92" s="39" t="n">
        <v>10835</v>
      </c>
      <c r="C92" s="30" t="n">
        <v>137.2599945068359</v>
      </c>
      <c r="D92" s="30" t="n">
        <v>419.8999938964844</v>
      </c>
      <c r="E92" s="53" t="n">
        <v>1.345699429512024</v>
      </c>
      <c r="F92" s="13" t="n">
        <v>0.2163198561573894</v>
      </c>
      <c r="G92" s="33" t="n">
        <v>138.733005128917</v>
      </c>
    </row>
    <row r="93">
      <c r="A93" s="52" t="inlineStr">
        <is>
          <t>2025-06-22</t>
        </is>
      </c>
      <c r="B93" s="39" t="n">
        <v>10700</v>
      </c>
      <c r="C93" s="30" t="n">
        <v>139.3399963378906</v>
      </c>
      <c r="D93" s="30" t="n">
        <v>422.3399963378906</v>
      </c>
      <c r="E93" s="53" t="n">
        <v>1.355000734329224</v>
      </c>
      <c r="F93" s="13" t="n">
        <v>0.2210128039103855</v>
      </c>
      <c r="G93" s="33" t="n">
        <v>137.1544094545164</v>
      </c>
    </row>
    <row r="94">
      <c r="A94" s="52" t="inlineStr">
        <is>
          <t>2025-06-29</t>
        </is>
      </c>
      <c r="B94" s="39" t="n">
        <v>10700</v>
      </c>
      <c r="C94" s="30" t="n">
        <v>144.9299926757812</v>
      </c>
      <c r="D94" s="30" t="n">
        <v>441.4299926757812</v>
      </c>
      <c r="E94" s="53" t="n">
        <v>1.365700483322144</v>
      </c>
      <c r="F94" s="13" t="n">
        <v>0.2282547333479397</v>
      </c>
      <c r="G94" s="33" t="n">
        <v>132.2592577908576</v>
      </c>
    </row>
    <row r="95">
      <c r="A95" s="52" t="inlineStr">
        <is>
          <t>2025-07-06</t>
        </is>
      </c>
      <c r="B95" s="39" t="n">
        <v>10740</v>
      </c>
      <c r="C95" s="30" t="n">
        <v>138.9799957275391</v>
      </c>
      <c r="D95" s="30" t="n">
        <v>447.9400024414062</v>
      </c>
      <c r="E95" s="53" t="n">
        <v>1.349899291992188</v>
      </c>
      <c r="F95" s="13" t="n">
        <v>0.2207920749155741</v>
      </c>
      <c r="G95" s="33" t="n">
        <v>129.3107054518393</v>
      </c>
    </row>
    <row r="96">
      <c r="A96" s="52" t="inlineStr">
        <is>
          <t>2025-07-13</t>
        </is>
      </c>
      <c r="B96" s="39" t="n">
        <v>10830</v>
      </c>
      <c r="C96" s="30" t="n">
        <v>136.0700073242188</v>
      </c>
      <c r="D96" s="30" t="n">
        <v>446.2099914550781</v>
      </c>
      <c r="E96" s="53" t="n">
        <v>1.341399550437927</v>
      </c>
      <c r="F96" s="13" t="n">
        <v>0.2158981733965213</v>
      </c>
      <c r="G96" s="33" t="n">
        <v>130.075648712464</v>
      </c>
    </row>
    <row r="97">
      <c r="A97" s="52" t="inlineStr">
        <is>
          <t>2025-07-20</t>
        </is>
      </c>
      <c r="B97" s="39" t="n">
        <v>10090</v>
      </c>
      <c r="C97" s="30" t="n">
        <v>138.0050048828125</v>
      </c>
      <c r="D97" s="30" t="n">
        <v>432.3200073242188</v>
      </c>
      <c r="E97" s="53" t="n">
        <v>1.354400634765625</v>
      </c>
      <c r="F97" s="13" t="n">
        <v>0.2329519180705937</v>
      </c>
      <c r="G97" s="33" t="n">
        <v>126.2936916877147</v>
      </c>
    </row>
    <row r="98">
      <c r="A98" s="52" t="inlineStr">
        <is>
          <t>2025-07-27</t>
        </is>
      </c>
      <c r="B98" s="39" t="n">
        <v>9314</v>
      </c>
      <c r="C98" s="30" t="n">
        <v>139.0099945068359</v>
      </c>
      <c r="D98" s="30" t="n">
        <v>419.5400085449219</v>
      </c>
      <c r="E98" s="53" t="n">
        <v>1.328299999237061</v>
      </c>
      <c r="F98" s="13" t="n">
        <v>0.2593941908891705</v>
      </c>
      <c r="G98" s="33" t="n">
        <v>117.8169298408125</v>
      </c>
    </row>
    <row r="99">
      <c r="A99" s="52" t="inlineStr">
        <is>
          <t>2025-08-03</t>
        </is>
      </c>
      <c r="B99" s="39" t="n">
        <v>9962</v>
      </c>
      <c r="C99" s="30" t="n">
        <v>137.0399932861328</v>
      </c>
      <c r="D99" s="30" t="n">
        <v>391.3299865722656</v>
      </c>
      <c r="E99" s="53" t="n">
        <v>1.343199610710144</v>
      </c>
      <c r="F99" s="13" t="n">
        <v>0.236615929055984</v>
      </c>
      <c r="G99" s="33" t="n">
        <v>136.6131938601823</v>
      </c>
    </row>
    <row r="100">
      <c r="A100" s="52" t="inlineStr">
        <is>
          <t>2025-08-10</t>
        </is>
      </c>
      <c r="B100" s="39" t="n">
        <v>9262</v>
      </c>
      <c r="C100" s="30" t="n">
        <v>135.4400024414062</v>
      </c>
      <c r="D100" s="30" t="n">
        <v>382.4299926757812</v>
      </c>
      <c r="E100" s="53" t="n">
        <v>1.356099486351013</v>
      </c>
      <c r="F100" s="13" t="n">
        <v>0.2493283994933432</v>
      </c>
      <c r="G100" s="33" t="n">
        <v>131.2178933526745</v>
      </c>
    </row>
    <row r="101">
      <c r="A101" s="52" t="inlineStr">
        <is>
          <t>2025-08-17</t>
        </is>
      </c>
      <c r="B101" s="39" t="n">
        <v>9464</v>
      </c>
      <c r="C101" s="30" t="n">
        <v>130.1999969482422</v>
      </c>
      <c r="D101" s="30" t="n">
        <v>369.6199951171875</v>
      </c>
      <c r="E101" s="53" t="n">
        <v>1.341899991035461</v>
      </c>
      <c r="F101" s="13" t="n">
        <v>0.2372328680965974</v>
      </c>
      <c r="G101" s="33" t="n">
        <v>137.2739412308798</v>
      </c>
    </row>
    <row r="102">
      <c r="A102" s="52" t="inlineStr">
        <is>
          <t>2025-08-24</t>
        </is>
      </c>
      <c r="B102" s="39" t="n">
        <v>9168</v>
      </c>
      <c r="C102" s="30" t="n">
        <v>127.9899978637695</v>
      </c>
      <c r="D102" s="30" t="n">
        <v>381.6199951171875</v>
      </c>
      <c r="E102" s="53" t="n">
        <v>1.328499317169189</v>
      </c>
      <c r="F102" s="13" t="n">
        <v>0.2433530333072172</v>
      </c>
      <c r="G102" s="33" t="n">
        <v>127.5127161070843</v>
      </c>
    </row>
    <row r="103">
      <c r="A103" s="52" t="inlineStr">
        <is>
          <t>2025-08-31</t>
        </is>
      </c>
      <c r="B103" s="39" t="n">
        <v>9270</v>
      </c>
      <c r="C103" s="30" t="n">
        <v>123.3600006103516</v>
      </c>
      <c r="D103" s="30" t="n">
        <v>373.3200073242188</v>
      </c>
      <c r="E103" s="53" t="n">
        <v>1.350900411605835</v>
      </c>
      <c r="F103" s="13" t="n">
        <v>0.2283001176938215</v>
      </c>
      <c r="G103" s="33" t="n">
        <v>134.0202675446231</v>
      </c>
    </row>
    <row r="104">
      <c r="A104" s="52" t="inlineStr">
        <is>
          <t>2025-09-07</t>
        </is>
      </c>
      <c r="B104" s="39" t="n">
        <v>8632</v>
      </c>
      <c r="C104" s="30" t="n">
        <v>119.0899963378906</v>
      </c>
      <c r="D104" s="30" t="n">
        <v>371.010009765625</v>
      </c>
      <c r="E104" s="53" t="n">
        <v>1.355799794197083</v>
      </c>
      <c r="F104" s="13" t="n">
        <v>0.2360160616933124</v>
      </c>
      <c r="G104" s="33" t="n">
        <v>126.0288712154725</v>
      </c>
    </row>
    <row r="105">
      <c r="A105" s="52" t="inlineStr">
        <is>
          <t>2025-09-14</t>
        </is>
      </c>
      <c r="B105" s="39" t="n">
        <v>8138</v>
      </c>
      <c r="C105" s="30" t="n">
        <v>117.9199981689453</v>
      </c>
      <c r="D105" s="30" t="n">
        <v>361.8399963378906</v>
      </c>
      <c r="E105" s="53" t="n">
        <v>1.35560131072998</v>
      </c>
      <c r="F105" s="13" t="n">
        <v>0.2481131409445767</v>
      </c>
      <c r="G105" s="33" t="n">
        <v>121.809671889556</v>
      </c>
    </row>
    <row r="106">
      <c r="A106" s="52" t="inlineStr">
        <is>
          <t>2025-09-21</t>
        </is>
      </c>
      <c r="B106" s="39" t="n">
        <v>8300</v>
      </c>
      <c r="C106" s="30" t="n">
        <v>112.0800018310547</v>
      </c>
      <c r="D106" s="30" t="n">
        <v>289.1499938964844</v>
      </c>
      <c r="E106" s="53" t="n">
        <v>1.343199610710144</v>
      </c>
      <c r="F106" s="13" t="n">
        <v>0.2335395335342465</v>
      </c>
      <c r="G106" s="33" t="n">
        <v>154.0437705172178</v>
      </c>
    </row>
    <row r="107">
      <c r="A107" s="52" t="inlineStr">
        <is>
          <t>2025-09-28</t>
        </is>
      </c>
      <c r="B107" s="39" t="n">
        <v>8606</v>
      </c>
      <c r="C107" s="30" t="n">
        <v>110.9800033569336</v>
      </c>
      <c r="D107" s="30" t="n">
        <v>289.6900024414062</v>
      </c>
      <c r="E107" s="53" t="n">
        <v>1.35710072517395</v>
      </c>
      <c r="F107" s="13" t="n">
        <v>0.2209130964187513</v>
      </c>
      <c r="G107" s="33" t="n">
        <v>161.0751687446185</v>
      </c>
    </row>
    <row r="108">
      <c r="A108" s="52" t="inlineStr">
        <is>
          <t>2025-10-05</t>
        </is>
      </c>
      <c r="B108" s="39" t="n">
        <v>8780</v>
      </c>
      <c r="C108" s="30" t="n">
        <v>109.9800033569336</v>
      </c>
      <c r="D108" s="30" t="n">
        <v>282.3299865722656</v>
      </c>
      <c r="E108" s="53" t="n">
        <v>1.335400462150574</v>
      </c>
      <c r="F108" s="13" t="n">
        <v>0.2182414981739703</v>
      </c>
      <c r="G108" s="33" t="n">
        <v>165.9196063731266</v>
      </c>
    </row>
    <row r="109">
      <c r="A109" s="52" t="inlineStr">
        <is>
          <t>2025-10-12</t>
        </is>
      </c>
      <c r="B109" s="39" t="n">
        <v>8534</v>
      </c>
      <c r="C109" s="30" t="n">
        <v>107.0899963378906</v>
      </c>
      <c r="D109" s="30" t="n">
        <v>283.1300048828125</v>
      </c>
      <c r="E109" s="53" t="n">
        <v>1.337499260902405</v>
      </c>
      <c r="F109" s="13" t="n">
        <v>0.2184600929181141</v>
      </c>
      <c r="G109" s="33" t="n">
        <v>161.0678905421233</v>
      </c>
    </row>
    <row r="110">
      <c r="A110" s="52" t="inlineStr">
        <is>
          <t>2025-10-19</t>
        </is>
      </c>
      <c r="B110" s="39" t="n">
        <v>9796</v>
      </c>
      <c r="C110" s="30" t="n">
        <v>106.9199981689453</v>
      </c>
      <c r="D110" s="30" t="n">
        <v>286.6700134277344</v>
      </c>
      <c r="E110" s="53" t="n">
        <v>1.330700397491455</v>
      </c>
      <c r="F110" s="13" t="n">
        <v>0.1911345951003985</v>
      </c>
      <c r="G110" s="33" t="n">
        <v>181.6751278095344</v>
      </c>
    </row>
    <row r="111">
      <c r="A111" s="52" t="inlineStr">
        <is>
          <t>2025-10-27</t>
        </is>
      </c>
      <c r="B111" s="39" t="n">
        <v>9486</v>
      </c>
      <c r="C111" s="30" t="n">
        <v>105.3899993896484</v>
      </c>
      <c r="D111" s="30" t="n">
        <v>266.7999877929688</v>
      </c>
      <c r="E111" s="53" t="n">
        <v>1.315600752830505</v>
      </c>
      <c r="F111" s="13" t="n">
        <v>0.1969656584269967</v>
      </c>
      <c r="G111" s="33" t="n">
        <v>186.8831330686907</v>
      </c>
    </row>
    <row r="112">
      <c r="A112" s="52" t="inlineStr">
        <is>
          <t>2025-11-03</t>
        </is>
      </c>
      <c r="B112" s="39" t="n">
        <v>9270</v>
      </c>
      <c r="C112" s="30" t="n">
        <v>109.1100006103516</v>
      </c>
      <c r="D112" s="30" t="n">
        <v>262.6000061035156</v>
      </c>
      <c r="E112" s="53" t="n">
        <v>1.316000819206238</v>
      </c>
      <c r="F112" s="13" t="n">
        <v>0.2087697645464585</v>
      </c>
      <c r="G112" s="33" t="n">
        <v>185.6050720378119</v>
      </c>
    </row>
    <row r="113">
      <c r="A113" s="52" t="inlineStr">
        <is>
          <t>2025-11-10</t>
        </is>
      </c>
      <c r="B113" s="39" t="n">
        <v>8764</v>
      </c>
      <c r="C113" s="30" t="n">
        <v>109.5199966430664</v>
      </c>
      <c r="D113" s="30" t="n">
        <v>273.9100036621094</v>
      </c>
      <c r="E113" s="53" t="n">
        <v>1.315199375152588</v>
      </c>
      <c r="F113" s="13" t="n">
        <v>0.2219623205129883</v>
      </c>
      <c r="G113" s="33" t="n">
        <v>168.1259483713624</v>
      </c>
    </row>
    <row r="114">
      <c r="A114" s="52" t="inlineStr">
        <is>
          <t>2025-11-17</t>
        </is>
      </c>
      <c r="B114" s="39" t="n">
        <v>8602</v>
      </c>
      <c r="C114" s="30" t="n">
        <v>106.4599990844727</v>
      </c>
      <c r="D114" s="30" t="n">
        <v>277.0199890136719</v>
      </c>
      <c r="E114" s="53" t="n">
        <v>1.308099150657654</v>
      </c>
      <c r="F114" s="13" t="n">
        <v>0.2211909133193269</v>
      </c>
      <c r="G114" s="33" t="n">
        <v>162.2847356030948</v>
      </c>
    </row>
    <row r="115">
      <c r="A115" s="52" t="inlineStr">
        <is>
          <t>2025-11-24</t>
        </is>
      </c>
      <c r="B115" s="39" t="n">
        <v>8908</v>
      </c>
      <c r="C115" s="30" t="n">
        <v>108.8600006103516</v>
      </c>
      <c r="D115" s="30" t="n">
        <v>277.2699890136719</v>
      </c>
      <c r="E115" s="53" t="n">
        <v>1.325300216674805</v>
      </c>
      <c r="F115" s="13" t="n">
        <v>0.2157427335470599</v>
      </c>
      <c r="G115" s="33" t="n">
        <v>170.1140915358526</v>
      </c>
    </row>
    <row r="116">
      <c r="A116" s="52" t="inlineStr">
        <is>
          <t>2025-12-01</t>
        </is>
      </c>
      <c r="B116" s="39" t="n">
        <v>8652</v>
      </c>
      <c r="C116" s="30" t="n">
        <v>107.7699966430664</v>
      </c>
      <c r="D116" s="30" t="n">
        <v>290.6300048828125</v>
      </c>
      <c r="E116" s="53" t="n">
        <v>1.334600329399109</v>
      </c>
      <c r="F116" s="13" t="n">
        <v>0.2185415997528903</v>
      </c>
      <c r="G116" s="33" t="n">
        <v>158.7361955774925</v>
      </c>
    </row>
    <row r="117">
      <c r="A117" s="52" t="inlineStr">
        <is>
          <t>2025-12-08</t>
        </is>
      </c>
      <c r="B117" s="39" t="n">
        <v>8464</v>
      </c>
      <c r="C117" s="30" t="n">
        <v>107.1699981689453</v>
      </c>
      <c r="D117" s="30" t="n">
        <v>292.4700012207031</v>
      </c>
      <c r="E117" s="53" t="n">
        <v>1.337300658226013</v>
      </c>
      <c r="F117" s="13" t="n">
        <v>0.2218780963880284</v>
      </c>
      <c r="G117" s="33" t="n">
        <v>154.6222769113599</v>
      </c>
    </row>
    <row r="118">
      <c r="A118" s="52" t="inlineStr">
        <is>
          <t>2025-12-15</t>
        </is>
      </c>
      <c r="B118" s="39" t="n">
        <v>8918</v>
      </c>
      <c r="C118" s="30" t="n">
        <v>104.5199966430664</v>
      </c>
      <c r="D118" s="30" t="n">
        <v>288.5400085449219</v>
      </c>
      <c r="E118" s="53" t="n">
        <v>1.329599857330322</v>
      </c>
      <c r="F118" s="13" t="n">
        <v>0.2067278955299122</v>
      </c>
      <c r="G118" s="33" t="n">
        <v>164.1840882760104</v>
      </c>
    </row>
    <row r="119">
      <c r="A119" s="52" t="inlineStr">
        <is>
          <t>2025-12-22</t>
        </is>
      </c>
      <c r="B119" s="39" t="n">
        <v>8874</v>
      </c>
      <c r="C119" s="30" t="n">
        <v>107.8000030517578</v>
      </c>
      <c r="D119" s="30" t="n">
        <v>292.1300048828125</v>
      </c>
      <c r="E119" s="53" t="n">
        <v>1.351700305938721</v>
      </c>
      <c r="F119" s="13" t="n">
        <v>0.2109354307886747</v>
      </c>
      <c r="G119" s="33" t="n">
        <v>164.0485320720614</v>
      </c>
    </row>
    <row r="120">
      <c r="A120" s="52" t="inlineStr">
        <is>
          <t>2025-12-29</t>
        </is>
      </c>
      <c r="B120" s="39" t="n">
        <v>8804</v>
      </c>
      <c r="C120" s="30" t="n">
        <v>106.1999969482422</v>
      </c>
      <c r="D120" s="30" t="n">
        <v>284.8999938964844</v>
      </c>
      <c r="E120" s="53" t="n">
        <v>1.346799492835999</v>
      </c>
      <c r="F120" s="13" t="n">
        <v>0.2103850460058603</v>
      </c>
      <c r="G120" s="33" t="n">
        <v>166.2796938516103</v>
      </c>
    </row>
    <row r="121">
      <c r="A121" s="52" t="inlineStr">
        <is>
          <t>2026-01-05</t>
        </is>
      </c>
      <c r="B121" s="39" t="n">
        <v>8952</v>
      </c>
      <c r="C121" s="30" t="n">
        <v>103.8600006103516</v>
      </c>
      <c r="D121" s="30" t="n">
        <v>294.4500122070312</v>
      </c>
      <c r="E121" s="53" t="n">
        <v>1.340800642967224</v>
      </c>
      <c r="F121" s="13" t="n">
        <v>0.2034997756370419</v>
      </c>
      <c r="G121" s="33" t="n">
        <v>162.8626077857975</v>
      </c>
    </row>
    <row r="122">
      <c r="A122" s="52" t="inlineStr">
        <is>
          <t>2026-01-12</t>
        </is>
      </c>
      <c r="B122" s="39" t="n">
        <v>9184</v>
      </c>
      <c r="C122" s="30" t="n">
        <v>106.2600021362305</v>
      </c>
      <c r="D122" s="30" t="n">
        <v>288.6000061035156</v>
      </c>
      <c r="E122" s="53" t="n">
        <v>1.338700652122498</v>
      </c>
      <c r="F122" s="13" t="n">
        <v>0.2035424932597611</v>
      </c>
      <c r="G122" s="33" t="n">
        <v>170.2031886915294</v>
      </c>
    </row>
    <row r="123">
      <c r="A123" s="52" t="inlineStr">
        <is>
          <t>2026-01-19</t>
        </is>
      </c>
      <c r="B123" s="39" t="n">
        <v>8768</v>
      </c>
      <c r="C123" s="30" t="n">
        <v>102.8000030517578</v>
      </c>
      <c r="D123" s="30" t="n">
        <v>286.6799926757812</v>
      </c>
      <c r="E123" s="53" t="n">
        <v>1.364600896835327</v>
      </c>
      <c r="F123" s="13" t="n">
        <v>0.2026231714248906</v>
      </c>
      <c r="G123" s="33" t="n">
        <v>166.7467918189795</v>
      </c>
    </row>
    <row r="124">
      <c r="A124" s="52" t="inlineStr">
        <is>
          <t>2026-01-26</t>
        </is>
      </c>
      <c r="B124" s="39" t="n">
        <v>8122</v>
      </c>
      <c r="C124" s="30" t="n">
        <v>103.0699996948242</v>
      </c>
      <c r="D124" s="30" t="n">
        <v>254.3600006103516</v>
      </c>
      <c r="E124" s="53" t="n">
        <v>1.369300246238708</v>
      </c>
      <c r="F124" s="13" t="n">
        <v>0.2188644207387715</v>
      </c>
      <c r="G124" s="33" t="n">
        <v>174.6873803744348</v>
      </c>
    </row>
    <row r="125">
      <c r="A125" s="52" t="inlineStr">
        <is>
          <t>2026-02-02</t>
        </is>
      </c>
      <c r="B125" s="39" t="n">
        <v>7502</v>
      </c>
      <c r="C125" s="30" t="n">
        <v>112.129997253418</v>
      </c>
      <c r="D125" s="30" t="n">
        <v>207.3200073242188</v>
      </c>
      <c r="E125" s="53" t="n">
        <v>1.361700296401978</v>
      </c>
      <c r="F125" s="13" t="n">
        <v>0.2595798692474712</v>
      </c>
      <c r="G125" s="33" t="n">
        <v>196.8638863559729</v>
      </c>
    </row>
    <row r="126">
      <c r="A126" s="52" t="inlineStr">
        <is>
          <t>2026-02-09</t>
        </is>
      </c>
      <c r="B126" s="39" t="n">
        <v>7570</v>
      </c>
      <c r="C126" s="30" t="n">
        <v>113.4100036621094</v>
      </c>
      <c r="D126" s="30" t="n">
        <v>205.7899932861328</v>
      </c>
      <c r="E126" s="53" t="n">
        <v>1.362199187278748</v>
      </c>
      <c r="F126" s="13" t="n">
        <v>0.2604514158740433</v>
      </c>
      <c r="G126" s="33" t="n">
        <v>200.1985471421863</v>
      </c>
    </row>
    <row r="127">
      <c r="A127" s="52" t="inlineStr">
        <is>
          <t>2026-02-16</t>
        </is>
      </c>
      <c r="B127" s="39" t="n">
        <v>7904</v>
      </c>
      <c r="C127" s="30" t="n">
        <v>119.4700012207031</v>
      </c>
      <c r="D127" s="30" t="n">
        <v>195.0500030517578</v>
      </c>
      <c r="E127" s="53" t="n">
        <v>1.348099589347839</v>
      </c>
      <c r="F127" s="13" t="n">
        <v>0.2658928879261404</v>
      </c>
      <c r="G127" s="33" t="n">
        <v>218.2587304209341</v>
      </c>
    </row>
    <row r="128">
      <c r="A128" s="52" t="inlineStr">
        <is>
          <t>2026-02-23</t>
        </is>
      </c>
      <c r="B128" s="39" t="n">
        <v>8860</v>
      </c>
      <c r="C128" s="30" t="n">
        <v>123.254997253418</v>
      </c>
      <c r="D128" s="30" t="n">
        <v>216.8099975585938</v>
      </c>
      <c r="E128" s="53" t="n">
        <v>1.34540069103241</v>
      </c>
      <c r="F128" s="13" t="n">
        <v>0.2455509840735687</v>
      </c>
      <c r="G128" s="33" t="n">
        <v>219.661903074769</v>
      </c>
    </row>
    <row r="129">
      <c r="A129" s="52" t="inlineStr">
        <is>
          <t>2026-03-02</t>
        </is>
      </c>
      <c r="B129" s="39" t="n">
        <v>8792</v>
      </c>
      <c r="C129" s="30" t="n">
        <v>124.5899963378906</v>
      </c>
      <c r="D129" s="30" t="n">
        <v>225.8699951171875</v>
      </c>
      <c r="E129" s="53" t="n">
        <v>1.340800642967224</v>
      </c>
      <c r="F129" s="13" t="n">
        <v>0.2513392941560363</v>
      </c>
      <c r="G129" s="33" t="n">
        <v>208.5172672542023</v>
      </c>
    </row>
    <row r="130">
      <c r="A130" s="52" t="inlineStr">
        <is>
          <t>2026-03-09</t>
        </is>
      </c>
      <c r="B130" s="39" t="n">
        <v>8746</v>
      </c>
      <c r="C130" s="30" t="n">
        <v>124.4199981689453</v>
      </c>
      <c r="D130" s="30" t="n">
        <v>205.6499938964844</v>
      </c>
      <c r="E130" s="53" t="n">
        <v>1.323800206184387</v>
      </c>
      <c r="F130" s="13" t="n">
        <v>0.2559144594839002</v>
      </c>
      <c r="G130" s="33" t="n">
        <v>224.9323365089381</v>
      </c>
    </row>
    <row r="131">
      <c r="A131" s="52" t="inlineStr">
        <is>
          <t>2026-03-16</t>
        </is>
      </c>
      <c r="B131" s="39" t="n">
        <v>8662</v>
      </c>
      <c r="C131" s="30" t="n">
        <v>125.1500015258789</v>
      </c>
      <c r="D131" s="30" t="n">
        <v>209.2700042724609</v>
      </c>
      <c r="E131" s="53" t="n">
        <v>1.33400022983551</v>
      </c>
      <c r="F131" s="13" t="n">
        <v>0.2582864494972917</v>
      </c>
      <c r="G131" s="33" t="n">
        <v>220.6052170289857</v>
      </c>
    </row>
    <row r="132">
      <c r="A132" s="52" t="inlineStr">
        <is>
          <t>2026-03-29</t>
        </is>
      </c>
      <c r="B132" s="39" t="n">
        <v>8920</v>
      </c>
      <c r="C132" s="30" t="n">
        <v>116.5699996948242</v>
      </c>
      <c r="D132" s="30" t="n">
        <v>198.3300018310547</v>
      </c>
      <c r="E132" s="53" t="n">
        <v>1.322200417518616</v>
      </c>
      <c r="F132" s="13" t="n">
        <v>0.2363205314878838</v>
      </c>
      <c r="G132" s="33" t="n">
        <v>237.5868538256285</v>
      </c>
    </row>
    <row r="133">
      <c r="A133" s="52" t="inlineStr">
        <is>
          <t>2026-04-05</t>
        </is>
      </c>
      <c r="B133" s="39" t="n">
        <v>8968</v>
      </c>
      <c r="C133" s="30" t="n">
        <v>123.1999969482422</v>
      </c>
      <c r="D133" s="30" t="n">
        <v>227.6799926757812</v>
      </c>
      <c r="E133" s="53" t="n">
        <v>1.345599889755249</v>
      </c>
      <c r="F133" s="13" t="n">
        <v>0.2444481178799553</v>
      </c>
      <c r="G133" s="33" t="n">
        <v>211.7558181809361</v>
      </c>
    </row>
    <row r="134">
      <c r="A134" s="52" t="inlineStr">
        <is>
          <t>2026-04-12</t>
        </is>
      </c>
      <c r="B134" s="39" t="n">
        <v>9456</v>
      </c>
      <c r="C134" s="30" t="n">
        <v>121.4400024414062</v>
      </c>
      <c r="D134" s="30" t="n">
        <v>211.6000061035156</v>
      </c>
      <c r="E134" s="53" t="n">
        <v>1.352499127388</v>
      </c>
      <c r="F134" s="13" t="n">
        <v>0.2276755806607057</v>
      </c>
      <c r="G134" s="33" t="n">
        <v>241.477938340153</v>
      </c>
    </row>
    <row r="135">
      <c r="A135" s="52" t="inlineStr">
        <is>
          <t>2026-04-19</t>
        </is>
      </c>
      <c r="B135" s="39" t="n">
        <v>9992</v>
      </c>
      <c r="C135" s="30" t="n">
        <v>118.3399963378906</v>
      </c>
      <c r="D135" s="30" t="n">
        <v>232.7299957275391</v>
      </c>
      <c r="E135" s="53" t="n">
        <v>1.349700689315796</v>
      </c>
      <c r="F135" s="13" t="n">
        <v>0.210694530234947</v>
      </c>
      <c r="G135" s="33" t="n">
        <v>231.5187727375953</v>
      </c>
    </row>
    <row r="136">
      <c r="A136" s="52" t="inlineStr">
        <is>
          <t>2026-04-26</t>
        </is>
      </c>
      <c r="B136" s="39" t="n">
        <v>9624</v>
      </c>
      <c r="C136" s="30" t="n">
        <v>113.2900009155273</v>
      </c>
      <c r="D136" s="30" t="n">
        <v>224.1199951171875</v>
      </c>
      <c r="E136" s="53" t="n">
        <v>1.360399842262268</v>
      </c>
      <c r="F136" s="13" t="n">
        <v>0.2080627454317005</v>
      </c>
      <c r="G136" s="33" t="n">
        <v>233.3943083800185</v>
      </c>
    </row>
    <row r="137">
      <c r="A137" s="52" t="inlineStr">
        <is>
          <t>2026-05-03</t>
        </is>
      </c>
      <c r="B137" s="39" t="n">
        <v>9042</v>
      </c>
      <c r="C137" s="30" t="n">
        <v>111.6800003051758</v>
      </c>
      <c r="D137" s="30" t="n">
        <v>227.5800018310547</v>
      </c>
      <c r="E137" s="53" t="n">
        <v>1.363499402999878</v>
      </c>
      <c r="F137" s="13" t="n">
        <v>0.2181197934426317</v>
      </c>
      <c r="G137" s="33" t="n">
        <v>216.4382612329804</v>
      </c>
    </row>
    <row r="138">
      <c r="A138" s="52" t="inlineStr">
        <is>
          <t>2026-05-10</t>
        </is>
      </c>
      <c r="B138" s="39" t="n">
        <v>9132</v>
      </c>
      <c r="C138" s="30" t="n">
        <v>108.8099975585938</v>
      </c>
      <c r="D138" s="30" t="n">
        <v>223.6100006103516</v>
      </c>
      <c r="E138" s="53" t="n">
        <v>1.332999229431152</v>
      </c>
      <c r="F138" s="13" t="n">
        <v>0.2155396581357367</v>
      </c>
      <c r="G138" s="33" t="n">
        <v>217.4969927432508</v>
      </c>
    </row>
    <row r="139">
      <c r="A139" s="52" t="inlineStr">
        <is>
          <t>2026-05-17</t>
        </is>
      </c>
      <c r="B139" s="39" t="n">
        <v>9326</v>
      </c>
      <c r="C139" s="30" t="n">
        <v>110.9400024414062</v>
      </c>
      <c r="D139" s="30" t="n">
        <v>212.5800018310547</v>
      </c>
      <c r="E139" s="53" t="n">
        <v>1.344100475311279</v>
      </c>
      <c r="F139" s="13" t="n">
        <v>0.2137131040208542</v>
      </c>
      <c r="G139" s="33" t="n">
        <v>235.5881367819547</v>
      </c>
    </row>
    <row r="140">
      <c r="A140" s="52" t="inlineStr">
        <is>
          <t>2026-05-24</t>
        </is>
      </c>
      <c r="B140" s="39" t="n">
        <v>9022</v>
      </c>
      <c r="C140" s="30" t="n">
        <v>106.1999969482422</v>
      </c>
      <c r="D140" s="30" t="n">
        <v>232</v>
      </c>
      <c r="E140" s="53" t="n">
        <v>1.34540069103241</v>
      </c>
      <c r="F140" s="13" t="n">
        <v>0.2115714065289649</v>
      </c>
      <c r="G140" s="33" t="n">
        <v>209.0331486684324</v>
      </c>
    </row>
    <row r="141">
      <c r="A141" s="52" t="inlineStr">
        <is>
          <t>2026-05-31</t>
        </is>
      </c>
      <c r="B141" s="39" t="n">
        <v>9384</v>
      </c>
      <c r="C141" s="30" t="n">
        <v>100.25</v>
      </c>
      <c r="D141" s="30" t="n">
        <v>245.4700012207031</v>
      </c>
      <c r="E141" s="53" t="n">
        <v>1.334400773048401</v>
      </c>
      <c r="F141" s="13" t="n">
        <v>0.1938718363993848</v>
      </c>
      <c r="G141" s="33" t="n">
        <v>203.8095534022724</v>
      </c>
    </row>
    <row r="142">
      <c r="A142" s="52" t="inlineStr">
        <is>
          <t>2026-06-07</t>
        </is>
      </c>
      <c r="B142" s="39" t="n">
        <v>9010</v>
      </c>
      <c r="C142" s="30" t="n">
        <v>102.5299987792969</v>
      </c>
      <c r="D142" s="30" t="n">
        <v>255.6199951171875</v>
      </c>
      <c r="E142" s="53" t="n">
        <v>1.341000318527222</v>
      </c>
      <c r="F142" s="13" t="n">
        <v>0.2057882032630078</v>
      </c>
      <c r="G142" s="33" t="n">
        <v>188.8458858703845</v>
      </c>
    </row>
    <row r="143">
      <c r="A143" s="52" t="inlineStr">
        <is>
          <t>2026-06-14</t>
        </is>
      </c>
      <c r="B143" s="39" t="n">
        <v>8460</v>
      </c>
      <c r="C143" s="30" t="n">
        <v>101.1900024414062</v>
      </c>
      <c r="D143" s="30" t="n">
        <v>241.1600036621094</v>
      </c>
      <c r="E143" s="53" t="n">
        <v>1.327300310134888</v>
      </c>
      <c r="F143" s="13" t="n">
        <v>0.2188470482231473</v>
      </c>
      <c r="G143" s="33" t="n">
        <v>186.0299867904252</v>
      </c>
    </row>
    <row r="144">
      <c r="A144" s="52" t="inlineStr">
        <is>
          <t>2026-06-21</t>
        </is>
      </c>
      <c r="B144" s="39" t="n">
        <v>8062</v>
      </c>
      <c r="C144" s="30" t="n">
        <v>99.48999786376953</v>
      </c>
      <c r="D144" s="30" t="n">
        <v>221.2899932861328</v>
      </c>
      <c r="E144" s="53" t="n">
        <v>1.320199966430664</v>
      </c>
      <c r="F144" s="13" t="n">
        <v>0.2273316434710476</v>
      </c>
      <c r="G144" s="33" t="n">
        <v>192.1628422485122</v>
      </c>
    </row>
    <row r="145">
      <c r="A145" s="52" t="inlineStr">
        <is>
          <t>2026-06-28</t>
        </is>
      </c>
      <c r="B145" s="39" t="n">
        <v>8670</v>
      </c>
      <c r="C145" s="30" t="n">
        <v>93.51999664306641</v>
      </c>
      <c r="D145" s="30" t="n">
        <v>231.7400054931641</v>
      </c>
      <c r="E145" s="53" t="n">
        <v>1.339200854301453</v>
      </c>
      <c r="F145" s="13" t="n">
        <v>0.196166060965063</v>
      </c>
      <c r="G145" s="33" t="n">
        <v>200.1762182957983</v>
      </c>
    </row>
    <row r="146">
      <c r="A146" s="52" t="inlineStr">
        <is>
          <t>2026-07-05</t>
        </is>
      </c>
      <c r="B146" s="39" t="n">
        <v>8908</v>
      </c>
      <c r="C146" s="30" t="n">
        <v>102.7900009155273</v>
      </c>
      <c r="D146" s="30" t="n">
        <v>250.0899963378906</v>
      </c>
      <c r="E146" s="53" t="n">
        <v>1.340299367904663</v>
      </c>
      <c r="F146" s="13" t="n">
        <v>0.209978662747912</v>
      </c>
      <c r="G146" s="33" t="n">
        <v>190.7367503152862</v>
      </c>
    </row>
    <row r="147">
      <c r="A147" s="52" t="inlineStr">
        <is>
          <t>2026-07-12</t>
        </is>
      </c>
      <c r="B147" s="39" t="n">
        <v>8978</v>
      </c>
      <c r="C147" s="30" t="n">
        <v>97.86000061035156</v>
      </c>
      <c r="D147" s="30" t="n">
        <v>247.1100006103516</v>
      </c>
      <c r="E147" s="53" t="n">
        <v>1.344499826431274</v>
      </c>
      <c r="F147" s="13" t="n">
        <v>0.1980132192552568</v>
      </c>
      <c r="G147" s="33" t="n">
        <v>195.1635493787829</v>
      </c>
    </row>
    <row r="148">
      <c r="A148" s="52" t="inlineStr">
        <is>
          <t>2026-07-19</t>
        </is>
      </c>
      <c r="B148" s="39" t="n">
        <v>8774</v>
      </c>
      <c r="C148" s="30" t="n">
        <v>99.90000152587891</v>
      </c>
      <c r="D148" s="30" t="n">
        <v>258.0899963378906</v>
      </c>
      <c r="E148" s="53" t="n">
        <v>1.332100749015808</v>
      </c>
      <c r="F148" s="13" t="n">
        <v>0.2090662908839105</v>
      </c>
      <c r="G148" s="33" t="n">
        <v>180.9306774140697</v>
      </c>
    </row>
    <row r="149">
      <c r="A149" s="52" t="inlineStr">
        <is>
          <t>2026-07-26</t>
        </is>
      </c>
      <c r="B149" s="39" t="n">
        <v>8398</v>
      </c>
      <c r="C149" s="30" t="n">
        <v>99.83000183105469</v>
      </c>
      <c r="D149" s="30" t="n">
        <v>254.3600006103516</v>
      </c>
      <c r="E149" s="53" t="n">
        <v>1.34839940071106</v>
      </c>
      <c r="F149" s="13" t="n">
        <v>0.215945758216057</v>
      </c>
      <c r="G149" s="33" t="n">
        <v>177.8665502290039</v>
      </c>
    </row>
    <row r="150">
      <c r="A150" s="52" t="inlineStr">
        <is>
          <t>2026-08-02</t>
        </is>
      </c>
      <c r="B150" s="39" t="n">
        <v>8920</v>
      </c>
      <c r="C150" s="30" t="n">
        <v>100.5</v>
      </c>
      <c r="D150" s="30" t="n">
        <v>263.2000122070312</v>
      </c>
      <c r="E150" s="53" t="n">
        <v>1.346799492835999</v>
      </c>
      <c r="F150" s="13" t="n">
        <v>0.2052116351143182</v>
      </c>
      <c r="G150" s="33" t="n">
        <v>182.3604148792122</v>
      </c>
    </row>
    <row r="151">
      <c r="A151" s="52" t="inlineStr">
        <is>
          <t>2026-08-09</t>
        </is>
      </c>
      <c r="B151" s="39" t="n">
        <v>8536</v>
      </c>
      <c r="C151" s="30" t="n">
        <v>102.620002746582</v>
      </c>
      <c r="D151" s="30" t="n">
        <v>285.5700073242188</v>
      </c>
      <c r="E151" s="53" t="n">
        <v>1.353000521659851</v>
      </c>
      <c r="F151" s="13" t="n">
        <v>0.2182780019428615</v>
      </c>
      <c r="G151" s="33" t="n">
        <v>161.580317023093</v>
      </c>
    </row>
    <row r="152">
      <c r="A152" s="52" t="inlineStr">
        <is>
          <t>2026-08-16</t>
        </is>
      </c>
      <c r="B152" s="39" t="n">
        <v>8602</v>
      </c>
      <c r="C152" s="30" t="n">
        <v>106.2900009155273</v>
      </c>
      <c r="D152" s="30" t="n">
        <v>283.489990234375</v>
      </c>
      <c r="E152" s="53" t="n">
        <v>1.364200592041016</v>
      </c>
      <c r="F152" s="13" t="n">
        <v>0.2228294370670036</v>
      </c>
      <c r="G152" s="33" t="n">
        <v>165.3821452344408</v>
      </c>
    </row>
    <row r="153">
      <c r="A153" s="52" t="inlineStr">
        <is>
          <t>2026-08-23</t>
        </is>
      </c>
      <c r="B153" s="39" t="n">
        <v>9000</v>
      </c>
      <c r="C153" s="30" t="n">
        <v>107.0400009155273</v>
      </c>
      <c r="D153" s="30" t="n">
        <v>299.9100036621094</v>
      </c>
      <c r="E153" s="53" t="n">
        <v>1.354899644851685</v>
      </c>
      <c r="F153" s="13" t="n">
        <v>0.2162632393848498</v>
      </c>
      <c r="G153" s="33" t="n">
        <v>162.4453799899936</v>
      </c>
    </row>
    <row r="154">
      <c r="A154" s="52" t="inlineStr">
        <is>
          <t>2026-08-30</t>
        </is>
      </c>
      <c r="B154" s="39" t="n">
        <v>8830</v>
      </c>
      <c r="C154" s="30" t="n">
        <v>108.870002746582</v>
      </c>
      <c r="D154" s="30" t="n">
        <v>308.9800109863281</v>
      </c>
      <c r="E154" s="53" t="n">
        <v>1.359099984169006</v>
      </c>
      <c r="F154" s="13" t="n">
        <v>0.2238265938088625</v>
      </c>
      <c r="G154" s="33" t="n">
        <v>155.1780909784675</v>
      </c>
    </row>
    <row r="155">
      <c r="A155" s="52" t="inlineStr">
        <is>
          <t>2026-09-06</t>
        </is>
      </c>
      <c r="B155" s="39" t="n">
        <v>8238</v>
      </c>
      <c r="C155" s="30" t="n">
        <v>106.1999969482422</v>
      </c>
      <c r="D155" s="30" t="n">
        <v>301.9599914550781</v>
      </c>
      <c r="E155" s="53" t="n">
        <v>1.353599429130554</v>
      </c>
      <c r="F155" s="13" t="n">
        <v>0.235319737222963</v>
      </c>
      <c r="G155" s="33" t="n">
        <v>147.5404908095569</v>
      </c>
    </row>
    <row r="156">
      <c r="A156" s="52" t="inlineStr">
        <is>
          <t>2026-09-13</t>
        </is>
      </c>
      <c r="B156" s="39" t="n">
        <v>8246</v>
      </c>
      <c r="C156" s="30" t="n">
        <v>101.4400024414062</v>
      </c>
      <c r="D156" s="30" t="n">
        <v>259.7099914550781</v>
      </c>
      <c r="E156" s="53" t="n">
        <v>1.33899998664856</v>
      </c>
      <c r="F156" s="13" t="n">
        <v>0.2273329053111093</v>
      </c>
      <c r="G156" s="33" t="n">
        <v>169.8571853715746</v>
      </c>
    </row>
    <row r="157">
      <c r="A157" s="52" t="inlineStr">
        <is>
          <t>2026-09-20</t>
        </is>
      </c>
      <c r="B157" s="39" t="n">
        <v>8200</v>
      </c>
      <c r="C157" s="30" t="n">
        <v>103.9700012207031</v>
      </c>
      <c r="D157" s="30" t="n">
        <v>283.8299865722656</v>
      </c>
      <c r="E157" s="53" t="n">
        <v>1.325200080871582</v>
      </c>
      <c r="F157" s="13" t="n">
        <v>0.2370946584185726</v>
      </c>
      <c r="G157" s="33" t="n">
        <v>152.9627586987674</v>
      </c>
    </row>
    <row r="158">
      <c r="A158" s="52" t="inlineStr">
        <is>
          <t>2026-09-27</t>
        </is>
      </c>
      <c r="B158" s="39" t="n">
        <v>8090</v>
      </c>
      <c r="C158" s="30" t="n">
        <v>101.1900024414062</v>
      </c>
      <c r="D158" s="30" t="n">
        <v>273.0799865722656</v>
      </c>
      <c r="E158" s="53" t="n">
        <v>1.324399828910828</v>
      </c>
      <c r="F158" s="13" t="n">
        <v>0.2343753799754173</v>
      </c>
      <c r="G158" s="33" t="n">
        <v>156.7568193359698</v>
      </c>
    </row>
    <row r="159">
      <c r="A159" s="52" t="inlineStr">
        <is>
          <t>2026-10-04</t>
        </is>
      </c>
      <c r="B159" s="39" t="n">
        <v>8694</v>
      </c>
      <c r="C159" s="30" t="n">
        <v>102.2200012207031</v>
      </c>
      <c r="D159" s="30" t="n">
        <v>266</v>
      </c>
      <c r="E159" s="53" t="n">
        <v>1.324299812316895</v>
      </c>
      <c r="F159" s="13" t="n">
        <v>0.2206509828991645</v>
      </c>
      <c r="G159" s="33" t="n">
        <v>172.9310565324599</v>
      </c>
    </row>
    <row r="160">
      <c r="A160" s="52" t="inlineStr">
        <is>
          <t>2026-10-11</t>
        </is>
      </c>
      <c r="B160" s="39" t="n">
        <v>8768</v>
      </c>
      <c r="C160" s="30" t="n">
        <v>111.0800018310547</v>
      </c>
      <c r="D160" s="30" t="n">
        <v>287.1799926757812</v>
      </c>
      <c r="E160" s="53" t="n">
        <v>1.329799652099609</v>
      </c>
      <c r="F160" s="13" t="n">
        <v>0.2371154781247387</v>
      </c>
      <c r="G160" s="33" t="n">
        <v>162.2113557651295</v>
      </c>
    </row>
    <row r="161">
      <c r="A161" s="52" t="inlineStr">
        <is>
          <t>2026-10-18</t>
        </is>
      </c>
      <c r="B161" s="39" t="n">
        <v>9510</v>
      </c>
      <c r="C161" s="30" t="n">
        <v>113.4899978637695</v>
      </c>
      <c r="D161" s="30" t="n">
        <v>301.6700134277344</v>
      </c>
      <c r="E161" s="53" t="n">
        <v>1.340392708778381</v>
      </c>
      <c r="F161" s="13" t="n">
        <v>0.2219175094995671</v>
      </c>
      <c r="G161" s="33" t="n">
        <v>168.8220265236977</v>
      </c>
    </row>
    <row r="162">
      <c r="A162" s="52" t="inlineStr">
        <is>
          <t>2026-10-23</t>
        </is>
      </c>
      <c r="B162" s="39" t="n">
        <v>9510</v>
      </c>
      <c r="C162" s="30" t="n">
        <v>122.5699996948242</v>
      </c>
      <c r="D162" s="30" t="n">
        <v>331.3200073242188</v>
      </c>
      <c r="E162" s="53" t="n">
        <v>1.337399005889893</v>
      </c>
      <c r="F162" s="13" t="n">
        <v>0.24046059766849</v>
      </c>
      <c r="G162" s="33" t="n">
        <v>153.3707455767087</v>
      </c>
    </row>
    <row r="164">
      <c r="A164" t="inlineStr">
        <is>
          <t>Tradeweb share count held at the latest 10-Q; LSEG share count interpolated between disclosed points. Prices: Yahoo Finance chart endpoint.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3" max="3"/>
  </cols>
  <sheetData>
    <row r="1">
      <c r="A1" s="1" t="inlineStr">
        <is>
          <t>LSEG – Trading comparables</t>
        </is>
      </c>
    </row>
    <row r="2">
      <c r="A2" t="inlineStr">
        <is>
          <t>Prices 20–23 Oct 2026; stockanalysis.com, accessed 25 Oct 2026. Forward P/E is the primary metric; trailing EV/EBITDA uses each provider's own EBITDA definition.</t>
        </is>
      </c>
    </row>
    <row r="4">
      <c r="A4" s="8" t="inlineStr">
        <is>
          <t>Company</t>
        </is>
      </c>
      <c r="B4" s="8" t="inlineStr">
        <is>
          <t>Ticker</t>
        </is>
      </c>
      <c r="C4" s="8" t="inlineStr">
        <is>
          <t>Peer group</t>
        </is>
      </c>
      <c r="D4" s="8" t="inlineStr">
        <is>
          <t>Ccy</t>
        </is>
      </c>
      <c r="E4" s="8" t="inlineStr">
        <is>
          <t>Mkt cap (bn)</t>
        </is>
      </c>
      <c r="F4" s="8" t="inlineStr">
        <is>
          <t>EV (bn)</t>
        </is>
      </c>
      <c r="G4" s="8" t="inlineStr">
        <is>
          <t>Fwd P/E</t>
        </is>
      </c>
      <c r="H4" s="8" t="inlineStr">
        <is>
          <t>EV/EBITDA TTM</t>
        </is>
      </c>
      <c r="I4" s="8" t="inlineStr">
        <is>
          <t>EBITDA margin</t>
        </is>
      </c>
    </row>
    <row r="5">
      <c r="A5" t="inlineStr">
        <is>
          <t>S&amp;P Global</t>
        </is>
      </c>
      <c r="B5" t="inlineStr">
        <is>
          <t>SPGI</t>
        </is>
      </c>
      <c r="C5" t="inlineStr">
        <is>
          <t>Data &amp; analytics</t>
        </is>
      </c>
      <c r="D5" t="inlineStr">
        <is>
          <t>USD</t>
        </is>
      </c>
      <c r="E5" s="17" t="n">
        <v>130.54</v>
      </c>
      <c r="F5" s="17" t="n">
        <v>142.16</v>
      </c>
      <c r="G5" s="23" t="n">
        <v>23.99</v>
      </c>
      <c r="H5" s="23" t="n">
        <v>17.46</v>
      </c>
      <c r="I5" s="14" t="n">
        <v>0.5051</v>
      </c>
    </row>
    <row r="6">
      <c r="A6" t="inlineStr">
        <is>
          <t>Moody's</t>
        </is>
      </c>
      <c r="B6" t="inlineStr">
        <is>
          <t>MCO</t>
        </is>
      </c>
      <c r="C6" t="inlineStr">
        <is>
          <t>Data &amp; analytics</t>
        </is>
      </c>
      <c r="D6" t="inlineStr">
        <is>
          <t>USD</t>
        </is>
      </c>
      <c r="E6" s="17" t="n">
        <v>83.36</v>
      </c>
      <c r="F6" s="17" t="n">
        <v>89.36</v>
      </c>
      <c r="G6" s="23" t="n">
        <v>26.83</v>
      </c>
      <c r="H6" s="23" t="n">
        <v>22.07</v>
      </c>
      <c r="I6" s="14" t="n">
        <v>0.4952</v>
      </c>
    </row>
    <row r="7">
      <c r="A7" t="inlineStr">
        <is>
          <t>MSCI</t>
        </is>
      </c>
      <c r="B7" t="inlineStr">
        <is>
          <t>MSCI</t>
        </is>
      </c>
      <c r="C7" t="inlineStr">
        <is>
          <t>Data &amp; analytics</t>
        </is>
      </c>
      <c r="D7" t="inlineStr">
        <is>
          <t>USD</t>
        </is>
      </c>
      <c r="E7" s="17" t="n">
        <v>44.02</v>
      </c>
      <c r="F7" s="17" t="n">
        <v>50.65</v>
      </c>
      <c r="G7" s="23" t="n">
        <v>28.41</v>
      </c>
      <c r="H7" s="23" t="n">
        <v>25.09</v>
      </c>
      <c r="I7" s="14" t="n">
        <v>0.5881</v>
      </c>
    </row>
    <row r="8">
      <c r="A8" t="inlineStr">
        <is>
          <t>FactSet</t>
        </is>
      </c>
      <c r="B8" t="inlineStr">
        <is>
          <t>FDS</t>
        </is>
      </c>
      <c r="C8" t="inlineStr">
        <is>
          <t>Data &amp; analytics</t>
        </is>
      </c>
      <c r="D8" t="inlineStr">
        <is>
          <t>USD</t>
        </is>
      </c>
      <c r="E8" s="17" t="n">
        <v>11.68</v>
      </c>
      <c r="F8" s="17" t="n">
        <v>12.96</v>
      </c>
      <c r="G8" s="23" t="n">
        <v>16.89</v>
      </c>
      <c r="H8" s="23" t="n">
        <v>14.39</v>
      </c>
      <c r="I8" s="14" t="n">
        <v>0.3636</v>
      </c>
    </row>
    <row r="9">
      <c r="A9" t="inlineStr">
        <is>
          <t>RELX</t>
        </is>
      </c>
      <c r="B9" t="inlineStr">
        <is>
          <t>REL.L</t>
        </is>
      </c>
      <c r="C9" t="inlineStr">
        <is>
          <t>Data &amp; analytics</t>
        </is>
      </c>
      <c r="D9" t="inlineStr">
        <is>
          <t>GBP</t>
        </is>
      </c>
      <c r="E9" s="17" t="n">
        <v>52.87</v>
      </c>
      <c r="F9" s="17" t="n">
        <v>61.57</v>
      </c>
      <c r="G9" s="23" t="n">
        <v>20.33</v>
      </c>
      <c r="H9" s="23" t="n">
        <v>18.26</v>
      </c>
      <c r="I9" s="14" t="n">
        <v>0.3387</v>
      </c>
    </row>
    <row r="10">
      <c r="A10" t="inlineStr">
        <is>
          <t>Experian</t>
        </is>
      </c>
      <c r="B10" t="inlineStr">
        <is>
          <t>EXPN.L</t>
        </is>
      </c>
      <c r="C10" t="inlineStr">
        <is>
          <t>Data &amp; analytics</t>
        </is>
      </c>
      <c r="D10" t="inlineStr">
        <is>
          <t>GBP</t>
        </is>
      </c>
      <c r="E10" s="17" t="n">
        <v>26.78</v>
      </c>
      <c r="F10" s="17" t="n">
        <v>30.79</v>
      </c>
      <c r="G10" s="23" t="n">
        <v>20.48</v>
      </c>
      <c r="H10" s="23" t="n">
        <v>15.84</v>
      </c>
      <c r="I10" s="14" t="n">
        <v>0.3008</v>
      </c>
    </row>
    <row r="11">
      <c r="A11" t="inlineStr">
        <is>
          <t>Intercontinental Exchange</t>
        </is>
      </c>
      <c r="B11" t="inlineStr">
        <is>
          <t>ICE</t>
        </is>
      </c>
      <c r="C11" t="inlineStr">
        <is>
          <t>Exchanges &amp; infrastructure</t>
        </is>
      </c>
      <c r="D11" t="inlineStr">
        <is>
          <t>USD</t>
        </is>
      </c>
      <c r="E11" s="17" t="n">
        <v>91.36</v>
      </c>
      <c r="F11" s="17" t="n">
        <v>110.82</v>
      </c>
      <c r="G11" s="23" t="n">
        <v>19.58</v>
      </c>
      <c r="H11" s="23" t="n">
        <v>16.51</v>
      </c>
      <c r="I11" s="14" t="n">
        <v>0.6359</v>
      </c>
    </row>
    <row r="12">
      <c r="A12" t="inlineStr">
        <is>
          <t>Nasdaq</t>
        </is>
      </c>
      <c r="B12" t="inlineStr">
        <is>
          <t>NDAQ</t>
        </is>
      </c>
      <c r="C12" t="inlineStr">
        <is>
          <t>Exchanges &amp; infrastructure</t>
        </is>
      </c>
      <c r="D12" t="inlineStr">
        <is>
          <t>USD</t>
        </is>
      </c>
      <c r="E12" s="17" t="n">
        <v>57.33</v>
      </c>
      <c r="F12" s="17" t="n">
        <v>66.03</v>
      </c>
      <c r="G12" s="23" t="n">
        <v>22.45</v>
      </c>
      <c r="H12" s="23" t="n">
        <v>18.92</v>
      </c>
      <c r="I12" s="14" t="n">
        <v>0.6036</v>
      </c>
    </row>
    <row r="13">
      <c r="A13" t="inlineStr">
        <is>
          <t>CME Group</t>
        </is>
      </c>
      <c r="B13" t="inlineStr">
        <is>
          <t>CME</t>
        </is>
      </c>
      <c r="C13" t="inlineStr">
        <is>
          <t>Exchanges &amp; infrastructure</t>
        </is>
      </c>
      <c r="D13" t="inlineStr">
        <is>
          <t>USD</t>
        </is>
      </c>
      <c r="E13" s="17" t="n">
        <v>109.42</v>
      </c>
      <c r="F13" s="17" t="n">
        <v>110.95</v>
      </c>
      <c r="G13" s="23" t="n">
        <v>23.62</v>
      </c>
      <c r="H13" s="23" t="n">
        <v>22.46</v>
      </c>
      <c r="I13" s="14" t="n">
        <v>0.7103</v>
      </c>
    </row>
    <row r="14">
      <c r="A14" t="inlineStr">
        <is>
          <t>Deutsche Börse</t>
        </is>
      </c>
      <c r="B14" t="inlineStr">
        <is>
          <t>DB1.DE</t>
        </is>
      </c>
      <c r="C14" t="inlineStr">
        <is>
          <t>Exchanges &amp; infrastructure</t>
        </is>
      </c>
      <c r="D14" t="inlineStr">
        <is>
          <t>EUR</t>
        </is>
      </c>
      <c r="E14" s="17" t="n">
        <v>55.6</v>
      </c>
      <c r="F14" s="17" t="n">
        <v>60.39</v>
      </c>
      <c r="G14" s="23" t="n">
        <v>23.49</v>
      </c>
      <c r="H14" s="23" t="n">
        <v>17.5</v>
      </c>
      <c r="I14" s="14" t="n">
        <v>0.4319</v>
      </c>
    </row>
    <row r="15">
      <c r="A15" t="inlineStr">
        <is>
          <t>Euronext</t>
        </is>
      </c>
      <c r="B15" t="inlineStr">
        <is>
          <t>ENX.PA</t>
        </is>
      </c>
      <c r="C15" t="inlineStr">
        <is>
          <t>Exchanges &amp; infrastructure</t>
        </is>
      </c>
      <c r="D15" t="inlineStr">
        <is>
          <t>EUR</t>
        </is>
      </c>
      <c r="E15" s="17" t="n">
        <v>17.71</v>
      </c>
      <c r="F15" s="17" t="n">
        <v>19.55</v>
      </c>
      <c r="G15" s="23" t="n">
        <v>18.93</v>
      </c>
      <c r="H15" s="23" t="n">
        <v>15.59</v>
      </c>
      <c r="I15" s="14" t="n">
        <v>0.5906</v>
      </c>
    </row>
    <row r="17">
      <c r="A17" s="12" t="inlineStr">
        <is>
          <t>Median – all peers</t>
        </is>
      </c>
      <c r="G17" s="44">
        <f>MEDIAN(G5:G15)</f>
        <v/>
      </c>
      <c r="H17" s="44">
        <f>MEDIAN(H5:H15)</f>
        <v/>
      </c>
      <c r="I17" s="13">
        <f>MEDIAN(I5:I15)</f>
        <v/>
      </c>
    </row>
    <row r="18">
      <c r="A18" s="12" t="inlineStr">
        <is>
          <t>Mean</t>
        </is>
      </c>
      <c r="G18" s="44">
        <f>AVERAGE(G5:G15)</f>
        <v/>
      </c>
      <c r="H18" s="44">
        <f>AVERAGE(H5:H15)</f>
        <v/>
      </c>
      <c r="I18" s="13">
        <f>AVERAGE(I5:I15)</f>
        <v/>
      </c>
    </row>
    <row r="19">
      <c r="A19" s="12" t="inlineStr">
        <is>
          <t>Max</t>
        </is>
      </c>
      <c r="G19" s="44">
        <f>MAX(G5:G15)</f>
        <v/>
      </c>
      <c r="H19" s="44">
        <f>MAX(H5:H15)</f>
        <v/>
      </c>
      <c r="I19" s="13">
        <f>MAX(I5:I15)</f>
        <v/>
      </c>
    </row>
    <row r="20">
      <c r="A20" s="12" t="inlineStr">
        <is>
          <t>Min</t>
        </is>
      </c>
      <c r="G20" s="44">
        <f>MIN(G5:G15)</f>
        <v/>
      </c>
      <c r="H20" s="44">
        <f>MIN(H5:H15)</f>
        <v/>
      </c>
      <c r="I20" s="13">
        <f>MIN(I5:I15)</f>
        <v/>
      </c>
    </row>
    <row r="22">
      <c r="A22" s="12" t="inlineStr">
        <is>
          <t>LSEG (same source)</t>
        </is>
      </c>
      <c r="E22" s="17" t="n">
        <v>45.57</v>
      </c>
      <c r="F22" s="17" t="n">
        <v>57.25</v>
      </c>
      <c r="G22" s="23" t="n">
        <v>18.39</v>
      </c>
      <c r="H22" s="23" t="n">
        <v>17.4</v>
      </c>
    </row>
    <row r="23">
      <c r="A23" t="inlineStr">
        <is>
          <t>LSEG discount to peer median (fwd P/E)</t>
        </is>
      </c>
      <c r="G23" s="13">
        <f>G22/G17-1</f>
        <v/>
      </c>
    </row>
    <row r="24">
      <c r="A24" t="inlineStr">
        <is>
          <t>LSEG price on same source (p)</t>
        </is>
      </c>
      <c r="B24" s="15" t="n">
        <v>9490</v>
      </c>
    </row>
    <row r="25">
      <c r="A25" s="12" t="inlineStr">
        <is>
          <t>Implied value at peer median fwd P/E (p)</t>
        </is>
      </c>
      <c r="B25" s="39">
        <f>B24*G17/G22</f>
        <v/>
      </c>
    </row>
    <row r="28">
      <c r="A28" s="12" t="inlineStr">
        <is>
          <t>SEC EDGAR cross-check (US peers, latest 10-K, audited GAAP)</t>
        </is>
      </c>
    </row>
    <row r="29">
      <c r="A29" s="8" t="inlineStr">
        <is>
          <t>Ticker</t>
        </is>
      </c>
      <c r="B29" s="8" t="inlineStr">
        <is>
          <t>FY end</t>
        </is>
      </c>
      <c r="C29" s="8" t="inlineStr">
        <is>
          <t>Revenue ($m)</t>
        </is>
      </c>
      <c r="D29" s="8" t="inlineStr">
        <is>
          <t>Operating income ($m)</t>
        </is>
      </c>
      <c r="E29" s="8" t="inlineStr">
        <is>
          <t>Operating margin</t>
        </is>
      </c>
      <c r="F29" s="8" t="inlineStr">
        <is>
          <t>Net income ($m)</t>
        </is>
      </c>
      <c r="G29" s="8" t="inlineStr">
        <is>
          <t>Diluted EPS ($)</t>
        </is>
      </c>
      <c r="H29" s="8" t="inlineStr">
        <is>
          <t>Cash ($m)</t>
        </is>
      </c>
      <c r="I29" s="8" t="inlineStr">
        <is>
          <t>Debt ($m)</t>
        </is>
      </c>
    </row>
    <row r="30">
      <c r="A30" t="inlineStr">
        <is>
          <t>SPGI</t>
        </is>
      </c>
      <c r="B30" t="inlineStr">
        <is>
          <t>2025-12-31</t>
        </is>
      </c>
      <c r="C30" s="27" t="n">
        <v>15336</v>
      </c>
      <c r="D30" s="27" t="n">
        <v>6478</v>
      </c>
      <c r="E30" s="13">
        <f>D30/C30</f>
        <v/>
      </c>
      <c r="F30" s="27" t="n">
        <v>4471</v>
      </c>
      <c r="G30" s="30" t="n">
        <v>14.66</v>
      </c>
      <c r="H30" s="27" t="n">
        <v>1745</v>
      </c>
      <c r="I30" s="27" t="n">
        <v>13088</v>
      </c>
    </row>
    <row r="31">
      <c r="A31" t="inlineStr">
        <is>
          <t>MCO</t>
        </is>
      </c>
      <c r="B31" t="inlineStr">
        <is>
          <t>2025-12-31</t>
        </is>
      </c>
      <c r="C31" s="27" t="n">
        <v>7718</v>
      </c>
      <c r="D31" s="27" t="n">
        <v>3351</v>
      </c>
      <c r="E31" s="13">
        <f>D31/C31</f>
        <v/>
      </c>
      <c r="F31" s="27" t="n">
        <v>2459</v>
      </c>
      <c r="G31" s="30" t="n">
        <v>13.67</v>
      </c>
      <c r="H31" s="27" t="n">
        <v>2384</v>
      </c>
      <c r="I31" s="27" t="n">
        <v>6994</v>
      </c>
    </row>
    <row r="32">
      <c r="A32" t="inlineStr">
        <is>
          <t>MSCI</t>
        </is>
      </c>
      <c r="B32" t="inlineStr">
        <is>
          <t>2025-12-31</t>
        </is>
      </c>
      <c r="C32" s="27" t="n">
        <v>3134.459</v>
      </c>
      <c r="D32" s="27" t="n">
        <v>1713.567</v>
      </c>
      <c r="E32" s="13">
        <f>D32/C32</f>
        <v/>
      </c>
      <c r="F32" s="27" t="n">
        <v>1202.305</v>
      </c>
      <c r="G32" s="30" t="n">
        <v>15.69</v>
      </c>
      <c r="H32" s="27" t="n">
        <v>515.332</v>
      </c>
      <c r="I32" s="27" t="n">
        <v>6202.286</v>
      </c>
    </row>
    <row r="33">
      <c r="A33" t="inlineStr">
        <is>
          <t>FDS</t>
        </is>
      </c>
      <c r="B33" t="inlineStr">
        <is>
          <t>2026-08-31</t>
        </is>
      </c>
      <c r="C33" s="27" t="n">
        <v>2476.256</v>
      </c>
      <c r="D33" s="27" t="n">
        <v>699.957</v>
      </c>
      <c r="E33" s="13">
        <f>D33/C33</f>
        <v/>
      </c>
      <c r="F33" s="27" t="n">
        <v>533.481</v>
      </c>
      <c r="G33" s="30" t="n">
        <v>14.57</v>
      </c>
      <c r="H33" s="27" t="n">
        <v>233.339</v>
      </c>
      <c r="I33" s="27" t="n">
        <v>1370.022</v>
      </c>
    </row>
    <row r="34">
      <c r="A34" t="inlineStr">
        <is>
          <t>ICE</t>
        </is>
      </c>
      <c r="B34" t="inlineStr">
        <is>
          <t>2025-12-31</t>
        </is>
      </c>
      <c r="C34" s="27" t="n">
        <v>12640</v>
      </c>
      <c r="D34" s="27" t="n">
        <v>4929</v>
      </c>
      <c r="E34" s="13">
        <f>D34/C34</f>
        <v/>
      </c>
      <c r="F34" s="27" t="n">
        <v>3315</v>
      </c>
      <c r="G34" s="30" t="n">
        <v>5.77</v>
      </c>
      <c r="H34" s="27" t="n">
        <v>837</v>
      </c>
      <c r="I34" s="27" t="n">
        <v>19644</v>
      </c>
    </row>
    <row r="35">
      <c r="A35" t="inlineStr">
        <is>
          <t>NDAQ</t>
        </is>
      </c>
      <c r="B35" t="inlineStr">
        <is>
          <t>2025-12-31</t>
        </is>
      </c>
      <c r="C35" s="27" t="n">
        <v>8262</v>
      </c>
      <c r="D35" s="27" t="n">
        <v>2331</v>
      </c>
      <c r="E35" s="13">
        <f>D35/C35</f>
        <v/>
      </c>
      <c r="F35" s="27" t="n">
        <v>1788</v>
      </c>
      <c r="G35" s="30" t="n">
        <v>3.09</v>
      </c>
      <c r="H35" s="27" t="n">
        <v>604</v>
      </c>
      <c r="I35" s="27" t="n">
        <v>9004</v>
      </c>
    </row>
    <row r="36">
      <c r="A36" t="inlineStr">
        <is>
          <t>CME</t>
        </is>
      </c>
      <c r="B36" t="inlineStr">
        <is>
          <t>2025-12-31</t>
        </is>
      </c>
      <c r="C36" s="27" t="n">
        <v>6520.6</v>
      </c>
      <c r="D36" s="27" t="n">
        <v>4229.5</v>
      </c>
      <c r="E36" s="13">
        <f>D36/C36</f>
        <v/>
      </c>
      <c r="F36" s="27" t="n">
        <v>4072.2</v>
      </c>
      <c r="G36" s="30" t="n">
        <v>11.16</v>
      </c>
      <c r="H36" s="27" t="n">
        <v>4416.9</v>
      </c>
      <c r="I36" s="27" t="n"/>
    </row>
    <row r="37">
      <c r="A37" t="inlineStr">
        <is>
          <t>TW</t>
        </is>
      </c>
      <c r="B37" t="inlineStr">
        <is>
          <t>2025-12-31</t>
        </is>
      </c>
      <c r="C37" s="27" t="n">
        <v>2052.429</v>
      </c>
      <c r="D37" s="27" t="n">
        <v>835.338</v>
      </c>
      <c r="E37" s="13">
        <f>D37/C37</f>
        <v/>
      </c>
      <c r="F37" s="27" t="n">
        <v>812.792</v>
      </c>
      <c r="G37" s="30" t="n">
        <v>3.78</v>
      </c>
      <c r="H37" s="27" t="n">
        <v>2084.739</v>
      </c>
      <c r="I37" s="27" t="n"/>
    </row>
    <row r="38">
      <c r="A38" t="inlineStr">
        <is>
          <t>Source: data.sec.gov XBRL company facts, refreshed weekly by GitHub Actions (common/edgar.py). D&amp;A not used: XBRL tagging differs across filers.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LSEG – Model vs company-compiled consensus</t>
        </is>
      </c>
    </row>
    <row r="2">
      <c r="A2" t="inlineStr">
        <is>
          <t>Consensus: LSEG IR, 13 Oct 2026 (12 analysts), before the Octus deal and Q3 upgrade. Model income shown ex-Octus.</t>
        </is>
      </c>
    </row>
    <row r="4">
      <c r="A4" s="8" t="inlineStr">
        <is>
          <t>Line</t>
        </is>
      </c>
      <c r="B4" s="8" t="inlineStr">
        <is>
          <t>Model 2026</t>
        </is>
      </c>
      <c r="C4" s="8" t="inlineStr">
        <is>
          <t>Model 2027</t>
        </is>
      </c>
      <c r="D4" s="8" t="inlineStr">
        <is>
          <t>Model 2028</t>
        </is>
      </c>
      <c r="E4" s="8" t="inlineStr">
        <is>
          <t>Cons 2026</t>
        </is>
      </c>
      <c r="F4" s="8" t="inlineStr">
        <is>
          <t>Cons 2027</t>
        </is>
      </c>
      <c r="G4" s="8" t="inlineStr">
        <is>
          <t>Cons 2028</t>
        </is>
      </c>
      <c r="H4" s="8" t="inlineStr">
        <is>
          <t>Diff 2026</t>
        </is>
      </c>
      <c r="I4" s="8" t="inlineStr">
        <is>
          <t>Diff 2027</t>
        </is>
      </c>
      <c r="J4" s="8" t="inlineStr">
        <is>
          <t>Diff 2028</t>
        </is>
      </c>
    </row>
    <row r="5">
      <c r="A5" t="inlineStr">
        <is>
          <t>Data &amp; Analytics</t>
        </is>
      </c>
      <c r="B5" s="28">
        <f>Divisions!F16-Divisions!F15</f>
        <v/>
      </c>
      <c r="C5" s="28">
        <f>Divisions!G16-Divisions!G15</f>
        <v/>
      </c>
      <c r="D5" s="28">
        <f>Divisions!H16-Divisions!H15</f>
        <v/>
      </c>
      <c r="E5" s="19" t="n">
        <v>4143</v>
      </c>
      <c r="F5" s="19" t="n">
        <v>4394</v>
      </c>
      <c r="G5" s="19" t="n">
        <v>4649</v>
      </c>
      <c r="H5" s="13">
        <f>B5/E5-1</f>
        <v/>
      </c>
      <c r="I5" s="13">
        <f>C5/F5-1</f>
        <v/>
      </c>
      <c r="J5" s="13">
        <f>D5/G5-1</f>
        <v/>
      </c>
    </row>
    <row r="6">
      <c r="A6" t="inlineStr">
        <is>
          <t>FTSE Russell</t>
        </is>
      </c>
      <c r="B6" s="28">
        <f>Divisions!F23</f>
        <v/>
      </c>
      <c r="C6" s="28">
        <f>Divisions!G23</f>
        <v/>
      </c>
      <c r="D6" s="28">
        <f>Divisions!H23</f>
        <v/>
      </c>
      <c r="E6" s="19" t="n">
        <v>1035</v>
      </c>
      <c r="F6" s="19" t="n">
        <v>1130</v>
      </c>
      <c r="G6" s="19" t="n">
        <v>1226</v>
      </c>
      <c r="H6" s="13">
        <f>B6/E6-1</f>
        <v/>
      </c>
      <c r="I6" s="13">
        <f>C6/F6-1</f>
        <v/>
      </c>
      <c r="J6" s="13">
        <f>D6/G6-1</f>
        <v/>
      </c>
    </row>
    <row r="7">
      <c r="A7" t="inlineStr">
        <is>
          <t>Risk Intelligence</t>
        </is>
      </c>
      <c r="B7" s="28">
        <f>Divisions!F27</f>
        <v/>
      </c>
      <c r="C7" s="28">
        <f>Divisions!G27</f>
        <v/>
      </c>
      <c r="D7" s="28">
        <f>Divisions!H27</f>
        <v/>
      </c>
      <c r="E7" s="19" t="n">
        <v>632</v>
      </c>
      <c r="F7" s="19" t="n">
        <v>701</v>
      </c>
      <c r="G7" s="19" t="n">
        <v>775</v>
      </c>
      <c r="H7" s="13">
        <f>B7/E7-1</f>
        <v/>
      </c>
      <c r="I7" s="13">
        <f>C7/F7-1</f>
        <v/>
      </c>
      <c r="J7" s="13">
        <f>D7/G7-1</f>
        <v/>
      </c>
    </row>
    <row r="8">
      <c r="A8" t="inlineStr">
        <is>
          <t>Markets</t>
        </is>
      </c>
      <c r="B8" s="28">
        <f>Divisions!F41</f>
        <v/>
      </c>
      <c r="C8" s="28">
        <f>Divisions!G41</f>
        <v/>
      </c>
      <c r="D8" s="28">
        <f>Divisions!H41</f>
        <v/>
      </c>
      <c r="E8" s="19" t="n">
        <v>3804</v>
      </c>
      <c r="F8" s="19" t="n">
        <v>4091</v>
      </c>
      <c r="G8" s="19" t="n">
        <v>4380</v>
      </c>
      <c r="H8" s="13">
        <f>B8/E8-1</f>
        <v/>
      </c>
      <c r="I8" s="13">
        <f>C8/F8-1</f>
        <v/>
      </c>
      <c r="J8" s="13">
        <f>D8/G8-1</f>
        <v/>
      </c>
    </row>
    <row r="9">
      <c r="A9" t="inlineStr">
        <is>
          <t>Total income excl. recoveries</t>
        </is>
      </c>
      <c r="B9" s="28">
        <f>Divisions!F48-Divisions!F15</f>
        <v/>
      </c>
      <c r="C9" s="28">
        <f>Divisions!G48-Divisions!G15</f>
        <v/>
      </c>
      <c r="D9" s="28">
        <f>Divisions!H48-Divisions!H15</f>
        <v/>
      </c>
      <c r="E9" s="19" t="n">
        <v>9622</v>
      </c>
      <c r="F9" s="19" t="n">
        <v>10324</v>
      </c>
      <c r="G9" s="19" t="n">
        <v>11038</v>
      </c>
      <c r="H9" s="13">
        <f>B9/E9-1</f>
        <v/>
      </c>
      <c r="I9" s="13">
        <f>C9/F9-1</f>
        <v/>
      </c>
      <c r="J9" s="13">
        <f>D9/G9-1</f>
        <v/>
      </c>
    </row>
    <row r="10">
      <c r="A10" t="inlineStr">
        <is>
          <t>Adjusted EBITDA</t>
        </is>
      </c>
      <c r="B10" s="28">
        <f>Model!F10</f>
        <v/>
      </c>
      <c r="C10" s="28">
        <f>Model!G10</f>
        <v/>
      </c>
      <c r="D10" s="28">
        <f>Model!H10</f>
        <v/>
      </c>
      <c r="E10" s="19" t="n">
        <v>4972</v>
      </c>
      <c r="F10" s="19" t="n">
        <v>5388</v>
      </c>
      <c r="G10" s="19" t="n">
        <v>5821</v>
      </c>
      <c r="H10" s="13">
        <f>B10/E10-1</f>
        <v/>
      </c>
      <c r="I10" s="13">
        <f>C10/F10-1</f>
        <v/>
      </c>
      <c r="J10" s="13">
        <f>D10/G10-1</f>
        <v/>
      </c>
    </row>
    <row r="11">
      <c r="A11" t="inlineStr">
        <is>
          <t>Adjusted EPS (p)</t>
        </is>
      </c>
      <c r="B11" s="5">
        <f>Model!F20</f>
        <v/>
      </c>
      <c r="C11" s="5">
        <f>Model!G20</f>
        <v/>
      </c>
      <c r="D11" s="5">
        <f>Model!H20</f>
        <v/>
      </c>
      <c r="E11" s="42" t="n">
        <v>480.6</v>
      </c>
      <c r="F11" s="42" t="n">
        <v>550.9</v>
      </c>
      <c r="G11" s="42" t="n">
        <v>615.5</v>
      </c>
      <c r="H11" s="13">
        <f>B11/E11-1</f>
        <v/>
      </c>
      <c r="I11" s="13">
        <f>C11/F11-1</f>
        <v/>
      </c>
      <c r="J11" s="13">
        <f>D11/G11-1</f>
        <v/>
      </c>
    </row>
    <row r="12">
      <c r="A12" t="inlineStr">
        <is>
          <t>DPS (p)</t>
        </is>
      </c>
      <c r="B12" s="5">
        <f>Model!F45</f>
        <v/>
      </c>
      <c r="C12" s="5">
        <f>Model!G45</f>
        <v/>
      </c>
      <c r="D12" s="5">
        <f>Model!H45</f>
        <v/>
      </c>
      <c r="E12" s="42" t="n">
        <v>167.3</v>
      </c>
      <c r="F12" s="42" t="n">
        <v>189.4</v>
      </c>
      <c r="G12" s="42" t="n">
        <v>209.9</v>
      </c>
      <c r="H12" s="13">
        <f>B12/E12-1</f>
        <v/>
      </c>
      <c r="I12" s="13">
        <f>C12/F12-1</f>
        <v/>
      </c>
      <c r="J12" s="13">
        <f>D12/G12-1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LSEG – What is priced in (reverse DCF)</t>
        </is>
      </c>
    </row>
    <row r="2">
      <c r="A2" t="inlineStr">
        <is>
          <t>Snapshot from lseg/engine.py: each row moves one driver (base case otherwise) until DCF value = share price.</t>
        </is>
      </c>
    </row>
    <row r="4">
      <c r="A4" s="8" t="inlineStr">
        <is>
          <t>Driver (2027–2030)</t>
        </is>
      </c>
      <c r="B4" s="8" t="inlineStr">
        <is>
          <t>Base case</t>
        </is>
      </c>
      <c r="C4" s="8" t="inlineStr">
        <is>
          <t>Implied by share price</t>
        </is>
      </c>
      <c r="D4" s="8" t="inlineStr">
        <is>
          <t>Change needed</t>
        </is>
      </c>
      <c r="E4" s="8" t="inlineStr">
        <is>
          <t>Context</t>
        </is>
      </c>
    </row>
    <row r="5">
      <c r="A5" t="inlineStr">
        <is>
          <t>Revenue retention</t>
        </is>
      </c>
      <c r="B5" s="54" t="n">
        <v>0.928</v>
      </c>
      <c r="C5" s="54" t="n">
        <v>0.9344941986312065</v>
      </c>
      <c r="D5" s="54" t="n">
        <v>0.006494198631206427</v>
      </c>
      <c r="E5" t="inlineStr">
        <is>
          <t>Lowest disclosed level is 92.4% (Dec 2025)</t>
        </is>
      </c>
    </row>
    <row r="6">
      <c r="A6" t="inlineStr">
        <is>
          <t>Markets volume growth, all drivers (shown on 2028 ADV growth)</t>
        </is>
      </c>
      <c r="B6" s="54" t="n">
        <v>0.05</v>
      </c>
      <c r="C6" s="54" t="n">
        <v>0.05975275258266939</v>
      </c>
      <c r="D6" s="54" t="n">
        <v>0.009752752582669388</v>
      </c>
      <c r="E6" t="inlineStr">
        <is>
          <t>Volumes shrink in real terms after a flat 2027</t>
        </is>
      </c>
    </row>
    <row r="7">
      <c r="A7" t="inlineStr">
        <is>
          <t>Divisional margin change per year</t>
        </is>
      </c>
      <c r="B7" s="54" t="n">
        <v>0</v>
      </c>
      <c r="C7" s="54" t="n">
        <v>0.001439110204782448</v>
      </c>
      <c r="D7" s="54" t="n">
        <v>0.001439110204782448</v>
      </c>
      <c r="E7" t="inlineStr">
        <is>
          <t>Margins falling every year from here</t>
        </is>
      </c>
    </row>
    <row r="8">
      <c r="A8" t="inlineStr">
        <is>
          <t>Terminal growth</t>
        </is>
      </c>
      <c r="B8" s="54" t="n">
        <v>0.03</v>
      </c>
      <c r="C8" s="54" t="n">
        <v>0.03072432327202288</v>
      </c>
      <c r="D8" s="54" t="n">
        <v>0.0007243232720228823</v>
      </c>
      <c r="E8" t="inlineStr">
        <is>
          <t>Below UK nominal GDP</t>
        </is>
      </c>
    </row>
    <row r="11">
      <c r="A11" s="12" t="inlineStr">
        <is>
          <t>DCF value (p) vs revenue retention, base case otherwise</t>
        </is>
      </c>
    </row>
    <row r="12">
      <c r="A12" t="inlineStr">
        <is>
          <t>Retention (2027–2030)</t>
        </is>
      </c>
      <c r="B12" s="54" t="n">
        <v>0.88</v>
      </c>
      <c r="C12" s="54" t="n">
        <v>0.89</v>
      </c>
      <c r="D12" s="54" t="n">
        <v>0.9</v>
      </c>
      <c r="E12" s="54" t="n">
        <v>0.91</v>
      </c>
      <c r="F12" s="54" t="n">
        <v>0.92</v>
      </c>
      <c r="G12" s="54" t="n">
        <v>0.928</v>
      </c>
      <c r="H12" s="54" t="n">
        <v>0.9350000000000001</v>
      </c>
    </row>
    <row r="13">
      <c r="A13" t="inlineStr">
        <is>
          <t>DCF value (p)</t>
        </is>
      </c>
      <c r="B13" s="39" t="n">
        <v>8200.889328601104</v>
      </c>
      <c r="C13" s="39" t="n">
        <v>8426.477442346864</v>
      </c>
      <c r="D13" s="39" t="n">
        <v>8658.503358007909</v>
      </c>
      <c r="E13" s="39" t="n">
        <v>8897.091056062101</v>
      </c>
      <c r="F13" s="39" t="n">
        <v>9142.365709973223</v>
      </c>
      <c r="G13" s="39" t="n">
        <v>9343.484919489012</v>
      </c>
      <c r="H13" s="39" t="n">
        <v>9523.092485887561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LSEG – Scenarios</t>
        </is>
      </c>
    </row>
    <row r="2">
      <c r="A2" t="inlineStr">
        <is>
          <t>Snapshot from the Python engine. Set Inputs!Scenario to 1/2/3 to reproduce any column live.</t>
        </is>
      </c>
    </row>
    <row r="4">
      <c r="A4" s="8" t="inlineStr"/>
      <c r="B4" s="8" t="inlineStr">
        <is>
          <t>Bear</t>
        </is>
      </c>
      <c r="C4" s="8" t="inlineStr">
        <is>
          <t>Base</t>
        </is>
      </c>
      <c r="D4" s="8" t="inlineStr">
        <is>
          <t>Bull</t>
        </is>
      </c>
    </row>
    <row r="5">
      <c r="A5" t="inlineStr">
        <is>
          <t>Probability</t>
        </is>
      </c>
      <c r="B5" s="13" t="n">
        <v>0.25</v>
      </c>
      <c r="C5" s="13" t="n">
        <v>0.5</v>
      </c>
      <c r="D5" s="13" t="n">
        <v>0.25</v>
      </c>
    </row>
    <row r="6">
      <c r="A6" t="inlineStr">
        <is>
          <t>Retention (2027+)</t>
        </is>
      </c>
      <c r="B6" s="13" t="n">
        <v>0.91</v>
      </c>
      <c r="C6" s="13" t="n">
        <v>0.928</v>
      </c>
      <c r="D6" s="13" t="n">
        <v>0.9350000000000001</v>
      </c>
    </row>
    <row r="7">
      <c r="A7" t="inlineStr">
        <is>
          <t>Markets volume growth adj.</t>
        </is>
      </c>
      <c r="B7" s="13" t="n">
        <v>-0.03</v>
      </c>
      <c r="C7" s="13" t="n">
        <v>0</v>
      </c>
      <c r="D7" s="13" t="n">
        <v>0.02</v>
      </c>
    </row>
    <row r="8">
      <c r="A8" t="inlineStr">
        <is>
          <t>ETF AUM growth adj.</t>
        </is>
      </c>
      <c r="B8" s="13" t="n">
        <v>-0.06</v>
      </c>
      <c r="C8" s="13" t="n">
        <v>0</v>
      </c>
      <c r="D8" s="13" t="n">
        <v>0.04</v>
      </c>
    </row>
    <row r="9">
      <c r="A9" t="inlineStr">
        <is>
          <t>Terminal growth</t>
        </is>
      </c>
      <c r="B9" s="13" t="n">
        <v>0.025</v>
      </c>
      <c r="C9" s="13" t="n">
        <v>0.03</v>
      </c>
      <c r="D9" s="13" t="n">
        <v>0.035</v>
      </c>
    </row>
    <row r="10">
      <c r="A10" t="inlineStr">
        <is>
          <t>2028E income</t>
        </is>
      </c>
      <c r="B10" s="27" t="n">
        <v>10184.02407456774</v>
      </c>
      <c r="C10" s="27" t="n">
        <v>10762.38939376294</v>
      </c>
      <c r="D10" s="27" t="n">
        <v>11043.90494711274</v>
      </c>
    </row>
    <row r="11">
      <c r="A11" t="inlineStr">
        <is>
          <t>2028E EBITDA margin</t>
        </is>
      </c>
      <c r="B11" s="13" t="n">
        <v>0.5107685144213289</v>
      </c>
      <c r="C11" s="13" t="n">
        <v>0.5190422491971218</v>
      </c>
      <c r="D11" s="13" t="n">
        <v>0.5233883481598264</v>
      </c>
    </row>
    <row r="12">
      <c r="A12" t="inlineStr">
        <is>
          <t>2028E adj EPS (p)</t>
        </is>
      </c>
      <c r="B12" s="38" t="n">
        <v>538.2991884287204</v>
      </c>
      <c r="C12" s="38" t="n">
        <v>585.5949087960627</v>
      </c>
      <c r="D12" s="38" t="n">
        <v>609.6672907494376</v>
      </c>
    </row>
    <row r="13">
      <c r="A13" t="inlineStr">
        <is>
          <t>DCF value (p)</t>
        </is>
      </c>
      <c r="B13" s="39" t="n">
        <v>6724.297310551282</v>
      </c>
      <c r="C13" s="39" t="n">
        <v>9343.484919489012</v>
      </c>
      <c r="D13" s="39" t="n">
        <v>11643.21941653556</v>
      </c>
    </row>
    <row r="14">
      <c r="A14" t="inlineStr">
        <is>
          <t>Upside</t>
        </is>
      </c>
      <c r="B14" s="13" t="n">
        <v>-0.2929235214982879</v>
      </c>
      <c r="C14" s="13" t="n">
        <v>-0.01750947218832677</v>
      </c>
      <c r="D14" s="13" t="n">
        <v>0.2243132930110996</v>
      </c>
    </row>
    <row r="16">
      <c r="A16" s="12" t="inlineStr">
        <is>
          <t>Probability-weighted value (p)</t>
        </is>
      </c>
      <c r="B16" s="39">
        <f>SUMPRODUCT(B5:D5,B13:D13)</f>
        <v/>
      </c>
    </row>
    <row r="17">
      <c r="A17" t="inlineStr">
        <is>
          <t>Probability-weighted upside</t>
        </is>
      </c>
      <c r="B17" s="13">
        <f>B16/Inputs!$C$18-1</f>
        <v/>
      </c>
    </row>
    <row r="19">
      <c r="A19" t="inlineStr">
        <is>
          <t>Bear: AI substitution lifts churn (retention 91.0%), terminals shrink faster, volumes and ETF flows normalise, NTI spread cut 20%, margins drift down.</t>
        </is>
      </c>
    </row>
    <row r="20">
      <c r="A20" t="inlineStr">
        <is>
          <t>Bull: data licensing into AI tools lifts retention to 93.5%, volumes stay firm, ETF AUM compounds, margin expansion continues.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6" customWidth="1" min="1" max="1"/>
  </cols>
  <sheetData>
    <row r="1">
      <c r="A1" s="1" t="inlineStr">
        <is>
          <t>Trade expression: long LSEG / short FactSet (considered and rejected)</t>
        </is>
      </c>
    </row>
    <row r="2">
      <c r="A2" t="inlineStr">
        <is>
          <t>Would isolate the AI-discount view and remove market beta. See the read below for why the outright long is preferred.</t>
        </is>
      </c>
    </row>
    <row r="5">
      <c r="A5" t="inlineStr">
        <is>
          <t>LSEG beta (5y)</t>
        </is>
      </c>
      <c r="B5" s="16" t="n">
        <v>0.41</v>
      </c>
    </row>
    <row r="6">
      <c r="A6" t="inlineStr">
        <is>
          <t>FactSet beta (5y)</t>
        </is>
      </c>
      <c r="B6" s="16" t="n">
        <v>0.77</v>
      </c>
    </row>
    <row r="7">
      <c r="A7" t="inlineStr">
        <is>
          <t>Beta-neutral hedge: £ FactSet short per £1 LSEG long</t>
        </is>
      </c>
      <c r="B7" s="30">
        <f>B5/B6</f>
        <v/>
      </c>
    </row>
    <row r="8">
      <c r="A8" t="inlineStr">
        <is>
          <t>LSEG forward P/E</t>
        </is>
      </c>
      <c r="B8" s="23" t="n">
        <v>18.39</v>
      </c>
    </row>
    <row r="9">
      <c r="A9" t="inlineStr">
        <is>
          <t>FactSet forward P/E</t>
        </is>
      </c>
      <c r="B9" s="23" t="n">
        <v>16.89</v>
      </c>
    </row>
    <row r="10">
      <c r="A10" t="inlineStr">
        <is>
          <t>LSEG premium to FactSet</t>
        </is>
      </c>
      <c r="B10" s="13">
        <f>B8/B9-1</f>
        <v/>
      </c>
    </row>
    <row r="11">
      <c r="A11" t="inlineStr">
        <is>
          <t>FactSet short interest (% float)</t>
        </is>
      </c>
      <c r="B11" s="14" t="n">
        <v>0.0905</v>
      </c>
    </row>
    <row r="12">
      <c r="A12" t="inlineStr">
        <is>
          <t>Share of LSEG income outside Data &amp; Analytics (2026E)</t>
        </is>
      </c>
      <c r="B12" s="13">
        <f>1-Divisions!F16/Divisions!F48</f>
        <v/>
      </c>
    </row>
    <row r="15">
      <c r="A15" t="inlineStr">
        <is>
          <t>Read: the pair has already worked. Since Jan 2024 LSEG has beaten FactSet by c.53% in GBP (Trackers sheet), and FactSet ASV grew 7% with retention above 95%.</t>
        </is>
      </c>
    </row>
    <row r="16">
      <c r="A16" t="inlineStr">
        <is>
          <t>Conclusion: prefer the outright long. FactSet short interest is c.9% of float, so the short leg carries squeeze risk with little valuation support left.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90" customWidth="1" min="2" max="2"/>
  </cols>
  <sheetData>
    <row r="1">
      <c r="A1" s="1" t="inlineStr">
        <is>
          <t>Sources</t>
        </is>
      </c>
    </row>
    <row r="3">
      <c r="A3" t="inlineStr">
        <is>
          <t>FY25</t>
        </is>
      </c>
      <c r="B3" t="inlineStr">
        <is>
          <t>LSEG 2025 Preliminary Results RNS, 26 Feb 2026</t>
        </is>
      </c>
    </row>
    <row r="4">
      <c r="A4" t="inlineStr">
        <is>
          <t>FY24</t>
        </is>
      </c>
      <c r="B4" t="inlineStr">
        <is>
          <t>LSEG 2024 Preliminary Results, 27 Feb 2025 (2023 comparatives)</t>
        </is>
      </c>
    </row>
    <row r="5">
      <c r="A5" t="inlineStr">
        <is>
          <t>H126</t>
        </is>
      </c>
      <c r="B5" t="inlineStr">
        <is>
          <t>LSEG H1 2026 Interim Report, 30 Jul 2026</t>
        </is>
      </c>
    </row>
    <row r="6">
      <c r="A6" t="inlineStr">
        <is>
          <t>Q326</t>
        </is>
      </c>
      <c r="B6" t="inlineStr">
        <is>
          <t>LSEG Q3 2026 Trading Update, Oct 2026</t>
        </is>
      </c>
    </row>
    <row r="7">
      <c r="A7" t="inlineStr">
        <is>
          <t>OCT</t>
        </is>
      </c>
      <c r="B7" t="inlineStr">
        <is>
          <t>Reuters via Euronext, 'LSEG to buy Octus in $3.5 billion deal', Oct 2026</t>
        </is>
      </c>
    </row>
    <row r="8">
      <c r="A8" t="inlineStr">
        <is>
          <t>PX</t>
        </is>
      </c>
      <c r="B8" t="inlineStr">
        <is>
          <t>Alpha Vantage quote LSEG.LON, close 23 Oct 2026</t>
        </is>
      </c>
    </row>
    <row r="9">
      <c r="A9" t="inlineStr">
        <is>
          <t>SA</t>
        </is>
      </c>
      <c r="B9" t="inlineStr">
        <is>
          <t>stockanalysis.com statistics pages, accessed 25 Oct 2026</t>
        </is>
      </c>
    </row>
    <row r="12">
      <c r="A12" t="inlineStr">
        <is>
          <t>Conventions: blue = input, black = formula, green = link to another sheet. Not investment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2026-10-25T22:39:16Z</dcterms:created>
  <dcterms:modified xmlns:dcterms="http://purl.org/dc/terms/" xmlns:xsi="http://www.w3.org/2001/XMLSchema-instance" xsi:type="dcterms:W3CDTF">2026-10-25T22:39:16Z</dcterms:modified>
</cp:coreProperties>
</file>