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Model" sheetId="3" state="visible" r:id="rId5"/>
    <sheet name="DCF" sheetId="4" state="visible" r:id="rId6"/>
    <sheet name="Scenarios" sheetId="5" state="visible" r:id="rId7"/>
    <sheet name="Sourc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<sst xmlns="http://schemas.openxmlformats.org/spreadsheetml/2006/main" count="304" uniqueCount="219">
  <si>
    <t xml:space="preserve">London Stock Exchange Group plc (LSEG.L)</t>
  </si>
  <si>
    <t xml:space="preserve">Long/short equity pitch kit – integrated three-statement model, DCF and scenarios</t>
  </si>
  <si>
    <t xml:space="preserve">Prepared by Tobenna Agubuche | github.com/Tobenna30/finance-models | Not investment advice</t>
  </si>
  <si>
    <t xml:space="preserve">Scenario selected</t>
  </si>
  <si>
    <t xml:space="preserve">Share price (p)</t>
  </si>
  <si>
    <t xml:space="preserve">DCF fair value (p)</t>
  </si>
  <si>
    <t xml:space="preserve">Upside / (downside)</t>
  </si>
  <si>
    <t xml:space="preserve">Probability-weighted fair value (p)</t>
  </si>
  <si>
    <t xml:space="preserve">2026E adj EPS (p)</t>
  </si>
  <si>
    <t xml:space="preserve">2027E P/E</t>
  </si>
  <si>
    <t xml:space="preserve">Net debt / EBITDA 2027E</t>
  </si>
  <si>
    <t xml:space="preserve">Balance sheet checks (sum, should be 0)</t>
  </si>
  <si>
    <t xml:space="preserve">LSEG – Model inputs</t>
  </si>
  <si>
    <t xml:space="preserve">Blue = hard-coded input. Tag: S = sourced, A = assumption, D = derived. £m unless stated.</t>
  </si>
  <si>
    <t xml:space="preserve">Input</t>
  </si>
  <si>
    <t xml:space="preserve">Unit</t>
  </si>
  <si>
    <t xml:space="preserve">Value</t>
  </si>
  <si>
    <t xml:space="preserve">Tag</t>
  </si>
  <si>
    <t xml:space="preserve">Source / note</t>
  </si>
  <si>
    <t xml:space="preserve">Scenario</t>
  </si>
  <si>
    <t xml:space="preserve">1/2/3</t>
  </si>
  <si>
    <t xml:space="preserve">A</t>
  </si>
  <si>
    <t xml:space="preserve">1 = Bear, 2 = Base, 3 = Bull. Change this cell to flex the whole model.</t>
  </si>
  <si>
    <t xml:space="preserve">Scenario growth adjustment (all divisions, all years)</t>
  </si>
  <si>
    <t xml:space="preserve">%</t>
  </si>
  <si>
    <t xml:space="preserve">Columns F/G/H = Bear/Base/Bull</t>
  </si>
  <si>
    <t xml:space="preserve">Scenario EBITDA margin adjustment (from 2027)</t>
  </si>
  <si>
    <t xml:space="preserve">Terminal growth</t>
  </si>
  <si>
    <t xml:space="preserve">Market data</t>
  </si>
  <si>
    <t xml:space="preserve">Share price</t>
  </si>
  <si>
    <t xml:space="preserve">p</t>
  </si>
  <si>
    <t xml:space="preserve">S</t>
  </si>
  <si>
    <t xml:space="preserve">Alpha Vantage quote LSEG.LON, close 23 Oct 2026</t>
  </si>
  <si>
    <t xml:space="preserve">GBPUSD</t>
  </si>
  <si>
    <t xml:space="preserve">$</t>
  </si>
  <si>
    <t xml:space="preserve">Q3 2026 guidance FX assumption</t>
  </si>
  <si>
    <t xml:space="preserve">Opening shares</t>
  </si>
  <si>
    <t xml:space="preserve">m</t>
  </si>
  <si>
    <t xml:space="preserve">Shares in issue excl. treasury, 31 Dec 2025 (FY25 RNS)</t>
  </si>
  <si>
    <t xml:space="preserve">Divisional growth (reported, base case)</t>
  </si>
  <si>
    <t xml:space="preserve">g Data &amp; Analytics</t>
  </si>
  <si>
    <t xml:space="preserve">Guided 2026 organic cc ≥8% group; FX drag c.1–1.5pp (H1/Q3 2026)</t>
  </si>
  <si>
    <t xml:space="preserve">g FTSE Russell</t>
  </si>
  <si>
    <t xml:space="preserve">g Risk Intelligence</t>
  </si>
  <si>
    <t xml:space="preserve">g Markets</t>
  </si>
  <si>
    <t xml:space="preserve">g Other</t>
  </si>
  <si>
    <t xml:space="preserve">Recoveries growth</t>
  </si>
  <si>
    <t xml:space="preserve">Margins, capex, D&amp;A</t>
  </si>
  <si>
    <t xml:space="preserve">EBITDA margin (ex-Octus)</t>
  </si>
  <si>
    <t xml:space="preserve">2025A 50.3%; 2026 guide +100–120bp cc; H1 2026 52.7%</t>
  </si>
  <si>
    <t xml:space="preserve">Adj D&amp;A % income</t>
  </si>
  <si>
    <t xml:space="preserve">2025A 11.3%</t>
  </si>
  <si>
    <t xml:space="preserve">Capex % income</t>
  </si>
  <si>
    <t xml:space="preserve">A/S</t>
  </si>
  <si>
    <t xml:space="preserve">2026 guided c.9.5% (Q3 2026)</t>
  </si>
  <si>
    <t xml:space="preserve">Purchased amortisation 2026</t>
  </si>
  <si>
    <t xml:space="preserve">£m</t>
  </si>
  <si>
    <t xml:space="preserve">2025A non-underlying D&amp;A £1,221m</t>
  </si>
  <si>
    <t xml:space="preserve">Purchased amortisation decline</t>
  </si>
  <si>
    <t xml:space="preserve">%/yr</t>
  </si>
  <si>
    <t xml:space="preserve">Tax, financing, NCI, cash</t>
  </si>
  <si>
    <t xml:space="preserve">Tax rate</t>
  </si>
  <si>
    <t xml:space="preserve">Guided 24–25% underlying</t>
  </si>
  <si>
    <t xml:space="preserve">NCI share of adj NI</t>
  </si>
  <si>
    <t xml:space="preserve">D</t>
  </si>
  <si>
    <t xml:space="preserve">Tradeweb minority; 2025: adj NI £2,529m vs adj EPS×WASO £2,204m</t>
  </si>
  <si>
    <t xml:space="preserve">NCI payout</t>
  </si>
  <si>
    <t xml:space="preserve">Net finance rate</t>
  </si>
  <si>
    <t xml:space="preserve">2025 net finance £179m / avg net debt</t>
  </si>
  <si>
    <t xml:space="preserve">Other cash items % EBITDA</t>
  </si>
  <si>
    <t xml:space="preserve">Leases, WC, non-underlying; calibrated to 2026 EqFCF guide ≥£2.8bn</t>
  </si>
  <si>
    <t xml:space="preserve">Shareholder returns</t>
  </si>
  <si>
    <t xml:space="preserve">Dividend payout</t>
  </si>
  <si>
    <t xml:space="preserve">% adj EPS</t>
  </si>
  <si>
    <t xml:space="preserve">2025: 150p / 420.6p</t>
  </si>
  <si>
    <t xml:space="preserve">Buybacks (fixed)</t>
  </si>
  <si>
    <t xml:space="preserve">S/A</t>
  </si>
  <si>
    <t xml:space="preserve">2026: £2.6bn YTD + Q4; 2027: £0.4bn remaining + £1.25bn (mid of £1.0–1.5bn). Blank = formula</t>
  </si>
  <si>
    <t xml:space="preserve">Buyback share of surplus FCF</t>
  </si>
  <si>
    <t xml:space="preserve">2028+</t>
  </si>
  <si>
    <t xml:space="preserve">Buyback price growth</t>
  </si>
  <si>
    <t xml:space="preserve">Octus acquisition</t>
  </si>
  <si>
    <t xml:space="preserve">Octus price</t>
  </si>
  <si>
    <t xml:space="preserve">$m</t>
  </si>
  <si>
    <t xml:space="preserve">Q3 2026 trading update; debt-funded (Reuters)</t>
  </si>
  <si>
    <t xml:space="preserve">Octus close year</t>
  </si>
  <si>
    <t xml:space="preserve">year</t>
  </si>
  <si>
    <t xml:space="preserve">Not disclosed; assumed 1 Jan 2027</t>
  </si>
  <si>
    <t xml:space="preserve">Octus 2026 revenue</t>
  </si>
  <si>
    <t xml:space="preserve">$300–320m expected this year (Reuters), midpoint</t>
  </si>
  <si>
    <t xml:space="preserve">Octus growth</t>
  </si>
  <si>
    <t xml:space="preserve">'Double-digit revenue growth' (LSEG RNS)</t>
  </si>
  <si>
    <t xml:space="preserve">Octus EBITDA margin</t>
  </si>
  <si>
    <t xml:space="preserve">Octus purchased amortisation</t>
  </si>
  <si>
    <t xml:space="preserve">Octus debt rate</t>
  </si>
  <si>
    <t xml:space="preserve">Incremental cost of acquisition debt</t>
  </si>
  <si>
    <t xml:space="preserve">Valuation</t>
  </si>
  <si>
    <t xml:space="preserve">Risk-free rate</t>
  </si>
  <si>
    <t xml:space="preserve">UK 10y gilt area</t>
  </si>
  <si>
    <t xml:space="preserve">Beta</t>
  </si>
  <si>
    <t xml:space="preserve">x</t>
  </si>
  <si>
    <t xml:space="preserve">Equity risk premium</t>
  </si>
  <si>
    <t xml:space="preserve">Pre-tax cost of debt</t>
  </si>
  <si>
    <t xml:space="preserve">Debt weight</t>
  </si>
  <si>
    <t xml:space="preserve">Target D/(D+E)</t>
  </si>
  <si>
    <t xml:space="preserve">NCI multiple</t>
  </si>
  <si>
    <t xml:space="preserve">x P/E</t>
  </si>
  <si>
    <t xml:space="preserve">Applied to Tradeweb minority earnings</t>
  </si>
  <si>
    <t xml:space="preserve">LSEG – Integrated model</t>
  </si>
  <si>
    <t xml:space="preserve">£m unless stated. A = actual, E = estimate. Historical cells are sourced values (blue); forecast cells are formulas.</t>
  </si>
  <si>
    <t xml:space="preserve">Year</t>
  </si>
  <si>
    <t xml:space="preserve">E</t>
  </si>
  <si>
    <t xml:space="preserve">Income</t>
  </si>
  <si>
    <t xml:space="preserve">  Data &amp; Analytics</t>
  </si>
  <si>
    <t xml:space="preserve">  FTSE Russell</t>
  </si>
  <si>
    <t xml:space="preserve">  Risk Intelligence</t>
  </si>
  <si>
    <t xml:space="preserve">  Markets</t>
  </si>
  <si>
    <t xml:space="preserve">  Other</t>
  </si>
  <si>
    <t xml:space="preserve">Income excl. recoveries (ex-Octus)</t>
  </si>
  <si>
    <t xml:space="preserve">  Octus</t>
  </si>
  <si>
    <t xml:space="preserve">Total income excl. recoveries</t>
  </si>
  <si>
    <t xml:space="preserve">  growth</t>
  </si>
  <si>
    <t xml:space="preserve">Recoveries</t>
  </si>
  <si>
    <t xml:space="preserve">Profit &amp; loss (adjusted)</t>
  </si>
  <si>
    <t xml:space="preserve">  EBITDA margin ex-Octus</t>
  </si>
  <si>
    <t xml:space="preserve">Adjusted EBITDA</t>
  </si>
  <si>
    <t xml:space="preserve">  EBITDA margin</t>
  </si>
  <si>
    <t xml:space="preserve">Adjusted D&amp;A</t>
  </si>
  <si>
    <t xml:space="preserve">Adjusted operating profit</t>
  </si>
  <si>
    <t xml:space="preserve">Net finance expense</t>
  </si>
  <si>
    <t xml:space="preserve">Adjusted profit before tax</t>
  </si>
  <si>
    <t xml:space="preserve">Tax</t>
  </si>
  <si>
    <t xml:space="preserve">Adjusted net income</t>
  </si>
  <si>
    <t xml:space="preserve">  Non-controlling interests (Tradeweb)</t>
  </si>
  <si>
    <t xml:space="preserve">Adjusted net income to shareholders</t>
  </si>
  <si>
    <t xml:space="preserve">Adjusted EPS (p)</t>
  </si>
  <si>
    <t xml:space="preserve">  EPS growth</t>
  </si>
  <si>
    <t xml:space="preserve">Reported bridge</t>
  </si>
  <si>
    <t xml:space="preserve">  Purchased intangible amortisation (existing)</t>
  </si>
  <si>
    <t xml:space="preserve">  Octus purchased amortisation</t>
  </si>
  <si>
    <t xml:space="preserve">Total purchased amortisation</t>
  </si>
  <si>
    <t xml:space="preserve">Reported net income (total)</t>
  </si>
  <si>
    <t xml:space="preserve">Reported net income to shareholders</t>
  </si>
  <si>
    <t xml:space="preserve">Cash flow</t>
  </si>
  <si>
    <t xml:space="preserve">Capex</t>
  </si>
  <si>
    <t xml:space="preserve">Net finance paid</t>
  </si>
  <si>
    <t xml:space="preserve">Tax paid</t>
  </si>
  <si>
    <t xml:space="preserve">Other cash items (leases, WC, non-underlying)</t>
  </si>
  <si>
    <t xml:space="preserve">Equity free cash flow</t>
  </si>
  <si>
    <t xml:space="preserve">Acquisitions (Octus)</t>
  </si>
  <si>
    <t xml:space="preserve">New debt raised</t>
  </si>
  <si>
    <t xml:space="preserve">Dividends paid</t>
  </si>
  <si>
    <t xml:space="preserve">Dividends to NCI</t>
  </si>
  <si>
    <t xml:space="preserve">Share buybacks</t>
  </si>
  <si>
    <t xml:space="preserve">Net change in cash</t>
  </si>
  <si>
    <t xml:space="preserve">Shares &amp; returns</t>
  </si>
  <si>
    <t xml:space="preserve">Opening shares (m)</t>
  </si>
  <si>
    <t xml:space="preserve">Average buyback price (p)</t>
  </si>
  <si>
    <t xml:space="preserve">Closing shares (m)</t>
  </si>
  <si>
    <t xml:space="preserve">Average shares (m)</t>
  </si>
  <si>
    <t xml:space="preserve">DPS (p)</t>
  </si>
  <si>
    <t xml:space="preserve">Balance sheet (economic; clearing balances excluded)</t>
  </si>
  <si>
    <t xml:space="preserve">Cash</t>
  </si>
  <si>
    <t xml:space="preserve">Goodwill, intangibles &amp; PP&amp;E</t>
  </si>
  <si>
    <t xml:space="preserve">Other net assets / (liabilities)</t>
  </si>
  <si>
    <t xml:space="preserve">Borrowings incl. leases</t>
  </si>
  <si>
    <t xml:space="preserve">Total equity (incl. NCI)</t>
  </si>
  <si>
    <t xml:space="preserve">Balance check (should be 0)</t>
  </si>
  <si>
    <t xml:space="preserve">Net debt</t>
  </si>
  <si>
    <t xml:space="preserve">Net debt / adj EBITDA</t>
  </si>
  <si>
    <t xml:space="preserve">Unlevered free cash flow (for DCF)</t>
  </si>
  <si>
    <t xml:space="preserve">Unlevered FCF</t>
  </si>
  <si>
    <t xml:space="preserve">LSEG – DCF (valuation date 31 Dec 2026, mid-year convention)</t>
  </si>
  <si>
    <t xml:space="preserve">Cost of equity</t>
  </si>
  <si>
    <t xml:space="preserve">After-tax cost of debt</t>
  </si>
  <si>
    <t xml:space="preserve">WACC</t>
  </si>
  <si>
    <t xml:space="preserve">Period</t>
  </si>
  <si>
    <t xml:space="preserve">Discount factor</t>
  </si>
  <si>
    <t xml:space="preserve">PV of FCF</t>
  </si>
  <si>
    <t xml:space="preserve">Fair value (p): WACC (down) × terminal growth (across)</t>
  </si>
  <si>
    <t xml:space="preserve">Sum of PV of FCF</t>
  </si>
  <si>
    <t xml:space="preserve">Terminal value (Gordon)</t>
  </si>
  <si>
    <t xml:space="preserve">PV of terminal value</t>
  </si>
  <si>
    <t xml:space="preserve">Enterprise value</t>
  </si>
  <si>
    <t xml:space="preserve">Less: net debt (end-2026)</t>
  </si>
  <si>
    <t xml:space="preserve">Less: NCI (Tradeweb minority) at P/E</t>
  </si>
  <si>
    <t xml:space="preserve">Equity value</t>
  </si>
  <si>
    <t xml:space="preserve">Shares (end-2026, m)</t>
  </si>
  <si>
    <t xml:space="preserve">Fair value per share (p)</t>
  </si>
  <si>
    <t xml:space="preserve">Current share price (p)</t>
  </si>
  <si>
    <t xml:space="preserve">TV as % of EV</t>
  </si>
  <si>
    <t xml:space="preserve">Implied TV / 2030E EBITDA</t>
  </si>
  <si>
    <t xml:space="preserve">Implied 2027E P/E at current price</t>
  </si>
  <si>
    <t xml:space="preserve">LSEG – Scenario outputs</t>
  </si>
  <si>
    <t xml:space="preserve">Snapshot computed by the Python engine (lseg/engine.py). To reproduce live, set Inputs!Scenario to 1/2/3.</t>
  </si>
  <si>
    <t xml:space="preserve">Bear</t>
  </si>
  <si>
    <t xml:space="preserve">Base</t>
  </si>
  <si>
    <t xml:space="preserve">Bull</t>
  </si>
  <si>
    <t xml:space="preserve">Probability</t>
  </si>
  <si>
    <t xml:space="preserve">Income growth adj. (pp)</t>
  </si>
  <si>
    <t xml:space="preserve">EBITDA margin adj.</t>
  </si>
  <si>
    <t xml:space="preserve">2028E total income</t>
  </si>
  <si>
    <t xml:space="preserve">2028E EBITDA margin</t>
  </si>
  <si>
    <t xml:space="preserve">2028E adj EPS (p)</t>
  </si>
  <si>
    <t xml:space="preserve">Fair value (p)</t>
  </si>
  <si>
    <t xml:space="preserve">Probability-weighted upside</t>
  </si>
  <si>
    <t xml:space="preserve">Bear: AI substitutes for terminal/workflow seats → D&amp;A growth stalls; Markets volumes normalise; margin gains reverse.</t>
  </si>
  <si>
    <t xml:space="preserve">Bull: AI-ready data licensing (LSEG Everywhere, MCP) re-accelerates D&amp;A; Octus + Markets compound; margin expansion continues.</t>
  </si>
  <si>
    <t xml:space="preserve">Sources</t>
  </si>
  <si>
    <t xml:space="preserve">FY25</t>
  </si>
  <si>
    <t xml:space="preserve">LSEG 2025 Preliminary Results RNS, 26 Feb 2026</t>
  </si>
  <si>
    <t xml:space="preserve">H126</t>
  </si>
  <si>
    <t xml:space="preserve">LSEG H1 2026 Interim Results, 30 Jul 2026</t>
  </si>
  <si>
    <t xml:space="preserve">Q326</t>
  </si>
  <si>
    <t xml:space="preserve">LSEG Q3 2026 Trading Update, Oct 2026</t>
  </si>
  <si>
    <t xml:space="preserve">OCT</t>
  </si>
  <si>
    <t xml:space="preserve">Reuters via Euronext, 'LSEG to buy Octus in $3.5 billion deal', Oct 2026</t>
  </si>
  <si>
    <t xml:space="preserve">PX</t>
  </si>
  <si>
    <t xml:space="preserve">Model conventions: blue = input, black = formula, green = link to another sheet. Not investment advice.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</si>
</sst>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\p"/>
    <numFmt numFmtId="166" formatCode="0.0%;\(0.0%\);\–"/>
    <numFmt numFmtId="167" formatCode="#,##0.0\p"/>
    <numFmt numFmtId="168" formatCode="0.0\x"/>
    <numFmt numFmtId="169" formatCode="0.000"/>
    <numFmt numFmtId="170" formatCode="0.00"/>
    <numFmt numFmtId="171" formatCode="0.0"/>
    <numFmt numFmtId="172" formatCode="#,##0;\(#,##0\);\–"/>
    <numFmt numFmtId="173" formatCode="0.00%"/>
    <numFmt numFmtId="174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5" customFormat="false" ht="15" hidden="false" customHeight="false" outlineLevel="0" collapsed="false">
      <c r="A5" s="0" t="s">
        <v>3</v>
      </c>
      <c r="B5" s="2" t="str">
        <f aca="false">CHOOSE(Inputs!$C$7,"Bear","Base","Bull")</f>
        <v>Base</v>
      </c>
    </row>
    <row r="6" customFormat="false" ht="15" hidden="false" customHeight="false" outlineLevel="0" collapsed="false">
      <c r="A6" s="0" t="s">
        <v>4</v>
      </c>
      <c r="B6" s="3" t="n">
        <f aca="false">Inputs!$C$13</f>
        <v>9510</v>
      </c>
    </row>
    <row r="7" customFormat="false" ht="15" hidden="false" customHeight="false" outlineLevel="0" collapsed="false">
      <c r="A7" s="0" t="s">
        <v>5</v>
      </c>
      <c r="B7" s="3" t="n">
        <f aca="false">DCF!B23</f>
        <v>10989.3165729073</v>
      </c>
    </row>
    <row r="8" customFormat="false" ht="15" hidden="false" customHeight="false" outlineLevel="0" collapsed="false">
      <c r="A8" s="0" t="s">
        <v>6</v>
      </c>
      <c r="B8" s="4" t="n">
        <f aca="false">DCF!B25</f>
        <v>0.155553793155339</v>
      </c>
    </row>
    <row r="9" customFormat="false" ht="15" hidden="false" customHeight="false" outlineLevel="0" collapsed="false">
      <c r="A9" s="0" t="s">
        <v>7</v>
      </c>
      <c r="B9" s="3" t="n">
        <f aca="false">Scenarios!B15</f>
        <v>10965.5966692638</v>
      </c>
    </row>
    <row r="10" customFormat="false" ht="15" hidden="false" customHeight="false" outlineLevel="0" collapsed="false">
      <c r="A10" s="0" t="s">
        <v>8</v>
      </c>
      <c r="B10" s="5" t="n">
        <f aca="false">Model!E31</f>
        <v>493.588598717251</v>
      </c>
    </row>
    <row r="11" customFormat="false" ht="15" hidden="false" customHeight="false" outlineLevel="0" collapsed="false">
      <c r="A11" s="0" t="s">
        <v>9</v>
      </c>
      <c r="B11" s="6" t="n">
        <f aca="false">DCF!B28</f>
        <v>16.9029558011889</v>
      </c>
    </row>
    <row r="12" customFormat="false" ht="15" hidden="false" customHeight="false" outlineLevel="0" collapsed="false">
      <c r="A12" s="0" t="s">
        <v>10</v>
      </c>
      <c r="B12" s="6" t="n">
        <f aca="false">Model!F70</f>
        <v>2.1127818673711</v>
      </c>
    </row>
    <row r="13" customFormat="false" ht="15" hidden="false" customHeight="false" outlineLevel="0" collapsed="false">
      <c r="A13" s="0" t="s">
        <v>11</v>
      </c>
      <c r="B13" s="7" t="n">
        <f aca="false">SUM(Model!D68:I68)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1"/>
    <col collapsed="false" customWidth="true" hidden="false" outlineLevel="0" max="5" min="5" style="0" width="70"/>
    <col collapsed="false" customWidth="true" hidden="false" outlineLevel="0" max="10" min="6" style="0" width="11"/>
  </cols>
  <sheetData>
    <row r="1" customFormat="false" ht="17.35" hidden="false" customHeight="false" outlineLevel="0" collapsed="false">
      <c r="A1" s="8" t="s">
        <v>12</v>
      </c>
    </row>
    <row r="2" customFormat="false" ht="15" hidden="false" customHeight="false" outlineLevel="0" collapsed="false">
      <c r="A2" s="0" t="s">
        <v>13</v>
      </c>
    </row>
    <row r="4" customFormat="false" ht="15" hidden="false" customHeight="false" outlineLevel="0" collapsed="false">
      <c r="A4" s="9" t="s">
        <v>14</v>
      </c>
      <c r="B4" s="9" t="s">
        <v>15</v>
      </c>
      <c r="C4" s="9" t="s">
        <v>16</v>
      </c>
      <c r="D4" s="9" t="s">
        <v>17</v>
      </c>
      <c r="E4" s="9" t="s">
        <v>18</v>
      </c>
      <c r="F4" s="9" t="n">
        <v>2026</v>
      </c>
      <c r="G4" s="9" t="n">
        <v>2027</v>
      </c>
      <c r="H4" s="9" t="n">
        <v>2028</v>
      </c>
      <c r="I4" s="9" t="n">
        <v>2029</v>
      </c>
      <c r="J4" s="9" t="n">
        <v>2030</v>
      </c>
    </row>
    <row r="6" customFormat="false" ht="15" hidden="false" customHeight="false" outlineLevel="0" collapsed="false">
      <c r="A6" s="10" t="s">
        <v>19</v>
      </c>
      <c r="B6" s="11"/>
      <c r="C6" s="11"/>
      <c r="D6" s="11"/>
      <c r="E6" s="11"/>
      <c r="F6" s="11"/>
      <c r="G6" s="11"/>
      <c r="H6" s="11"/>
      <c r="I6" s="11"/>
      <c r="J6" s="11"/>
    </row>
    <row r="7" customFormat="false" ht="15" hidden="false" customHeight="false" outlineLevel="0" collapsed="false">
      <c r="A7" s="0" t="s">
        <v>19</v>
      </c>
      <c r="B7" s="0" t="s">
        <v>20</v>
      </c>
      <c r="C7" s="12" t="n">
        <v>2</v>
      </c>
      <c r="D7" s="0" t="s">
        <v>21</v>
      </c>
      <c r="E7" s="0" t="s">
        <v>22</v>
      </c>
    </row>
    <row r="8" customFormat="false" ht="15" hidden="false" customHeight="false" outlineLevel="0" collapsed="false">
      <c r="A8" s="0" t="s">
        <v>23</v>
      </c>
      <c r="B8" s="0" t="s">
        <v>24</v>
      </c>
      <c r="C8" s="13" t="n">
        <f aca="false">CHOOSE(Inputs!$C$7,F8,G8,H8)</f>
        <v>0</v>
      </c>
      <c r="D8" s="0" t="s">
        <v>21</v>
      </c>
      <c r="E8" s="0" t="s">
        <v>25</v>
      </c>
      <c r="F8" s="14" t="n">
        <v>-0.025</v>
      </c>
      <c r="G8" s="14" t="n">
        <v>0</v>
      </c>
      <c r="H8" s="14" t="n">
        <v>0.015</v>
      </c>
    </row>
    <row r="9" customFormat="false" ht="15" hidden="false" customHeight="false" outlineLevel="0" collapsed="false">
      <c r="A9" s="0" t="s">
        <v>26</v>
      </c>
      <c r="B9" s="0" t="s">
        <v>24</v>
      </c>
      <c r="C9" s="13" t="n">
        <f aca="false">CHOOSE(Inputs!$C$7,F9,G9,H9)</f>
        <v>0</v>
      </c>
      <c r="D9" s="0" t="s">
        <v>21</v>
      </c>
      <c r="E9" s="0" t="s">
        <v>25</v>
      </c>
      <c r="F9" s="14" t="n">
        <v>-0.01</v>
      </c>
      <c r="G9" s="14" t="n">
        <v>0</v>
      </c>
      <c r="H9" s="14" t="n">
        <v>0.006</v>
      </c>
    </row>
    <row r="10" customFormat="false" ht="15" hidden="false" customHeight="false" outlineLevel="0" collapsed="false">
      <c r="A10" s="0" t="s">
        <v>27</v>
      </c>
      <c r="B10" s="0" t="s">
        <v>24</v>
      </c>
      <c r="C10" s="13" t="n">
        <f aca="false">CHOOSE(Inputs!$C$7,F10,G10,H10)</f>
        <v>0.03</v>
      </c>
      <c r="D10" s="0" t="s">
        <v>21</v>
      </c>
      <c r="E10" s="0" t="s">
        <v>25</v>
      </c>
      <c r="F10" s="14" t="n">
        <v>0.025</v>
      </c>
      <c r="G10" s="14" t="n">
        <v>0.03</v>
      </c>
      <c r="H10" s="14" t="n">
        <v>0.035</v>
      </c>
    </row>
    <row r="12" customFormat="false" ht="15" hidden="false" customHeight="false" outlineLevel="0" collapsed="false">
      <c r="A12" s="10" t="s">
        <v>28</v>
      </c>
      <c r="B12" s="11"/>
      <c r="C12" s="11"/>
      <c r="D12" s="11"/>
      <c r="E12" s="11"/>
      <c r="F12" s="11"/>
      <c r="G12" s="11"/>
      <c r="H12" s="11"/>
      <c r="I12" s="11"/>
      <c r="J12" s="11"/>
    </row>
    <row r="13" customFormat="false" ht="15" hidden="false" customHeight="false" outlineLevel="0" collapsed="false">
      <c r="A13" s="0" t="s">
        <v>29</v>
      </c>
      <c r="B13" s="0" t="s">
        <v>30</v>
      </c>
      <c r="C13" s="15" t="n">
        <v>9510</v>
      </c>
      <c r="D13" s="0" t="s">
        <v>31</v>
      </c>
      <c r="E13" s="0" t="s">
        <v>32</v>
      </c>
    </row>
    <row r="14" customFormat="false" ht="15" hidden="false" customHeight="false" outlineLevel="0" collapsed="false">
      <c r="A14" s="0" t="s">
        <v>33</v>
      </c>
      <c r="B14" s="0" t="s">
        <v>34</v>
      </c>
      <c r="C14" s="16" t="n">
        <v>1.32</v>
      </c>
      <c r="D14" s="0" t="s">
        <v>31</v>
      </c>
      <c r="E14" s="0" t="s">
        <v>35</v>
      </c>
    </row>
    <row r="15" customFormat="false" ht="15" hidden="false" customHeight="false" outlineLevel="0" collapsed="false">
      <c r="A15" s="0" t="s">
        <v>36</v>
      </c>
      <c r="B15" s="0" t="s">
        <v>37</v>
      </c>
      <c r="C15" s="17" t="n">
        <v>510</v>
      </c>
      <c r="D15" s="0" t="s">
        <v>31</v>
      </c>
      <c r="E15" s="0" t="s">
        <v>38</v>
      </c>
    </row>
    <row r="17" customFormat="false" ht="15" hidden="false" customHeight="false" outlineLevel="0" collapsed="false">
      <c r="A17" s="10" t="s">
        <v>39</v>
      </c>
      <c r="B17" s="11"/>
      <c r="C17" s="11"/>
      <c r="D17" s="11"/>
      <c r="E17" s="11"/>
      <c r="F17" s="11"/>
      <c r="G17" s="11"/>
      <c r="H17" s="11"/>
      <c r="I17" s="11"/>
      <c r="J17" s="11"/>
    </row>
    <row r="18" customFormat="false" ht="15" hidden="false" customHeight="false" outlineLevel="0" collapsed="false">
      <c r="A18" s="0" t="s">
        <v>40</v>
      </c>
      <c r="B18" s="0" t="s">
        <v>24</v>
      </c>
      <c r="D18" s="0" t="s">
        <v>21</v>
      </c>
      <c r="E18" s="0" t="s">
        <v>41</v>
      </c>
      <c r="F18" s="14" t="n">
        <v>0.04</v>
      </c>
      <c r="G18" s="14" t="n">
        <v>0.05</v>
      </c>
      <c r="H18" s="14" t="n">
        <v>0.055</v>
      </c>
      <c r="I18" s="14" t="n">
        <v>0.055</v>
      </c>
      <c r="J18" s="14" t="n">
        <v>0.055</v>
      </c>
    </row>
    <row r="19" customFormat="false" ht="15" hidden="false" customHeight="false" outlineLevel="0" collapsed="false">
      <c r="A19" s="0" t="s">
        <v>42</v>
      </c>
      <c r="B19" s="0" t="s">
        <v>24</v>
      </c>
      <c r="D19" s="0" t="s">
        <v>21</v>
      </c>
      <c r="E19" s="0" t="s">
        <v>41</v>
      </c>
      <c r="F19" s="14" t="n">
        <v>0.085</v>
      </c>
      <c r="G19" s="14" t="n">
        <v>0.085</v>
      </c>
      <c r="H19" s="14" t="n">
        <v>0.08</v>
      </c>
      <c r="I19" s="14" t="n">
        <v>0.08</v>
      </c>
      <c r="J19" s="14" t="n">
        <v>0.075</v>
      </c>
    </row>
    <row r="20" customFormat="false" ht="15" hidden="false" customHeight="false" outlineLevel="0" collapsed="false">
      <c r="A20" s="0" t="s">
        <v>43</v>
      </c>
      <c r="B20" s="0" t="s">
        <v>24</v>
      </c>
      <c r="D20" s="0" t="s">
        <v>21</v>
      </c>
      <c r="E20" s="0" t="s">
        <v>41</v>
      </c>
      <c r="F20" s="14" t="n">
        <v>0.09</v>
      </c>
      <c r="G20" s="14" t="n">
        <v>0.095</v>
      </c>
      <c r="H20" s="14" t="n">
        <v>0.09</v>
      </c>
      <c r="I20" s="14" t="n">
        <v>0.085</v>
      </c>
      <c r="J20" s="14" t="n">
        <v>0.08</v>
      </c>
    </row>
    <row r="21" customFormat="false" ht="15" hidden="false" customHeight="false" outlineLevel="0" collapsed="false">
      <c r="A21" s="0" t="s">
        <v>44</v>
      </c>
      <c r="B21" s="0" t="s">
        <v>24</v>
      </c>
      <c r="D21" s="0" t="s">
        <v>21</v>
      </c>
      <c r="E21" s="0" t="s">
        <v>41</v>
      </c>
      <c r="F21" s="14" t="n">
        <v>0.11</v>
      </c>
      <c r="G21" s="14" t="n">
        <v>0.07</v>
      </c>
      <c r="H21" s="14" t="n">
        <v>0.06</v>
      </c>
      <c r="I21" s="14" t="n">
        <v>0.06</v>
      </c>
      <c r="J21" s="14" t="n">
        <v>0.055</v>
      </c>
    </row>
    <row r="22" customFormat="false" ht="15" hidden="false" customHeight="false" outlineLevel="0" collapsed="false">
      <c r="A22" s="0" t="s">
        <v>45</v>
      </c>
      <c r="B22" s="0" t="s">
        <v>24</v>
      </c>
      <c r="D22" s="0" t="s">
        <v>21</v>
      </c>
      <c r="E22" s="0" t="s">
        <v>41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</row>
    <row r="23" customFormat="false" ht="15" hidden="false" customHeight="false" outlineLevel="0" collapsed="false">
      <c r="A23" s="0" t="s">
        <v>46</v>
      </c>
      <c r="B23" s="0" t="s">
        <v>24</v>
      </c>
      <c r="C23" s="14" t="n">
        <v>0.03</v>
      </c>
      <c r="D23" s="0" t="s">
        <v>21</v>
      </c>
    </row>
    <row r="25" customFormat="false" ht="15" hidden="false" customHeight="false" outlineLevel="0" collapsed="false">
      <c r="A25" s="10" t="s">
        <v>47</v>
      </c>
      <c r="B25" s="11"/>
      <c r="C25" s="11"/>
      <c r="D25" s="11"/>
      <c r="E25" s="11"/>
      <c r="F25" s="11"/>
      <c r="G25" s="11"/>
      <c r="H25" s="11"/>
      <c r="I25" s="11"/>
      <c r="J25" s="11"/>
    </row>
    <row r="26" customFormat="false" ht="15" hidden="false" customHeight="false" outlineLevel="0" collapsed="false">
      <c r="A26" s="0" t="s">
        <v>48</v>
      </c>
      <c r="B26" s="0" t="s">
        <v>24</v>
      </c>
      <c r="D26" s="0" t="s">
        <v>21</v>
      </c>
      <c r="E26" s="0" t="s">
        <v>49</v>
      </c>
      <c r="F26" s="14" t="n">
        <v>0.515</v>
      </c>
      <c r="G26" s="14" t="n">
        <v>0.522</v>
      </c>
      <c r="H26" s="14" t="n">
        <v>0.528</v>
      </c>
      <c r="I26" s="14" t="n">
        <v>0.533</v>
      </c>
      <c r="J26" s="14" t="n">
        <v>0.537</v>
      </c>
    </row>
    <row r="27" customFormat="false" ht="15" hidden="false" customHeight="false" outlineLevel="0" collapsed="false">
      <c r="A27" s="0" t="s">
        <v>50</v>
      </c>
      <c r="B27" s="0" t="s">
        <v>24</v>
      </c>
      <c r="D27" s="0" t="s">
        <v>21</v>
      </c>
      <c r="E27" s="0" t="s">
        <v>51</v>
      </c>
      <c r="F27" s="14" t="n">
        <v>0.11</v>
      </c>
      <c r="G27" s="14" t="n">
        <v>0.108</v>
      </c>
      <c r="H27" s="14" t="n">
        <v>0.106</v>
      </c>
      <c r="I27" s="14" t="n">
        <v>0.104</v>
      </c>
      <c r="J27" s="14" t="n">
        <v>0.102</v>
      </c>
    </row>
    <row r="28" customFormat="false" ht="15" hidden="false" customHeight="false" outlineLevel="0" collapsed="false">
      <c r="A28" s="0" t="s">
        <v>52</v>
      </c>
      <c r="B28" s="0" t="s">
        <v>24</v>
      </c>
      <c r="D28" s="0" t="s">
        <v>53</v>
      </c>
      <c r="E28" s="0" t="s">
        <v>54</v>
      </c>
      <c r="F28" s="14" t="n">
        <v>0.095</v>
      </c>
      <c r="G28" s="14" t="n">
        <v>0.095</v>
      </c>
      <c r="H28" s="14" t="n">
        <v>0.093</v>
      </c>
      <c r="I28" s="14" t="n">
        <v>0.092</v>
      </c>
      <c r="J28" s="14" t="n">
        <v>0.09</v>
      </c>
    </row>
    <row r="29" customFormat="false" ht="15" hidden="false" customHeight="false" outlineLevel="0" collapsed="false">
      <c r="A29" s="0" t="s">
        <v>55</v>
      </c>
      <c r="B29" s="0" t="s">
        <v>56</v>
      </c>
      <c r="C29" s="18" t="n">
        <v>1150</v>
      </c>
      <c r="D29" s="0" t="s">
        <v>21</v>
      </c>
      <c r="E29" s="0" t="s">
        <v>57</v>
      </c>
    </row>
    <row r="30" customFormat="false" ht="15" hidden="false" customHeight="false" outlineLevel="0" collapsed="false">
      <c r="A30" s="0" t="s">
        <v>58</v>
      </c>
      <c r="B30" s="0" t="s">
        <v>59</v>
      </c>
      <c r="C30" s="14" t="n">
        <v>0.05</v>
      </c>
      <c r="D30" s="0" t="s">
        <v>21</v>
      </c>
    </row>
    <row r="32" customFormat="false" ht="15" hidden="false" customHeight="false" outlineLevel="0" collapsed="false">
      <c r="A32" s="10" t="s">
        <v>60</v>
      </c>
      <c r="B32" s="11"/>
      <c r="C32" s="11"/>
      <c r="D32" s="11"/>
      <c r="E32" s="11"/>
      <c r="F32" s="11"/>
      <c r="G32" s="11"/>
      <c r="H32" s="11"/>
      <c r="I32" s="11"/>
      <c r="J32" s="11"/>
    </row>
    <row r="33" customFormat="false" ht="15" hidden="false" customHeight="false" outlineLevel="0" collapsed="false">
      <c r="A33" s="0" t="s">
        <v>61</v>
      </c>
      <c r="B33" s="0" t="s">
        <v>24</v>
      </c>
      <c r="C33" s="14" t="n">
        <v>0.245</v>
      </c>
      <c r="D33" s="0" t="s">
        <v>31</v>
      </c>
      <c r="E33" s="0" t="s">
        <v>62</v>
      </c>
    </row>
    <row r="34" customFormat="false" ht="15" hidden="false" customHeight="false" outlineLevel="0" collapsed="false">
      <c r="A34" s="0" t="s">
        <v>63</v>
      </c>
      <c r="B34" s="0" t="s">
        <v>24</v>
      </c>
      <c r="C34" s="14" t="n">
        <v>0.129</v>
      </c>
      <c r="D34" s="0" t="s">
        <v>64</v>
      </c>
      <c r="E34" s="0" t="s">
        <v>65</v>
      </c>
    </row>
    <row r="35" customFormat="false" ht="15" hidden="false" customHeight="false" outlineLevel="0" collapsed="false">
      <c r="A35" s="0" t="s">
        <v>66</v>
      </c>
      <c r="B35" s="0" t="s">
        <v>24</v>
      </c>
      <c r="C35" s="14" t="n">
        <v>0.6</v>
      </c>
      <c r="D35" s="0" t="s">
        <v>21</v>
      </c>
    </row>
    <row r="36" customFormat="false" ht="15" hidden="false" customHeight="false" outlineLevel="0" collapsed="false">
      <c r="A36" s="0" t="s">
        <v>67</v>
      </c>
      <c r="B36" s="0" t="s">
        <v>24</v>
      </c>
      <c r="C36" s="19" t="n">
        <v>0.0255</v>
      </c>
      <c r="D36" s="0" t="s">
        <v>64</v>
      </c>
      <c r="E36" s="0" t="s">
        <v>68</v>
      </c>
    </row>
    <row r="37" customFormat="false" ht="15" hidden="false" customHeight="false" outlineLevel="0" collapsed="false">
      <c r="A37" s="0" t="s">
        <v>69</v>
      </c>
      <c r="B37" s="0" t="s">
        <v>24</v>
      </c>
      <c r="C37" s="14" t="n">
        <v>0.03</v>
      </c>
      <c r="D37" s="0" t="s">
        <v>21</v>
      </c>
      <c r="E37" s="0" t="s">
        <v>70</v>
      </c>
    </row>
    <row r="39" customFormat="false" ht="15" hidden="false" customHeight="false" outlineLevel="0" collapsed="false">
      <c r="A39" s="10" t="s">
        <v>71</v>
      </c>
      <c r="B39" s="11"/>
      <c r="C39" s="11"/>
      <c r="D39" s="11"/>
      <c r="E39" s="11"/>
      <c r="F39" s="11"/>
      <c r="G39" s="11"/>
      <c r="H39" s="11"/>
      <c r="I39" s="11"/>
      <c r="J39" s="11"/>
    </row>
    <row r="40" customFormat="false" ht="15" hidden="false" customHeight="false" outlineLevel="0" collapsed="false">
      <c r="A40" s="0" t="s">
        <v>72</v>
      </c>
      <c r="B40" s="0" t="s">
        <v>73</v>
      </c>
      <c r="C40" s="14" t="n">
        <v>0.36</v>
      </c>
      <c r="D40" s="0" t="s">
        <v>64</v>
      </c>
      <c r="E40" s="0" t="s">
        <v>74</v>
      </c>
    </row>
    <row r="41" customFormat="false" ht="15" hidden="false" customHeight="false" outlineLevel="0" collapsed="false">
      <c r="A41" s="0" t="s">
        <v>75</v>
      </c>
      <c r="B41" s="0" t="s">
        <v>56</v>
      </c>
      <c r="D41" s="0" t="s">
        <v>76</v>
      </c>
      <c r="E41" s="0" t="s">
        <v>77</v>
      </c>
      <c r="F41" s="18" t="n">
        <v>3000</v>
      </c>
      <c r="G41" s="18" t="n">
        <v>1650</v>
      </c>
      <c r="H41" s="18"/>
      <c r="I41" s="18"/>
      <c r="J41" s="18"/>
    </row>
    <row r="42" customFormat="false" ht="15" hidden="false" customHeight="false" outlineLevel="0" collapsed="false">
      <c r="A42" s="0" t="s">
        <v>78</v>
      </c>
      <c r="B42" s="0" t="s">
        <v>24</v>
      </c>
      <c r="C42" s="14" t="n">
        <v>0.9</v>
      </c>
      <c r="D42" s="0" t="s">
        <v>21</v>
      </c>
      <c r="E42" s="0" t="s">
        <v>79</v>
      </c>
    </row>
    <row r="43" customFormat="false" ht="15" hidden="false" customHeight="false" outlineLevel="0" collapsed="false">
      <c r="A43" s="0" t="s">
        <v>80</v>
      </c>
      <c r="B43" s="0" t="s">
        <v>59</v>
      </c>
      <c r="C43" s="14" t="n">
        <v>0.08</v>
      </c>
      <c r="D43" s="0" t="s">
        <v>21</v>
      </c>
    </row>
    <row r="45" customFormat="false" ht="15" hidden="false" customHeight="false" outlineLevel="0" collapsed="false">
      <c r="A45" s="10" t="s">
        <v>81</v>
      </c>
      <c r="B45" s="11"/>
      <c r="C45" s="11"/>
      <c r="D45" s="11"/>
      <c r="E45" s="11"/>
      <c r="F45" s="11"/>
      <c r="G45" s="11"/>
      <c r="H45" s="11"/>
      <c r="I45" s="11"/>
      <c r="J45" s="11"/>
    </row>
    <row r="46" customFormat="false" ht="15" hidden="false" customHeight="false" outlineLevel="0" collapsed="false">
      <c r="A46" s="0" t="s">
        <v>82</v>
      </c>
      <c r="B46" s="0" t="s">
        <v>83</v>
      </c>
      <c r="C46" s="18" t="n">
        <v>3535</v>
      </c>
      <c r="D46" s="0" t="s">
        <v>31</v>
      </c>
      <c r="E46" s="0" t="s">
        <v>84</v>
      </c>
    </row>
    <row r="47" customFormat="false" ht="15" hidden="false" customHeight="false" outlineLevel="0" collapsed="false">
      <c r="A47" s="0" t="s">
        <v>85</v>
      </c>
      <c r="B47" s="0" t="s">
        <v>86</v>
      </c>
      <c r="C47" s="20" t="n">
        <v>2027</v>
      </c>
      <c r="D47" s="0" t="s">
        <v>21</v>
      </c>
      <c r="E47" s="0" t="s">
        <v>87</v>
      </c>
    </row>
    <row r="48" customFormat="false" ht="15" hidden="false" customHeight="false" outlineLevel="0" collapsed="false">
      <c r="A48" s="0" t="s">
        <v>88</v>
      </c>
      <c r="B48" s="0" t="s">
        <v>83</v>
      </c>
      <c r="C48" s="18" t="n">
        <v>310</v>
      </c>
      <c r="D48" s="0" t="s">
        <v>31</v>
      </c>
      <c r="E48" s="0" t="s">
        <v>89</v>
      </c>
    </row>
    <row r="49" customFormat="false" ht="15" hidden="false" customHeight="false" outlineLevel="0" collapsed="false">
      <c r="A49" s="0" t="s">
        <v>90</v>
      </c>
      <c r="B49" s="0" t="s">
        <v>24</v>
      </c>
      <c r="C49" s="14" t="n">
        <v>0.12</v>
      </c>
      <c r="D49" s="0" t="s">
        <v>21</v>
      </c>
      <c r="E49" s="0" t="s">
        <v>91</v>
      </c>
    </row>
    <row r="50" customFormat="false" ht="15" hidden="false" customHeight="false" outlineLevel="0" collapsed="false">
      <c r="A50" s="0" t="s">
        <v>92</v>
      </c>
      <c r="B50" s="0" t="s">
        <v>24</v>
      </c>
      <c r="C50" s="14" t="n">
        <v>0.4</v>
      </c>
      <c r="D50" s="0" t="s">
        <v>21</v>
      </c>
    </row>
    <row r="51" customFormat="false" ht="15" hidden="false" customHeight="false" outlineLevel="0" collapsed="false">
      <c r="A51" s="0" t="s">
        <v>93</v>
      </c>
      <c r="B51" s="0" t="s">
        <v>56</v>
      </c>
      <c r="C51" s="18" t="n">
        <v>110</v>
      </c>
      <c r="D51" s="0" t="s">
        <v>21</v>
      </c>
    </row>
    <row r="52" customFormat="false" ht="15" hidden="false" customHeight="false" outlineLevel="0" collapsed="false">
      <c r="A52" s="0" t="s">
        <v>94</v>
      </c>
      <c r="B52" s="0" t="s">
        <v>24</v>
      </c>
      <c r="C52" s="14" t="n">
        <v>0.05</v>
      </c>
      <c r="D52" s="0" t="s">
        <v>21</v>
      </c>
      <c r="E52" s="0" t="s">
        <v>95</v>
      </c>
    </row>
    <row r="54" customFormat="false" ht="15" hidden="false" customHeight="false" outlineLevel="0" collapsed="false">
      <c r="A54" s="10" t="s">
        <v>96</v>
      </c>
      <c r="B54" s="11"/>
      <c r="C54" s="11"/>
      <c r="D54" s="11"/>
      <c r="E54" s="11"/>
      <c r="F54" s="11"/>
      <c r="G54" s="11"/>
      <c r="H54" s="11"/>
      <c r="I54" s="11"/>
      <c r="J54" s="11"/>
    </row>
    <row r="55" customFormat="false" ht="15" hidden="false" customHeight="false" outlineLevel="0" collapsed="false">
      <c r="A55" s="0" t="s">
        <v>97</v>
      </c>
      <c r="B55" s="0" t="s">
        <v>24</v>
      </c>
      <c r="C55" s="14" t="n">
        <v>0.049</v>
      </c>
      <c r="D55" s="0" t="s">
        <v>21</v>
      </c>
      <c r="E55" s="0" t="s">
        <v>98</v>
      </c>
    </row>
    <row r="56" customFormat="false" ht="15" hidden="false" customHeight="false" outlineLevel="0" collapsed="false">
      <c r="A56" s="0" t="s">
        <v>99</v>
      </c>
      <c r="B56" s="0" t="s">
        <v>100</v>
      </c>
      <c r="C56" s="16" t="n">
        <v>0.85</v>
      </c>
      <c r="D56" s="0" t="s">
        <v>21</v>
      </c>
    </row>
    <row r="57" customFormat="false" ht="15" hidden="false" customHeight="false" outlineLevel="0" collapsed="false">
      <c r="A57" s="0" t="s">
        <v>101</v>
      </c>
      <c r="B57" s="0" t="s">
        <v>24</v>
      </c>
      <c r="C57" s="14" t="n">
        <v>0.05</v>
      </c>
      <c r="D57" s="0" t="s">
        <v>21</v>
      </c>
    </row>
    <row r="58" customFormat="false" ht="15" hidden="false" customHeight="false" outlineLevel="0" collapsed="false">
      <c r="A58" s="0" t="s">
        <v>102</v>
      </c>
      <c r="B58" s="0" t="s">
        <v>24</v>
      </c>
      <c r="C58" s="14" t="n">
        <v>0.05</v>
      </c>
      <c r="D58" s="0" t="s">
        <v>21</v>
      </c>
    </row>
    <row r="59" customFormat="false" ht="15" hidden="false" customHeight="false" outlineLevel="0" collapsed="false">
      <c r="A59" s="0" t="s">
        <v>103</v>
      </c>
      <c r="B59" s="0" t="s">
        <v>24</v>
      </c>
      <c r="C59" s="14" t="n">
        <v>0.15</v>
      </c>
      <c r="D59" s="0" t="s">
        <v>21</v>
      </c>
      <c r="E59" s="0" t="s">
        <v>104</v>
      </c>
    </row>
    <row r="60" customFormat="false" ht="15" hidden="false" customHeight="false" outlineLevel="0" collapsed="false">
      <c r="A60" s="0" t="s">
        <v>105</v>
      </c>
      <c r="B60" s="0" t="s">
        <v>106</v>
      </c>
      <c r="C60" s="21" t="n">
        <v>25</v>
      </c>
      <c r="D60" s="0" t="s">
        <v>21</v>
      </c>
      <c r="E60" s="0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9" min="3" style="0" width="11"/>
  </cols>
  <sheetData>
    <row r="1" customFormat="false" ht="17.35" hidden="false" customHeight="false" outlineLevel="0" collapsed="false">
      <c r="A1" s="8" t="s">
        <v>108</v>
      </c>
    </row>
    <row r="2" customFormat="false" ht="15" hidden="false" customHeight="false" outlineLevel="0" collapsed="false">
      <c r="A2" s="0" t="s">
        <v>109</v>
      </c>
    </row>
    <row r="4" customFormat="false" ht="15" hidden="false" customHeight="false" outlineLevel="0" collapsed="false">
      <c r="A4" s="9" t="s">
        <v>110</v>
      </c>
      <c r="B4" s="22"/>
      <c r="C4" s="9" t="n">
        <v>2024</v>
      </c>
      <c r="D4" s="9" t="n">
        <v>2025</v>
      </c>
      <c r="E4" s="9" t="n">
        <v>2026</v>
      </c>
      <c r="F4" s="9" t="n">
        <v>2027</v>
      </c>
      <c r="G4" s="9" t="n">
        <v>2028</v>
      </c>
      <c r="H4" s="9" t="n">
        <v>2029</v>
      </c>
      <c r="I4" s="9" t="n">
        <v>2030</v>
      </c>
    </row>
    <row r="5" customFormat="false" ht="15" hidden="false" customHeight="false" outlineLevel="0" collapsed="false">
      <c r="C5" s="23" t="s">
        <v>21</v>
      </c>
      <c r="D5" s="23" t="s">
        <v>21</v>
      </c>
      <c r="E5" s="23" t="s">
        <v>111</v>
      </c>
      <c r="F5" s="23" t="s">
        <v>111</v>
      </c>
      <c r="G5" s="23" t="s">
        <v>111</v>
      </c>
      <c r="H5" s="23" t="s">
        <v>111</v>
      </c>
      <c r="I5" s="23" t="s">
        <v>111</v>
      </c>
    </row>
    <row r="7" customFormat="false" ht="15" hidden="false" customHeight="false" outlineLevel="0" collapsed="false">
      <c r="A7" s="10" t="s">
        <v>112</v>
      </c>
      <c r="B7" s="11"/>
      <c r="C7" s="11"/>
      <c r="D7" s="11"/>
      <c r="E7" s="11"/>
      <c r="F7" s="11"/>
      <c r="G7" s="11"/>
      <c r="H7" s="11"/>
      <c r="I7" s="11"/>
    </row>
    <row r="8" customFormat="false" ht="15" hidden="false" customHeight="false" outlineLevel="0" collapsed="false">
      <c r="A8" s="0" t="s">
        <v>113</v>
      </c>
      <c r="C8" s="18" t="n">
        <v>3859</v>
      </c>
      <c r="D8" s="18" t="n">
        <v>3978</v>
      </c>
      <c r="E8" s="24" t="n">
        <f aca="false">D8*(1+Inputs!$F$18+Inputs!$C$8)</f>
        <v>4137.12</v>
      </c>
      <c r="F8" s="24" t="n">
        <f aca="false">E8*(1+Inputs!$G$18+Inputs!$C$8)</f>
        <v>4343.976</v>
      </c>
      <c r="G8" s="24" t="n">
        <f aca="false">F8*(1+Inputs!$H$18+Inputs!$C$8)</f>
        <v>4582.89468</v>
      </c>
      <c r="H8" s="24" t="n">
        <f aca="false">G8*(1+Inputs!$I$18+Inputs!$C$8)</f>
        <v>4834.9538874</v>
      </c>
      <c r="I8" s="24" t="n">
        <f aca="false">H8*(1+Inputs!$J$18+Inputs!$C$8)</f>
        <v>5100.876351207</v>
      </c>
    </row>
    <row r="9" customFormat="false" ht="15" hidden="false" customHeight="false" outlineLevel="0" collapsed="false">
      <c r="A9" s="0" t="s">
        <v>114</v>
      </c>
      <c r="C9" s="18" t="n">
        <v>911</v>
      </c>
      <c r="D9" s="18" t="n">
        <v>954</v>
      </c>
      <c r="E9" s="24" t="n">
        <f aca="false">D9*(1+Inputs!$F$19+Inputs!$C$8)</f>
        <v>1035.09</v>
      </c>
      <c r="F9" s="24" t="n">
        <f aca="false">E9*(1+Inputs!$G$19+Inputs!$C$8)</f>
        <v>1123.07265</v>
      </c>
      <c r="G9" s="24" t="n">
        <f aca="false">F9*(1+Inputs!$H$19+Inputs!$C$8)</f>
        <v>1212.918462</v>
      </c>
      <c r="H9" s="24" t="n">
        <f aca="false">G9*(1+Inputs!$I$19+Inputs!$C$8)</f>
        <v>1309.95193896</v>
      </c>
      <c r="I9" s="24" t="n">
        <f aca="false">H9*(1+Inputs!$J$19+Inputs!$C$8)</f>
        <v>1408.198334382</v>
      </c>
    </row>
    <row r="10" customFormat="false" ht="15" hidden="false" customHeight="false" outlineLevel="0" collapsed="false">
      <c r="A10" s="0" t="s">
        <v>115</v>
      </c>
      <c r="C10" s="18" t="n">
        <v>531</v>
      </c>
      <c r="D10" s="18" t="n">
        <v>579</v>
      </c>
      <c r="E10" s="24" t="n">
        <f aca="false">D10*(1+Inputs!$F$20+Inputs!$C$8)</f>
        <v>631.11</v>
      </c>
      <c r="F10" s="24" t="n">
        <f aca="false">E10*(1+Inputs!$G$20+Inputs!$C$8)</f>
        <v>691.06545</v>
      </c>
      <c r="G10" s="24" t="n">
        <f aca="false">F10*(1+Inputs!$H$20+Inputs!$C$8)</f>
        <v>753.2613405</v>
      </c>
      <c r="H10" s="24" t="n">
        <f aca="false">G10*(1+Inputs!$I$20+Inputs!$C$8)</f>
        <v>817.2885544425</v>
      </c>
      <c r="I10" s="24" t="n">
        <f aca="false">H10*(1+Inputs!$J$20+Inputs!$C$8)</f>
        <v>882.6716387979</v>
      </c>
    </row>
    <row r="11" customFormat="false" ht="15" hidden="false" customHeight="false" outlineLevel="0" collapsed="false">
      <c r="A11" s="0" t="s">
        <v>116</v>
      </c>
      <c r="C11" s="18" t="n">
        <v>3180</v>
      </c>
      <c r="D11" s="18" t="n">
        <v>3467</v>
      </c>
      <c r="E11" s="24" t="n">
        <f aca="false">D11*(1+Inputs!$F$21+Inputs!$C$8)</f>
        <v>3848.37</v>
      </c>
      <c r="F11" s="24" t="n">
        <f aca="false">E11*(1+Inputs!$G$21+Inputs!$C$8)</f>
        <v>4117.7559</v>
      </c>
      <c r="G11" s="24" t="n">
        <f aca="false">F11*(1+Inputs!$H$21+Inputs!$C$8)</f>
        <v>4364.821254</v>
      </c>
      <c r="H11" s="24" t="n">
        <f aca="false">G11*(1+Inputs!$I$21+Inputs!$C$8)</f>
        <v>4626.71052924</v>
      </c>
      <c r="I11" s="24" t="n">
        <f aca="false">H11*(1+Inputs!$J$21+Inputs!$C$8)</f>
        <v>4881.1796083482</v>
      </c>
    </row>
    <row r="12" customFormat="false" ht="15" hidden="false" customHeight="false" outlineLevel="0" collapsed="false">
      <c r="A12" s="0" t="s">
        <v>117</v>
      </c>
      <c r="C12" s="18" t="n">
        <v>13</v>
      </c>
      <c r="D12" s="18" t="n">
        <v>8</v>
      </c>
      <c r="E12" s="24" t="n">
        <f aca="false">D12*(1+Inputs!$F$22)</f>
        <v>8</v>
      </c>
      <c r="F12" s="24" t="n">
        <f aca="false">E12*(1+Inputs!$G$22)</f>
        <v>8</v>
      </c>
      <c r="G12" s="24" t="n">
        <f aca="false">F12*(1+Inputs!$H$22)</f>
        <v>8</v>
      </c>
      <c r="H12" s="24" t="n">
        <f aca="false">G12*(1+Inputs!$I$22)</f>
        <v>8</v>
      </c>
      <c r="I12" s="24" t="n">
        <f aca="false">H12*(1+Inputs!$J$22)</f>
        <v>8</v>
      </c>
    </row>
    <row r="13" customFormat="false" ht="15" hidden="false" customHeight="false" outlineLevel="0" collapsed="false">
      <c r="A13" s="25" t="s">
        <v>118</v>
      </c>
      <c r="C13" s="26" t="n">
        <f aca="false">SUM(C8:C12)</f>
        <v>8494</v>
      </c>
      <c r="D13" s="26" t="n">
        <f aca="false">SUM(D8:D12)</f>
        <v>8986</v>
      </c>
      <c r="E13" s="26" t="n">
        <f aca="false">SUM(E8:E12)</f>
        <v>9659.69</v>
      </c>
      <c r="F13" s="26" t="n">
        <f aca="false">SUM(F8:F12)</f>
        <v>10283.87</v>
      </c>
      <c r="G13" s="26" t="n">
        <f aca="false">SUM(G8:G12)</f>
        <v>10921.8957365</v>
      </c>
      <c r="H13" s="26" t="n">
        <f aca="false">SUM(H8:H12)</f>
        <v>11596.9049100425</v>
      </c>
      <c r="I13" s="26" t="n">
        <f aca="false">SUM(I8:I12)</f>
        <v>12280.9259327351</v>
      </c>
    </row>
    <row r="14" customFormat="false" ht="15" hidden="false" customHeight="false" outlineLevel="0" collapsed="false">
      <c r="A14" s="0" t="s">
        <v>119</v>
      </c>
      <c r="C14" s="24"/>
      <c r="D14" s="24"/>
      <c r="E14" s="24" t="n">
        <f aca="false">IF(E$4=Inputs!$C$47,Inputs!$C$48/Inputs!$C$14*(1+Inputs!$C$49)^(E$4-2026),IF(E$4&gt;Inputs!$C$47,D14*(1+Inputs!$C$49),0))</f>
        <v>0</v>
      </c>
      <c r="F14" s="24" t="n">
        <f aca="false">IF(F$4=Inputs!$C$47,Inputs!$C$48/Inputs!$C$14*(1+Inputs!$C$49)^(F$4-2026),IF(F$4&gt;Inputs!$C$47,E14*(1+Inputs!$C$49),0))</f>
        <v>263.030303030303</v>
      </c>
      <c r="G14" s="24" t="n">
        <f aca="false">IF(G$4=Inputs!$C$47,Inputs!$C$48/Inputs!$C$14*(1+Inputs!$C$49)^(G$4-2026),IF(G$4&gt;Inputs!$C$47,F14*(1+Inputs!$C$49),0))</f>
        <v>294.59393939394</v>
      </c>
      <c r="H14" s="24" t="n">
        <f aca="false">IF(H$4=Inputs!$C$47,Inputs!$C$48/Inputs!$C$14*(1+Inputs!$C$49)^(H$4-2026),IF(H$4&gt;Inputs!$C$47,G14*(1+Inputs!$C$49),0))</f>
        <v>329.945212121212</v>
      </c>
      <c r="I14" s="24" t="n">
        <f aca="false">IF(I$4=Inputs!$C$47,Inputs!$C$48/Inputs!$C$14*(1+Inputs!$C$49)^(I$4-2026),IF(I$4&gt;Inputs!$C$47,H14*(1+Inputs!$C$49),0))</f>
        <v>369.538637575758</v>
      </c>
    </row>
    <row r="15" customFormat="false" ht="15" hidden="false" customHeight="false" outlineLevel="0" collapsed="false">
      <c r="A15" s="25" t="s">
        <v>120</v>
      </c>
      <c r="C15" s="27" t="n">
        <f aca="false">C13</f>
        <v>8494</v>
      </c>
      <c r="D15" s="27" t="n">
        <f aca="false">D13</f>
        <v>8986</v>
      </c>
      <c r="E15" s="27" t="n">
        <f aca="false">E13+E14</f>
        <v>9659.69</v>
      </c>
      <c r="F15" s="27" t="n">
        <f aca="false">F13+F14</f>
        <v>10546.9003030303</v>
      </c>
      <c r="G15" s="27" t="n">
        <f aca="false">G13+G14</f>
        <v>11216.4896758939</v>
      </c>
      <c r="H15" s="27" t="n">
        <f aca="false">H13+H14</f>
        <v>11926.8501221637</v>
      </c>
      <c r="I15" s="27" t="n">
        <f aca="false">I13+I14</f>
        <v>12650.4645703109</v>
      </c>
    </row>
    <row r="16" customFormat="false" ht="15" hidden="false" customHeight="false" outlineLevel="0" collapsed="false">
      <c r="A16" s="0" t="s">
        <v>121</v>
      </c>
      <c r="C16" s="13"/>
      <c r="D16" s="13" t="n">
        <f aca="false">D15/C15-1</f>
        <v>0.057923239934071</v>
      </c>
      <c r="E16" s="13" t="n">
        <f aca="false">E15/D15-1</f>
        <v>0.0749710661028267</v>
      </c>
      <c r="F16" s="13" t="n">
        <f aca="false">F15/E15-1</f>
        <v>0.0918466641300397</v>
      </c>
      <c r="G16" s="13" t="n">
        <f aca="false">G15/F15-1</f>
        <v>0.0634868400786202</v>
      </c>
      <c r="H16" s="13" t="n">
        <f aca="false">H15/G15-1</f>
        <v>0.0633317969165037</v>
      </c>
      <c r="I16" s="13" t="n">
        <f aca="false">I15/H15-1</f>
        <v>0.0606710439667928</v>
      </c>
    </row>
    <row r="17" customFormat="false" ht="15" hidden="false" customHeight="false" outlineLevel="0" collapsed="false">
      <c r="A17" s="0" t="s">
        <v>122</v>
      </c>
      <c r="C17" s="18" t="n">
        <v>364</v>
      </c>
      <c r="D17" s="18" t="n">
        <v>360</v>
      </c>
      <c r="E17" s="24" t="n">
        <f aca="false">D17*(1+Inputs!$C$23)</f>
        <v>370.8</v>
      </c>
      <c r="F17" s="24" t="n">
        <f aca="false">E17*(1+Inputs!$C$23)</f>
        <v>381.924</v>
      </c>
      <c r="G17" s="24" t="n">
        <f aca="false">F17*(1+Inputs!$C$23)</f>
        <v>393.38172</v>
      </c>
      <c r="H17" s="24" t="n">
        <f aca="false">G17*(1+Inputs!$C$23)</f>
        <v>405.1831716</v>
      </c>
      <c r="I17" s="24" t="n">
        <f aca="false">H17*(1+Inputs!$C$23)</f>
        <v>417.338666748</v>
      </c>
    </row>
    <row r="19" customFormat="false" ht="15" hidden="false" customHeight="false" outlineLevel="0" collapsed="false">
      <c r="A19" s="10" t="s">
        <v>123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0" t="s">
        <v>124</v>
      </c>
      <c r="C20" s="13"/>
      <c r="D20" s="13"/>
      <c r="E20" s="13" t="n">
        <f aca="false">Inputs!$F$26+IF(E$4&gt;=2027,Inputs!$C$9,0)</f>
        <v>0.515</v>
      </c>
      <c r="F20" s="13" t="n">
        <f aca="false">Inputs!$G$26+IF(F$4&gt;=2027,Inputs!$C$9,0)</f>
        <v>0.522</v>
      </c>
      <c r="G20" s="13" t="n">
        <f aca="false">Inputs!$H$26+IF(G$4&gt;=2027,Inputs!$C$9,0)</f>
        <v>0.528</v>
      </c>
      <c r="H20" s="13" t="n">
        <f aca="false">Inputs!$I$26+IF(H$4&gt;=2027,Inputs!$C$9,0)</f>
        <v>0.533</v>
      </c>
      <c r="I20" s="13" t="n">
        <f aca="false">Inputs!$J$26+IF(I$4&gt;=2027,Inputs!$C$9,0)</f>
        <v>0.537</v>
      </c>
    </row>
    <row r="21" customFormat="false" ht="15" hidden="false" customHeight="false" outlineLevel="0" collapsed="false">
      <c r="A21" s="25" t="s">
        <v>125</v>
      </c>
      <c r="C21" s="28" t="n">
        <v>4148</v>
      </c>
      <c r="D21" s="28" t="n">
        <v>4523</v>
      </c>
      <c r="E21" s="27" t="n">
        <f aca="false">E13*E20+E14*Inputs!$C$50</f>
        <v>4974.74035</v>
      </c>
      <c r="F21" s="27" t="n">
        <f aca="false">F13*F20+F14*Inputs!$C$50</f>
        <v>5473.39226121212</v>
      </c>
      <c r="G21" s="27" t="n">
        <f aca="false">G13*G20+G14*Inputs!$C$50</f>
        <v>5884.59852462958</v>
      </c>
      <c r="H21" s="27" t="n">
        <f aca="false">H13*H20+H14*Inputs!$C$50</f>
        <v>6313.12840190114</v>
      </c>
      <c r="I21" s="27" t="n">
        <f aca="false">I13*I20+I14*Inputs!$C$50</f>
        <v>6742.67268090905</v>
      </c>
    </row>
    <row r="22" customFormat="false" ht="15" hidden="false" customHeight="false" outlineLevel="0" collapsed="false">
      <c r="A22" s="0" t="s">
        <v>126</v>
      </c>
      <c r="C22" s="13" t="n">
        <f aca="false">C21/C15</f>
        <v>0.488344713915705</v>
      </c>
      <c r="D22" s="13" t="n">
        <f aca="false">D21/D15</f>
        <v>0.503338526596929</v>
      </c>
      <c r="E22" s="13" t="n">
        <f aca="false">E21/E15</f>
        <v>0.515</v>
      </c>
      <c r="F22" s="13" t="n">
        <f aca="false">F21/F15</f>
        <v>0.518957428623794</v>
      </c>
      <c r="G22" s="13" t="n">
        <f aca="false">G21/G15</f>
        <v>0.524638161730451</v>
      </c>
      <c r="H22" s="13" t="n">
        <f aca="false">H21/H15</f>
        <v>0.529320678740603</v>
      </c>
      <c r="I22" s="13" t="n">
        <f aca="false">I21/I15</f>
        <v>0.532998028920875</v>
      </c>
    </row>
    <row r="23" customFormat="false" ht="15" hidden="false" customHeight="false" outlineLevel="0" collapsed="false">
      <c r="A23" s="0" t="s">
        <v>127</v>
      </c>
      <c r="C23" s="18" t="n">
        <v>983</v>
      </c>
      <c r="D23" s="18" t="n">
        <v>1017</v>
      </c>
      <c r="E23" s="24" t="n">
        <f aca="false">E15*Inputs!$F$27</f>
        <v>1062.5659</v>
      </c>
      <c r="F23" s="24" t="n">
        <f aca="false">F15*Inputs!$G$27</f>
        <v>1139.06523272727</v>
      </c>
      <c r="G23" s="24" t="n">
        <f aca="false">G15*Inputs!$H$27</f>
        <v>1188.94790564476</v>
      </c>
      <c r="H23" s="24" t="n">
        <f aca="false">H15*Inputs!$I$27</f>
        <v>1240.39241270503</v>
      </c>
      <c r="I23" s="24" t="n">
        <f aca="false">I15*Inputs!$J$27</f>
        <v>1290.34738617171</v>
      </c>
    </row>
    <row r="24" customFormat="false" ht="15" hidden="false" customHeight="false" outlineLevel="0" collapsed="false">
      <c r="A24" s="25" t="s">
        <v>128</v>
      </c>
      <c r="C24" s="26" t="n">
        <f aca="false">C21-C23</f>
        <v>3165</v>
      </c>
      <c r="D24" s="26" t="n">
        <f aca="false">D21-D23</f>
        <v>3506</v>
      </c>
      <c r="E24" s="26" t="n">
        <f aca="false">E21-E23</f>
        <v>3912.17445</v>
      </c>
      <c r="F24" s="26" t="n">
        <f aca="false">F21-F23</f>
        <v>4334.32702848485</v>
      </c>
      <c r="G24" s="26" t="n">
        <f aca="false">G21-G23</f>
        <v>4695.65061898482</v>
      </c>
      <c r="H24" s="26" t="n">
        <f aca="false">H21-H23</f>
        <v>5072.73598919611</v>
      </c>
      <c r="I24" s="26" t="n">
        <f aca="false">I21-I23</f>
        <v>5452.32529473735</v>
      </c>
    </row>
    <row r="25" customFormat="false" ht="15" hidden="false" customHeight="false" outlineLevel="0" collapsed="false">
      <c r="A25" s="0" t="s">
        <v>129</v>
      </c>
      <c r="C25" s="18" t="n">
        <v>195</v>
      </c>
      <c r="D25" s="18" t="n">
        <v>179</v>
      </c>
      <c r="E25" s="24" t="n">
        <f aca="false">(D66-D63)*Inputs!$C$36+IF(E$4&gt;=Inputs!$C$47,Inputs!$C$46/Inputs!$C$14*(Inputs!$C$52-Inputs!$C$36),0)</f>
        <v>198.1095</v>
      </c>
      <c r="F25" s="24" t="n">
        <f aca="false">(E66-E63)*Inputs!$C$36+IF(F$4&gt;=Inputs!$C$47,Inputs!$C$46/Inputs!$C$14*(Inputs!$C$52-Inputs!$C$36),0)</f>
        <v>296.782660576601</v>
      </c>
      <c r="G25" s="24" t="n">
        <f aca="false">(F66-F63)*Inputs!$C$36+IF(G$4&gt;=Inputs!$C$47,Inputs!$C$46/Inputs!$C$14*(Inputs!$C$52-Inputs!$C$36),0)</f>
        <v>360.495882447948</v>
      </c>
      <c r="H25" s="24" t="n">
        <f aca="false">(G66-G63)*Inputs!$C$36+IF(H$4&gt;=Inputs!$C$47,Inputs!$C$46/Inputs!$C$14*(Inputs!$C$52-Inputs!$C$36),0)</f>
        <v>355.491023448241</v>
      </c>
      <c r="I25" s="24" t="n">
        <f aca="false">(H66-H63)*Inputs!$C$36+IF(I$4&gt;=Inputs!$C$47,Inputs!$C$46/Inputs!$C$14*(Inputs!$C$52-Inputs!$C$36),0)</f>
        <v>350.077790477197</v>
      </c>
    </row>
    <row r="26" customFormat="false" ht="15" hidden="false" customHeight="false" outlineLevel="0" collapsed="false">
      <c r="A26" s="0" t="s">
        <v>130</v>
      </c>
      <c r="C26" s="24" t="n">
        <f aca="false">C24-C25</f>
        <v>2970</v>
      </c>
      <c r="D26" s="24" t="n">
        <f aca="false">D24-D25</f>
        <v>3327</v>
      </c>
      <c r="E26" s="24" t="n">
        <f aca="false">E24-E25</f>
        <v>3714.06495</v>
      </c>
      <c r="F26" s="24" t="n">
        <f aca="false">F24-F25</f>
        <v>4037.54436790825</v>
      </c>
      <c r="G26" s="24" t="n">
        <f aca="false">G24-G25</f>
        <v>4335.15473653687</v>
      </c>
      <c r="H26" s="24" t="n">
        <f aca="false">H24-H25</f>
        <v>4717.24496574787</v>
      </c>
      <c r="I26" s="24" t="n">
        <f aca="false">I24-I25</f>
        <v>5102.24750426015</v>
      </c>
    </row>
    <row r="27" customFormat="false" ht="15" hidden="false" customHeight="false" outlineLevel="0" collapsed="false">
      <c r="A27" s="0" t="s">
        <v>131</v>
      </c>
      <c r="C27" s="24"/>
      <c r="D27" s="24"/>
      <c r="E27" s="24" t="n">
        <f aca="false">E26*Inputs!$C$33</f>
        <v>909.94591275</v>
      </c>
      <c r="F27" s="24" t="n">
        <f aca="false">F26*Inputs!$C$33</f>
        <v>989.198370137521</v>
      </c>
      <c r="G27" s="24" t="n">
        <f aca="false">G26*Inputs!$C$33</f>
        <v>1062.11291045153</v>
      </c>
      <c r="H27" s="24" t="n">
        <f aca="false">H26*Inputs!$C$33</f>
        <v>1155.72501660823</v>
      </c>
      <c r="I27" s="24" t="n">
        <f aca="false">I26*Inputs!$C$33</f>
        <v>1250.05063854374</v>
      </c>
    </row>
    <row r="28" customFormat="false" ht="15" hidden="false" customHeight="false" outlineLevel="0" collapsed="false">
      <c r="A28" s="0" t="s">
        <v>132</v>
      </c>
      <c r="C28" s="24"/>
      <c r="D28" s="24"/>
      <c r="E28" s="24" t="n">
        <f aca="false">E26-E27</f>
        <v>2804.11903725</v>
      </c>
      <c r="F28" s="24" t="n">
        <f aca="false">F26-F27</f>
        <v>3048.34599777073</v>
      </c>
      <c r="G28" s="24" t="n">
        <f aca="false">G26-G27</f>
        <v>3273.04182608534</v>
      </c>
      <c r="H28" s="24" t="n">
        <f aca="false">H26-H27</f>
        <v>3561.51994913964</v>
      </c>
      <c r="I28" s="24" t="n">
        <f aca="false">I26-I27</f>
        <v>3852.19686571641</v>
      </c>
    </row>
    <row r="29" customFormat="false" ht="15" hidden="false" customHeight="false" outlineLevel="0" collapsed="false">
      <c r="A29" s="0" t="s">
        <v>133</v>
      </c>
      <c r="C29" s="24"/>
      <c r="D29" s="24"/>
      <c r="E29" s="24" t="n">
        <f aca="false">E28*Inputs!$C$34</f>
        <v>361.73135580525</v>
      </c>
      <c r="F29" s="24" t="n">
        <f aca="false">F28*Inputs!$C$34</f>
        <v>393.236633712424</v>
      </c>
      <c r="G29" s="24" t="n">
        <f aca="false">G28*Inputs!$C$34</f>
        <v>422.222395565009</v>
      </c>
      <c r="H29" s="24" t="n">
        <f aca="false">H28*Inputs!$C$34</f>
        <v>459.436073439014</v>
      </c>
      <c r="I29" s="24" t="n">
        <f aca="false">I28*Inputs!$C$34</f>
        <v>496.933395677417</v>
      </c>
    </row>
    <row r="30" customFormat="false" ht="15" hidden="false" customHeight="false" outlineLevel="0" collapsed="false">
      <c r="A30" s="25" t="s">
        <v>134</v>
      </c>
      <c r="C30" s="26"/>
      <c r="D30" s="26"/>
      <c r="E30" s="26" t="n">
        <f aca="false">E28-E29</f>
        <v>2442.38768144475</v>
      </c>
      <c r="F30" s="26" t="n">
        <f aca="false">F28-F29</f>
        <v>2655.1093640583</v>
      </c>
      <c r="G30" s="26" t="n">
        <f aca="false">G28-G29</f>
        <v>2850.81943052033</v>
      </c>
      <c r="H30" s="26" t="n">
        <f aca="false">H28-H29</f>
        <v>3102.08387570063</v>
      </c>
      <c r="I30" s="26" t="n">
        <f aca="false">I28-I29</f>
        <v>3355.263470039</v>
      </c>
    </row>
    <row r="31" customFormat="false" ht="15" hidden="false" customHeight="false" outlineLevel="0" collapsed="false">
      <c r="A31" s="25" t="s">
        <v>135</v>
      </c>
      <c r="C31" s="29" t="n">
        <v>363.5</v>
      </c>
      <c r="D31" s="29" t="n">
        <v>420.6</v>
      </c>
      <c r="E31" s="30" t="n">
        <f aca="false">E30/E59*100</f>
        <v>493.588598717251</v>
      </c>
      <c r="F31" s="30" t="n">
        <f aca="false">F30/F59*100</f>
        <v>562.623490935893</v>
      </c>
      <c r="G31" s="30" t="n">
        <f aca="false">G30/G59*100</f>
        <v>624.460890711389</v>
      </c>
      <c r="H31" s="30" t="n">
        <f aca="false">H30/H59*100</f>
        <v>703.117118543421</v>
      </c>
      <c r="I31" s="30" t="n">
        <f aca="false">I30/I59*100</f>
        <v>787.927293248619</v>
      </c>
    </row>
    <row r="32" customFormat="false" ht="15" hidden="false" customHeight="false" outlineLevel="0" collapsed="false">
      <c r="A32" s="0" t="s">
        <v>136</v>
      </c>
      <c r="C32" s="13"/>
      <c r="D32" s="13" t="n">
        <f aca="false">D31/C31-1</f>
        <v>0.157083906464924</v>
      </c>
      <c r="E32" s="13" t="n">
        <f aca="false">E31/D31-1</f>
        <v>0.173534471510346</v>
      </c>
      <c r="F32" s="13" t="n">
        <f aca="false">F31/E31-1</f>
        <v>0.139863222931103</v>
      </c>
      <c r="G32" s="13" t="n">
        <f aca="false">G31/F31-1</f>
        <v>0.109909025790291</v>
      </c>
      <c r="H32" s="13" t="n">
        <f aca="false">H31/G31-1</f>
        <v>0.125958613264678</v>
      </c>
      <c r="I32" s="13" t="n">
        <f aca="false">I31/H31-1</f>
        <v>0.120620267190893</v>
      </c>
    </row>
    <row r="34" customFormat="false" ht="15" hidden="false" customHeight="false" outlineLevel="0" collapsed="false">
      <c r="A34" s="10" t="s">
        <v>137</v>
      </c>
      <c r="B34" s="11"/>
      <c r="C34" s="11"/>
      <c r="D34" s="11"/>
      <c r="E34" s="11"/>
      <c r="F34" s="11"/>
      <c r="G34" s="11"/>
      <c r="H34" s="11"/>
      <c r="I34" s="11"/>
    </row>
    <row r="35" customFormat="false" ht="15" hidden="false" customHeight="false" outlineLevel="0" collapsed="false">
      <c r="A35" s="0" t="s">
        <v>138</v>
      </c>
      <c r="C35" s="18" t="n">
        <v>1499</v>
      </c>
      <c r="D35" s="18" t="n">
        <v>1221</v>
      </c>
      <c r="E35" s="31" t="n">
        <f aca="false">Inputs!$C$29</f>
        <v>1150</v>
      </c>
      <c r="F35" s="24" t="n">
        <f aca="false">E35*(1-Inputs!$C$30)</f>
        <v>1092.5</v>
      </c>
      <c r="G35" s="24" t="n">
        <f aca="false">F35*(1-Inputs!$C$30)</f>
        <v>1037.875</v>
      </c>
      <c r="H35" s="24" t="n">
        <f aca="false">G35*(1-Inputs!$C$30)</f>
        <v>985.98125</v>
      </c>
      <c r="I35" s="24" t="n">
        <f aca="false">H35*(1-Inputs!$C$30)</f>
        <v>936.6821875</v>
      </c>
    </row>
    <row r="36" customFormat="false" ht="15" hidden="false" customHeight="false" outlineLevel="0" collapsed="false">
      <c r="A36" s="0" t="s">
        <v>139</v>
      </c>
      <c r="C36" s="24"/>
      <c r="D36" s="24"/>
      <c r="E36" s="31" t="n">
        <f aca="false">IF(E$4&gt;=Inputs!$C$47,Inputs!$C$51,0)</f>
        <v>0</v>
      </c>
      <c r="F36" s="31" t="n">
        <f aca="false">IF(F$4&gt;=Inputs!$C$47,Inputs!$C$51,0)</f>
        <v>110</v>
      </c>
      <c r="G36" s="31" t="n">
        <f aca="false">IF(G$4&gt;=Inputs!$C$47,Inputs!$C$51,0)</f>
        <v>110</v>
      </c>
      <c r="H36" s="31" t="n">
        <f aca="false">IF(H$4&gt;=Inputs!$C$47,Inputs!$C$51,0)</f>
        <v>110</v>
      </c>
      <c r="I36" s="31" t="n">
        <f aca="false">IF(I$4&gt;=Inputs!$C$47,Inputs!$C$51,0)</f>
        <v>110</v>
      </c>
    </row>
    <row r="37" customFormat="false" ht="15" hidden="false" customHeight="false" outlineLevel="0" collapsed="false">
      <c r="A37" s="0" t="s">
        <v>140</v>
      </c>
      <c r="C37" s="24"/>
      <c r="D37" s="24"/>
      <c r="E37" s="24" t="n">
        <f aca="false">E35+E36</f>
        <v>1150</v>
      </c>
      <c r="F37" s="24" t="n">
        <f aca="false">F35+F36</f>
        <v>1202.5</v>
      </c>
      <c r="G37" s="24" t="n">
        <f aca="false">G35+G36</f>
        <v>1147.875</v>
      </c>
      <c r="H37" s="24" t="n">
        <f aca="false">H35+H36</f>
        <v>1095.98125</v>
      </c>
      <c r="I37" s="24" t="n">
        <f aca="false">I35+I36</f>
        <v>1046.6821875</v>
      </c>
    </row>
    <row r="38" customFormat="false" ht="15" hidden="false" customHeight="false" outlineLevel="0" collapsed="false">
      <c r="A38" s="0" t="s">
        <v>141</v>
      </c>
      <c r="C38" s="24"/>
      <c r="D38" s="24"/>
      <c r="E38" s="24" t="n">
        <f aca="false">(E26-E37)*(1-Inputs!$C$33)</f>
        <v>1935.86903725</v>
      </c>
      <c r="F38" s="24" t="n">
        <f aca="false">(F26-F37)*(1-Inputs!$C$33)</f>
        <v>2140.45849777073</v>
      </c>
      <c r="G38" s="24" t="n">
        <f aca="false">(G26-G37)*(1-Inputs!$C$33)</f>
        <v>2406.39620108534</v>
      </c>
      <c r="H38" s="24" t="n">
        <f aca="false">(H26-H37)*(1-Inputs!$C$33)</f>
        <v>2734.05410538964</v>
      </c>
      <c r="I38" s="24" t="n">
        <f aca="false">(I26-I37)*(1-Inputs!$C$33)</f>
        <v>3061.95181415391</v>
      </c>
    </row>
    <row r="39" customFormat="false" ht="15" hidden="false" customHeight="false" outlineLevel="0" collapsed="false">
      <c r="A39" s="0" t="s">
        <v>142</v>
      </c>
      <c r="C39" s="24"/>
      <c r="D39" s="24"/>
      <c r="E39" s="24" t="n">
        <f aca="false">E38*(1-Inputs!$C$34)</f>
        <v>1686.14193144475</v>
      </c>
      <c r="F39" s="24" t="n">
        <f aca="false">F38*(1-Inputs!$C$34)</f>
        <v>1864.3393515583</v>
      </c>
      <c r="G39" s="24" t="n">
        <f aca="false">G38*(1-Inputs!$C$34)</f>
        <v>2095.97109114533</v>
      </c>
      <c r="H39" s="24" t="n">
        <f aca="false">H38*(1-Inputs!$C$34)</f>
        <v>2381.36112579438</v>
      </c>
      <c r="I39" s="24" t="n">
        <f aca="false">I38*(1-Inputs!$C$34)</f>
        <v>2666.96003012806</v>
      </c>
    </row>
    <row r="41" customFormat="false" ht="15" hidden="false" customHeight="false" outlineLevel="0" collapsed="false">
      <c r="A41" s="10" t="s">
        <v>143</v>
      </c>
      <c r="B41" s="11"/>
      <c r="C41" s="11"/>
      <c r="D41" s="11"/>
      <c r="E41" s="11"/>
      <c r="F41" s="11"/>
      <c r="G41" s="11"/>
      <c r="H41" s="11"/>
      <c r="I41" s="11"/>
    </row>
    <row r="42" customFormat="false" ht="15" hidden="false" customHeight="false" outlineLevel="0" collapsed="false">
      <c r="A42" s="0" t="s">
        <v>125</v>
      </c>
      <c r="C42" s="24"/>
      <c r="D42" s="24"/>
      <c r="E42" s="24" t="n">
        <f aca="false">E21</f>
        <v>4974.74035</v>
      </c>
      <c r="F42" s="24" t="n">
        <f aca="false">F21</f>
        <v>5473.39226121212</v>
      </c>
      <c r="G42" s="24" t="n">
        <f aca="false">G21</f>
        <v>5884.59852462958</v>
      </c>
      <c r="H42" s="24" t="n">
        <f aca="false">H21</f>
        <v>6313.12840190114</v>
      </c>
      <c r="I42" s="24" t="n">
        <f aca="false">I21</f>
        <v>6742.67268090905</v>
      </c>
    </row>
    <row r="43" customFormat="false" ht="15" hidden="false" customHeight="false" outlineLevel="0" collapsed="false">
      <c r="A43" s="0" t="s">
        <v>144</v>
      </c>
      <c r="C43" s="18" t="n">
        <v>957</v>
      </c>
      <c r="D43" s="18" t="n">
        <v>919</v>
      </c>
      <c r="E43" s="24" t="n">
        <f aca="false">E15*Inputs!$F$28</f>
        <v>917.67055</v>
      </c>
      <c r="F43" s="24" t="n">
        <f aca="false">F15*Inputs!$G$28</f>
        <v>1001.95552878788</v>
      </c>
      <c r="G43" s="24" t="n">
        <f aca="false">G15*Inputs!$H$28</f>
        <v>1043.13353985814</v>
      </c>
      <c r="H43" s="24" t="n">
        <f aca="false">H15*Inputs!$I$28</f>
        <v>1097.27021123906</v>
      </c>
      <c r="I43" s="24" t="n">
        <f aca="false">I15*Inputs!$J$28</f>
        <v>1138.54181132798</v>
      </c>
    </row>
    <row r="44" customFormat="false" ht="15" hidden="false" customHeight="false" outlineLevel="0" collapsed="false">
      <c r="A44" s="0" t="s">
        <v>145</v>
      </c>
      <c r="C44" s="24"/>
      <c r="D44" s="24"/>
      <c r="E44" s="24" t="n">
        <f aca="false">E25</f>
        <v>198.1095</v>
      </c>
      <c r="F44" s="24" t="n">
        <f aca="false">F25</f>
        <v>296.782660576601</v>
      </c>
      <c r="G44" s="24" t="n">
        <f aca="false">G25</f>
        <v>360.495882447948</v>
      </c>
      <c r="H44" s="24" t="n">
        <f aca="false">H25</f>
        <v>355.491023448241</v>
      </c>
      <c r="I44" s="24" t="n">
        <f aca="false">I25</f>
        <v>350.077790477197</v>
      </c>
    </row>
    <row r="45" customFormat="false" ht="15" hidden="false" customHeight="false" outlineLevel="0" collapsed="false">
      <c r="A45" s="0" t="s">
        <v>146</v>
      </c>
      <c r="C45" s="24"/>
      <c r="D45" s="24"/>
      <c r="E45" s="24" t="n">
        <f aca="false">E27</f>
        <v>909.94591275</v>
      </c>
      <c r="F45" s="24" t="n">
        <f aca="false">F27</f>
        <v>989.198370137521</v>
      </c>
      <c r="G45" s="24" t="n">
        <f aca="false">G27</f>
        <v>1062.11291045153</v>
      </c>
      <c r="H45" s="24" t="n">
        <f aca="false">H27</f>
        <v>1155.72501660823</v>
      </c>
      <c r="I45" s="24" t="n">
        <f aca="false">I27</f>
        <v>1250.05063854374</v>
      </c>
    </row>
    <row r="46" customFormat="false" ht="15" hidden="false" customHeight="false" outlineLevel="0" collapsed="false">
      <c r="A46" s="0" t="s">
        <v>147</v>
      </c>
      <c r="C46" s="24"/>
      <c r="D46" s="24"/>
      <c r="E46" s="24" t="n">
        <f aca="false">E21*Inputs!$C$37</f>
        <v>149.2422105</v>
      </c>
      <c r="F46" s="24" t="n">
        <f aca="false">F21*Inputs!$C$37</f>
        <v>164.201767836364</v>
      </c>
      <c r="G46" s="24" t="n">
        <f aca="false">G21*Inputs!$C$37</f>
        <v>176.537955738887</v>
      </c>
      <c r="H46" s="24" t="n">
        <f aca="false">H21*Inputs!$C$37</f>
        <v>189.393852057034</v>
      </c>
      <c r="I46" s="24" t="n">
        <f aca="false">I21*Inputs!$C$37</f>
        <v>202.280180427272</v>
      </c>
    </row>
    <row r="47" customFormat="false" ht="15" hidden="false" customHeight="false" outlineLevel="0" collapsed="false">
      <c r="A47" s="25" t="s">
        <v>148</v>
      </c>
      <c r="C47" s="32" t="n">
        <v>2184</v>
      </c>
      <c r="D47" s="32" t="n">
        <v>2445</v>
      </c>
      <c r="E47" s="26" t="n">
        <f aca="false">E42-E43-E44-E45-E46</f>
        <v>2799.77217675</v>
      </c>
      <c r="F47" s="26" t="n">
        <f aca="false">F42-F43-F44-F45-F46</f>
        <v>3021.25393387376</v>
      </c>
      <c r="G47" s="26" t="n">
        <f aca="false">G42-G43-G44-G45-G46</f>
        <v>3242.31823613307</v>
      </c>
      <c r="H47" s="26" t="n">
        <f aca="false">H42-H43-H44-H45-H46</f>
        <v>3515.24829854857</v>
      </c>
      <c r="I47" s="26" t="n">
        <f aca="false">I42-I43-I44-I45-I46</f>
        <v>3801.72226013287</v>
      </c>
    </row>
    <row r="48" customFormat="false" ht="15" hidden="false" customHeight="false" outlineLevel="0" collapsed="false">
      <c r="A48" s="0" t="s">
        <v>149</v>
      </c>
      <c r="C48" s="24"/>
      <c r="D48" s="24"/>
      <c r="E48" s="31" t="n">
        <f aca="false">IF(E$4=Inputs!$C$47,Inputs!$C$46/Inputs!$C$14,0)</f>
        <v>0</v>
      </c>
      <c r="F48" s="31" t="n">
        <f aca="false">IF(F$4=Inputs!$C$47,Inputs!$C$46/Inputs!$C$14,0)</f>
        <v>2678.0303030303</v>
      </c>
      <c r="G48" s="31" t="n">
        <f aca="false">IF(G$4=Inputs!$C$47,Inputs!$C$46/Inputs!$C$14,0)</f>
        <v>0</v>
      </c>
      <c r="H48" s="31" t="n">
        <f aca="false">IF(H$4=Inputs!$C$47,Inputs!$C$46/Inputs!$C$14,0)</f>
        <v>0</v>
      </c>
      <c r="I48" s="31" t="n">
        <f aca="false">IF(I$4=Inputs!$C$47,Inputs!$C$46/Inputs!$C$14,0)</f>
        <v>0</v>
      </c>
    </row>
    <row r="49" customFormat="false" ht="15" hidden="false" customHeight="false" outlineLevel="0" collapsed="false">
      <c r="A49" s="0" t="s">
        <v>150</v>
      </c>
      <c r="C49" s="24"/>
      <c r="D49" s="24"/>
      <c r="E49" s="24" t="n">
        <f aca="false">E48</f>
        <v>0</v>
      </c>
      <c r="F49" s="24" t="n">
        <f aca="false">F48</f>
        <v>2678.0303030303</v>
      </c>
      <c r="G49" s="24" t="n">
        <f aca="false">G48</f>
        <v>0</v>
      </c>
      <c r="H49" s="24" t="n">
        <f aca="false">H48</f>
        <v>0</v>
      </c>
      <c r="I49" s="24" t="n">
        <f aca="false">I48</f>
        <v>0</v>
      </c>
    </row>
    <row r="50" customFormat="false" ht="15" hidden="false" customHeight="false" outlineLevel="0" collapsed="false">
      <c r="A50" s="0" t="s">
        <v>151</v>
      </c>
      <c r="C50" s="24"/>
      <c r="D50" s="24"/>
      <c r="E50" s="24" t="n">
        <f aca="false">E60*E56/100</f>
        <v>879.25956532011</v>
      </c>
      <c r="F50" s="24" t="n">
        <f aca="false">F60*F56/100</f>
        <v>955.839371060989</v>
      </c>
      <c r="G50" s="24" t="n">
        <f aca="false">G60*G56/100</f>
        <v>1026.29499498732</v>
      </c>
      <c r="H50" s="24" t="n">
        <f aca="false">H60*H56/100</f>
        <v>1116.75019525223</v>
      </c>
      <c r="I50" s="24" t="n">
        <f aca="false">I60*I56/100</f>
        <v>1207.89484921404</v>
      </c>
    </row>
    <row r="51" customFormat="false" ht="15" hidden="false" customHeight="false" outlineLevel="0" collapsed="false">
      <c r="A51" s="0" t="s">
        <v>152</v>
      </c>
      <c r="C51" s="24"/>
      <c r="D51" s="24"/>
      <c r="E51" s="24" t="n">
        <f aca="false">E29*Inputs!$C$35</f>
        <v>217.03881348315</v>
      </c>
      <c r="F51" s="24" t="n">
        <f aca="false">F29*Inputs!$C$35</f>
        <v>235.941980227454</v>
      </c>
      <c r="G51" s="24" t="n">
        <f aca="false">G29*Inputs!$C$35</f>
        <v>253.333437339005</v>
      </c>
      <c r="H51" s="24" t="n">
        <f aca="false">H29*Inputs!$C$35</f>
        <v>275.661644063408</v>
      </c>
      <c r="I51" s="24" t="n">
        <f aca="false">I29*Inputs!$C$35</f>
        <v>298.16003740645</v>
      </c>
    </row>
    <row r="52" customFormat="false" ht="15" hidden="false" customHeight="false" outlineLevel="0" collapsed="false">
      <c r="A52" s="0" t="s">
        <v>153</v>
      </c>
      <c r="C52" s="18" t="n">
        <v>1052</v>
      </c>
      <c r="D52" s="18" t="n">
        <v>2152</v>
      </c>
      <c r="E52" s="24" t="n">
        <f aca="false">IF(ISNUMBER(Inputs!$F$41),Inputs!$F$41,MAX(0,(E47-E50-E51)*Inputs!$C$42))</f>
        <v>3000</v>
      </c>
      <c r="F52" s="24" t="n">
        <f aca="false">IF(ISNUMBER(Inputs!$G$41),Inputs!$G$41,MAX(0,(F47-F50-F51)*Inputs!$C$42))</f>
        <v>1650</v>
      </c>
      <c r="G52" s="24" t="n">
        <f aca="false">IF(ISNUMBER(Inputs!$H$41),Inputs!$H$41,MAX(0,(G47-G50-G51)*Inputs!$C$42))</f>
        <v>1766.42082342607</v>
      </c>
      <c r="H52" s="24" t="n">
        <f aca="false">IF(ISNUMBER(Inputs!$I$41),Inputs!$I$41,MAX(0,(H47-H50-H51)*Inputs!$C$42))</f>
        <v>1910.55281330965</v>
      </c>
      <c r="I52" s="24" t="n">
        <f aca="false">IF(ISNUMBER(Inputs!$J$41),Inputs!$J$41,MAX(0,(I47-I50-I51)*Inputs!$C$42))</f>
        <v>2066.10063616114</v>
      </c>
    </row>
    <row r="53" customFormat="false" ht="15" hidden="false" customHeight="false" outlineLevel="0" collapsed="false">
      <c r="A53" s="25" t="s">
        <v>154</v>
      </c>
      <c r="C53" s="26"/>
      <c r="D53" s="26"/>
      <c r="E53" s="26" t="n">
        <f aca="false">E47-E48+E49-E50-E51-E52</f>
        <v>-1296.52620205326</v>
      </c>
      <c r="F53" s="26" t="n">
        <f aca="false">F47-F48+F49-F50-F51-F52</f>
        <v>179.472582585314</v>
      </c>
      <c r="G53" s="26" t="n">
        <f aca="false">G47-G48+G49-G50-G51-G52</f>
        <v>196.268980380675</v>
      </c>
      <c r="H53" s="26" t="n">
        <f aca="false">H47-H48+H49-H50-H51-H52</f>
        <v>212.283645923294</v>
      </c>
      <c r="I53" s="26" t="n">
        <f aca="false">I47-I48+I49-I50-I51-I52</f>
        <v>229.566737351238</v>
      </c>
    </row>
    <row r="55" customFormat="false" ht="15" hidden="false" customHeight="false" outlineLevel="0" collapsed="false">
      <c r="A55" s="10" t="s">
        <v>155</v>
      </c>
      <c r="B55" s="11"/>
      <c r="C55" s="11"/>
      <c r="D55" s="11"/>
      <c r="E55" s="11"/>
      <c r="F55" s="11"/>
      <c r="G55" s="11"/>
      <c r="H55" s="11"/>
      <c r="I55" s="11"/>
    </row>
    <row r="56" customFormat="false" ht="15" hidden="false" customHeight="false" outlineLevel="0" collapsed="false">
      <c r="A56" s="0" t="s">
        <v>156</v>
      </c>
      <c r="C56" s="33"/>
      <c r="D56" s="33"/>
      <c r="E56" s="34" t="n">
        <f aca="false">Inputs!$C$15</f>
        <v>510</v>
      </c>
      <c r="F56" s="33" t="n">
        <f aca="false">E58</f>
        <v>479.645096257118</v>
      </c>
      <c r="G56" s="33" t="n">
        <f aca="false">F58</f>
        <v>464.186580462131</v>
      </c>
      <c r="H56" s="33" t="n">
        <f aca="false">G58</f>
        <v>448.863211102128</v>
      </c>
      <c r="I56" s="33" t="n">
        <f aca="false">H58</f>
        <v>433.517204304885</v>
      </c>
    </row>
    <row r="57" customFormat="false" ht="15" hidden="false" customHeight="false" outlineLevel="0" collapsed="false">
      <c r="A57" s="0" t="s">
        <v>157</v>
      </c>
      <c r="C57" s="35"/>
      <c r="D57" s="35"/>
      <c r="E57" s="35" t="n">
        <f aca="false">Inputs!$C$13*(1+Inputs!$C$43)^(0+0.5)</f>
        <v>9883.08190798802</v>
      </c>
      <c r="F57" s="35" t="n">
        <f aca="false">Inputs!$C$13*(1+Inputs!$C$43)^(1+0.5)</f>
        <v>10673.7284606271</v>
      </c>
      <c r="G57" s="35" t="n">
        <f aca="false">Inputs!$C$13*(1+Inputs!$C$43)^(2+0.5)</f>
        <v>11527.6267374772</v>
      </c>
      <c r="H57" s="35" t="n">
        <f aca="false">Inputs!$C$13*(1+Inputs!$C$43)^(3+0.5)</f>
        <v>12449.8368764754</v>
      </c>
      <c r="I57" s="35" t="n">
        <f aca="false">Inputs!$C$13*(1+Inputs!$C$43)^(4+0.5)</f>
        <v>13445.8238265934</v>
      </c>
    </row>
    <row r="58" customFormat="false" ht="15" hidden="false" customHeight="false" outlineLevel="0" collapsed="false">
      <c r="A58" s="0" t="s">
        <v>158</v>
      </c>
      <c r="C58" s="33"/>
      <c r="D58" s="33"/>
      <c r="E58" s="33" t="n">
        <f aca="false">E56-E52/E57*100</f>
        <v>479.645096257118</v>
      </c>
      <c r="F58" s="33" t="n">
        <f aca="false">F56-F52/F57*100</f>
        <v>464.186580462131</v>
      </c>
      <c r="G58" s="33" t="n">
        <f aca="false">G56-G52/G57*100</f>
        <v>448.863211102128</v>
      </c>
      <c r="H58" s="33" t="n">
        <f aca="false">H56-H52/H57*100</f>
        <v>433.517204304885</v>
      </c>
      <c r="I58" s="33" t="n">
        <f aca="false">I56-I52/I57*100</f>
        <v>418.151090165603</v>
      </c>
    </row>
    <row r="59" customFormat="false" ht="15" hidden="false" customHeight="false" outlineLevel="0" collapsed="false">
      <c r="A59" s="0" t="s">
        <v>159</v>
      </c>
      <c r="C59" s="17" t="n">
        <v>532</v>
      </c>
      <c r="D59" s="17" t="n">
        <v>524</v>
      </c>
      <c r="E59" s="33" t="n">
        <f aca="false">(E56+E58)/2</f>
        <v>494.822548128559</v>
      </c>
      <c r="F59" s="33" t="n">
        <f aca="false">(F56+F58)/2</f>
        <v>471.915838359624</v>
      </c>
      <c r="G59" s="33" t="n">
        <f aca="false">(G56+G58)/2</f>
        <v>456.52489578213</v>
      </c>
      <c r="H59" s="33" t="n">
        <f aca="false">(H56+H58)/2</f>
        <v>441.190207703506</v>
      </c>
      <c r="I59" s="33" t="n">
        <f aca="false">(I56+I58)/2</f>
        <v>425.834147235244</v>
      </c>
    </row>
    <row r="60" customFormat="false" ht="15" hidden="false" customHeight="false" outlineLevel="0" collapsed="false">
      <c r="A60" s="0" t="s">
        <v>160</v>
      </c>
      <c r="C60" s="36" t="n">
        <v>130</v>
      </c>
      <c r="D60" s="36" t="n">
        <v>150</v>
      </c>
      <c r="E60" s="37" t="n">
        <f aca="false">E30/E56*100*Inputs!$C$40</f>
        <v>172.403836337276</v>
      </c>
      <c r="F60" s="37" t="n">
        <f aca="false">F30/F56*100*Inputs!$C$40</f>
        <v>199.280546912671</v>
      </c>
      <c r="G60" s="37" t="n">
        <f aca="false">G30/G56*100*Inputs!$C$40</f>
        <v>221.095360827874</v>
      </c>
      <c r="H60" s="37" t="n">
        <f aca="false">H30/H56*100*Inputs!$C$40</f>
        <v>248.795215921168</v>
      </c>
      <c r="I60" s="37" t="n">
        <f aca="false">I30/I56*100*Inputs!$C$40</f>
        <v>278.626738966638</v>
      </c>
    </row>
    <row r="62" customFormat="false" ht="15" hidden="false" customHeight="false" outlineLevel="0" collapsed="false">
      <c r="A62" s="10" t="s">
        <v>161</v>
      </c>
      <c r="B62" s="11"/>
      <c r="C62" s="11"/>
      <c r="D62" s="11"/>
      <c r="E62" s="11"/>
      <c r="F62" s="11"/>
      <c r="G62" s="11"/>
      <c r="H62" s="11"/>
      <c r="I62" s="11"/>
    </row>
    <row r="63" customFormat="false" ht="15" hidden="false" customHeight="false" outlineLevel="0" collapsed="false">
      <c r="A63" s="0" t="s">
        <v>162</v>
      </c>
      <c r="C63" s="24"/>
      <c r="D63" s="18" t="n">
        <v>3949</v>
      </c>
      <c r="E63" s="24" t="n">
        <f aca="false">D63+E53</f>
        <v>2652.47379794674</v>
      </c>
      <c r="F63" s="24" t="n">
        <f aca="false">E63+F53</f>
        <v>2831.94638053205</v>
      </c>
      <c r="G63" s="24" t="n">
        <f aca="false">F63+G53</f>
        <v>3028.21536091273</v>
      </c>
      <c r="H63" s="24" t="n">
        <f aca="false">G63+H53</f>
        <v>3240.49900683602</v>
      </c>
      <c r="I63" s="24" t="n">
        <f aca="false">H63+I53</f>
        <v>3470.06574418726</v>
      </c>
    </row>
    <row r="64" customFormat="false" ht="15" hidden="false" customHeight="false" outlineLevel="0" collapsed="false">
      <c r="A64" s="0" t="s">
        <v>163</v>
      </c>
      <c r="C64" s="24"/>
      <c r="D64" s="18" t="n">
        <v>31273</v>
      </c>
      <c r="E64" s="24" t="n">
        <f aca="false">D64+E43+E48-E23-E37</f>
        <v>29978.10465</v>
      </c>
      <c r="F64" s="24" t="n">
        <f aca="false">E64+F43+F48-F23-F37</f>
        <v>31316.5252490909</v>
      </c>
      <c r="G64" s="24" t="n">
        <f aca="false">F64+G43+G48-G23-G37</f>
        <v>30022.8358833043</v>
      </c>
      <c r="H64" s="24" t="n">
        <f aca="false">G64+H43+H48-H23-H37</f>
        <v>28783.7324318383</v>
      </c>
      <c r="I64" s="24" t="n">
        <f aca="false">H64+I43+I48-I23-I37</f>
        <v>27585.2446694946</v>
      </c>
    </row>
    <row r="65" customFormat="false" ht="15" hidden="false" customHeight="false" outlineLevel="0" collapsed="false">
      <c r="A65" s="0" t="s">
        <v>164</v>
      </c>
      <c r="C65" s="24"/>
      <c r="D65" s="24" t="n">
        <f aca="false">D67+D66-D63-D64</f>
        <v>-1336</v>
      </c>
      <c r="E65" s="24" t="n">
        <f aca="false">D65+E46+E37*Inputs!$C$33</f>
        <v>-905.0077895</v>
      </c>
      <c r="F65" s="24" t="n">
        <f aca="false">E65+F46+F37*Inputs!$C$33</f>
        <v>-446.193521663636</v>
      </c>
      <c r="G65" s="24" t="n">
        <f aca="false">F65+G46+G37*Inputs!$C$33</f>
        <v>11.573809075251</v>
      </c>
      <c r="H65" s="24" t="n">
        <f aca="false">G65+H46+H37*Inputs!$C$33</f>
        <v>469.483067382285</v>
      </c>
      <c r="I65" s="24" t="n">
        <f aca="false">H65+I46+I37*Inputs!$C$33</f>
        <v>928.200383747057</v>
      </c>
    </row>
    <row r="66" customFormat="false" ht="15" hidden="false" customHeight="false" outlineLevel="0" collapsed="false">
      <c r="A66" s="0" t="s">
        <v>165</v>
      </c>
      <c r="C66" s="24"/>
      <c r="D66" s="18" t="n">
        <v>11718</v>
      </c>
      <c r="E66" s="24" t="n">
        <f aca="false">D66+E49</f>
        <v>11718</v>
      </c>
      <c r="F66" s="24" t="n">
        <f aca="false">E66+F49</f>
        <v>14396.0303030303</v>
      </c>
      <c r="G66" s="24" t="n">
        <f aca="false">F66+G49</f>
        <v>14396.0303030303</v>
      </c>
      <c r="H66" s="24" t="n">
        <f aca="false">G66+H49</f>
        <v>14396.0303030303</v>
      </c>
      <c r="I66" s="24" t="n">
        <f aca="false">H66+I49</f>
        <v>14396.0303030303</v>
      </c>
    </row>
    <row r="67" customFormat="false" ht="15" hidden="false" customHeight="false" outlineLevel="0" collapsed="false">
      <c r="A67" s="0" t="s">
        <v>166</v>
      </c>
      <c r="C67" s="24"/>
      <c r="D67" s="18" t="n">
        <v>22168</v>
      </c>
      <c r="E67" s="24" t="n">
        <f aca="false">D67+E38-E50-E51-E52</f>
        <v>20007.5706584467</v>
      </c>
      <c r="F67" s="24" t="n">
        <f aca="false">E67+F38-F50-F51-F52</f>
        <v>19306.247804929</v>
      </c>
      <c r="G67" s="24" t="n">
        <f aca="false">F67+G38-G50-G51-G52</f>
        <v>18666.594750262</v>
      </c>
      <c r="H67" s="24" t="n">
        <f aca="false">G67+H38-H50-H51-H52</f>
        <v>18097.6842030263</v>
      </c>
      <c r="I67" s="24" t="n">
        <f aca="false">H67+I38-I50-I51-I52</f>
        <v>17587.4804943986</v>
      </c>
    </row>
    <row r="68" customFormat="false" ht="15" hidden="false" customHeight="false" outlineLevel="0" collapsed="false">
      <c r="A68" s="25" t="s">
        <v>167</v>
      </c>
      <c r="C68" s="27"/>
      <c r="D68" s="27" t="n">
        <f aca="false">ROUND(D63+D64+D65-D66-D67,3)</f>
        <v>0</v>
      </c>
      <c r="E68" s="27" t="n">
        <f aca="false">ROUND(E63+E64+E65-E66-E67,3)</f>
        <v>0</v>
      </c>
      <c r="F68" s="27" t="n">
        <f aca="false">ROUND(F63+F64+F65-F66-F67,3)</f>
        <v>0</v>
      </c>
      <c r="G68" s="27" t="n">
        <f aca="false">ROUND(G63+G64+G65-G66-G67,3)</f>
        <v>0</v>
      </c>
      <c r="H68" s="27" t="n">
        <f aca="false">ROUND(H63+H64+H65-H66-H67,3)</f>
        <v>0</v>
      </c>
      <c r="I68" s="27" t="n">
        <f aca="false">ROUND(I63+I64+I65-I66-I67,3)</f>
        <v>0</v>
      </c>
    </row>
    <row r="69" customFormat="false" ht="15" hidden="false" customHeight="false" outlineLevel="0" collapsed="false">
      <c r="A69" s="0" t="s">
        <v>168</v>
      </c>
      <c r="C69" s="38"/>
      <c r="D69" s="38" t="n">
        <f aca="false">D66-D63</f>
        <v>7769</v>
      </c>
      <c r="E69" s="38" t="n">
        <f aca="false">E66-E63</f>
        <v>9065.52620205326</v>
      </c>
      <c r="F69" s="38" t="n">
        <f aca="false">F66-F63</f>
        <v>11564.0839224983</v>
      </c>
      <c r="G69" s="38" t="n">
        <f aca="false">G66-G63</f>
        <v>11367.8149421176</v>
      </c>
      <c r="H69" s="38" t="n">
        <f aca="false">H66-H63</f>
        <v>11155.5312961943</v>
      </c>
      <c r="I69" s="38" t="n">
        <f aca="false">I66-I63</f>
        <v>10925.964558843</v>
      </c>
    </row>
    <row r="70" customFormat="false" ht="15" hidden="false" customHeight="false" outlineLevel="0" collapsed="false">
      <c r="A70" s="0" t="s">
        <v>169</v>
      </c>
      <c r="C70" s="39"/>
      <c r="D70" s="39" t="n">
        <f aca="false">D69/D21</f>
        <v>1.7176652664161</v>
      </c>
      <c r="E70" s="39" t="n">
        <f aca="false">E69/E21</f>
        <v>1.82231143019419</v>
      </c>
      <c r="F70" s="39" t="n">
        <f aca="false">F69/F21</f>
        <v>2.1127818673711</v>
      </c>
      <c r="G70" s="39" t="n">
        <f aca="false">G69/G21</f>
        <v>1.9317910804855</v>
      </c>
      <c r="H70" s="39" t="n">
        <f aca="false">H69/H21</f>
        <v>1.76703697216659</v>
      </c>
      <c r="I70" s="39" t="n">
        <f aca="false">I69/I21</f>
        <v>1.62042042909459</v>
      </c>
    </row>
    <row r="72" customFormat="false" ht="15" hidden="false" customHeight="false" outlineLevel="0" collapsed="false">
      <c r="A72" s="10" t="s">
        <v>170</v>
      </c>
      <c r="B72" s="11"/>
      <c r="C72" s="11"/>
      <c r="D72" s="11"/>
      <c r="E72" s="11"/>
      <c r="F72" s="11"/>
      <c r="G72" s="11"/>
      <c r="H72" s="11"/>
      <c r="I72" s="11"/>
    </row>
    <row r="73" customFormat="false" ht="15" hidden="false" customHeight="false" outlineLevel="0" collapsed="false">
      <c r="A73" s="25" t="s">
        <v>171</v>
      </c>
      <c r="C73" s="27"/>
      <c r="D73" s="27"/>
      <c r="E73" s="27" t="n">
        <f aca="false">E21-E43-E24*Inputs!$C$33-E46</f>
        <v>2949.34484925</v>
      </c>
      <c r="F73" s="27" t="n">
        <f aca="false">F21-F43-F24*Inputs!$C$33-F46</f>
        <v>3245.32484260909</v>
      </c>
      <c r="G73" s="27" t="n">
        <f aca="false">G21-G43-G24*Inputs!$C$33-G46</f>
        <v>3514.49262738127</v>
      </c>
      <c r="H73" s="27" t="n">
        <f aca="false">H21-H43-H24*Inputs!$C$33-H46</f>
        <v>3783.644021252</v>
      </c>
      <c r="I73" s="27" t="n">
        <f aca="false">I21-I43-I24*Inputs!$C$33-I46</f>
        <v>4066.03099194315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8" t="s">
        <v>172</v>
      </c>
    </row>
    <row r="3" customFormat="false" ht="15" hidden="false" customHeight="false" outlineLevel="0" collapsed="false">
      <c r="A3" s="0" t="s">
        <v>173</v>
      </c>
      <c r="B3" s="13" t="n">
        <f aca="false">Inputs!$C$55+Inputs!$C$56*Inputs!$C$57</f>
        <v>0.0915</v>
      </c>
    </row>
    <row r="4" customFormat="false" ht="15" hidden="false" customHeight="false" outlineLevel="0" collapsed="false">
      <c r="A4" s="0" t="s">
        <v>174</v>
      </c>
      <c r="B4" s="13" t="n">
        <f aca="false">Inputs!$C$58*(1-Inputs!$C$33)</f>
        <v>0.03775</v>
      </c>
    </row>
    <row r="5" customFormat="false" ht="15" hidden="false" customHeight="false" outlineLevel="0" collapsed="false">
      <c r="A5" s="0" t="s">
        <v>175</v>
      </c>
      <c r="B5" s="40" t="n">
        <f aca="false">(1-Inputs!$C$59)*B3+Inputs!$C$59*B4</f>
        <v>0.0834375</v>
      </c>
    </row>
    <row r="6" customFormat="false" ht="15" hidden="false" customHeight="false" outlineLevel="0" collapsed="false">
      <c r="A6" s="0" t="s">
        <v>27</v>
      </c>
      <c r="B6" s="13" t="n">
        <f aca="false">Inputs!$C$10</f>
        <v>0.03</v>
      </c>
    </row>
    <row r="8" customFormat="false" ht="15" hidden="false" customHeight="false" outlineLevel="0" collapsed="false">
      <c r="A8" s="9" t="s">
        <v>110</v>
      </c>
      <c r="B8" s="9" t="n">
        <v>2027</v>
      </c>
      <c r="C8" s="9" t="n">
        <v>2028</v>
      </c>
      <c r="D8" s="9" t="n">
        <v>2029</v>
      </c>
      <c r="E8" s="9" t="n">
        <v>2030</v>
      </c>
    </row>
    <row r="9" customFormat="false" ht="15" hidden="false" customHeight="false" outlineLevel="0" collapsed="false">
      <c r="A9" s="0" t="s">
        <v>176</v>
      </c>
      <c r="B9" s="0" t="n">
        <v>1</v>
      </c>
      <c r="C9" s="0" t="n">
        <v>2</v>
      </c>
      <c r="D9" s="0" t="n">
        <v>3</v>
      </c>
      <c r="E9" s="0" t="n">
        <v>4</v>
      </c>
    </row>
    <row r="10" customFormat="false" ht="15" hidden="false" customHeight="false" outlineLevel="0" collapsed="false">
      <c r="A10" s="0" t="s">
        <v>171</v>
      </c>
      <c r="B10" s="31" t="n">
        <f aca="false">Model!F73</f>
        <v>3245.32484260909</v>
      </c>
      <c r="C10" s="31" t="n">
        <f aca="false">Model!G73</f>
        <v>3514.49262738127</v>
      </c>
      <c r="D10" s="31" t="n">
        <f aca="false">Model!H73</f>
        <v>3783.644021252</v>
      </c>
      <c r="E10" s="31" t="n">
        <f aca="false">Model!I73</f>
        <v>4066.03099194315</v>
      </c>
    </row>
    <row r="11" customFormat="false" ht="15" hidden="false" customHeight="false" outlineLevel="0" collapsed="false">
      <c r="A11" s="0" t="s">
        <v>177</v>
      </c>
      <c r="B11" s="41" t="n">
        <f aca="false">1/(1+$B$5)^(B9-0.5)</f>
        <v>0.960722735347727</v>
      </c>
      <c r="C11" s="41" t="n">
        <f aca="false">1/(1+$B$5)^(C9-0.5)</f>
        <v>0.886735723424495</v>
      </c>
      <c r="D11" s="41" t="n">
        <f aca="false">1/(1+$B$5)^(D9-0.5)</f>
        <v>0.818446586373921</v>
      </c>
      <c r="E11" s="41" t="n">
        <f aca="false">1/(1+$B$5)^(E9-0.5)</f>
        <v>0.755416520448961</v>
      </c>
    </row>
    <row r="12" customFormat="false" ht="15" hidden="false" customHeight="false" outlineLevel="0" collapsed="false">
      <c r="A12" s="0" t="s">
        <v>178</v>
      </c>
      <c r="B12" s="24" t="n">
        <f aca="false">B10*B11</f>
        <v>3117.85735988334</v>
      </c>
      <c r="C12" s="24" t="n">
        <f aca="false">C10*C11</f>
        <v>3116.42616241099</v>
      </c>
      <c r="D12" s="24" t="n">
        <f aca="false">D10*D11</f>
        <v>3096.71053324779</v>
      </c>
      <c r="E12" s="24" t="n">
        <f aca="false">E10*E11</f>
        <v>3071.54698397133</v>
      </c>
    </row>
    <row r="14" customFormat="false" ht="15" hidden="false" customHeight="false" outlineLevel="0" collapsed="false">
      <c r="D14" s="25" t="s">
        <v>179</v>
      </c>
    </row>
    <row r="15" customFormat="false" ht="15" hidden="false" customHeight="false" outlineLevel="0" collapsed="false">
      <c r="A15" s="0" t="s">
        <v>180</v>
      </c>
      <c r="B15" s="24" t="n">
        <f aca="false">SUM(B12:E12)</f>
        <v>12402.5410395135</v>
      </c>
      <c r="E15" s="14" t="n">
        <v>0.02</v>
      </c>
      <c r="F15" s="14" t="n">
        <v>0.025</v>
      </c>
      <c r="G15" s="14" t="n">
        <v>0.03</v>
      </c>
      <c r="H15" s="14" t="n">
        <v>0.035</v>
      </c>
      <c r="I15" s="14" t="n">
        <v>0.04</v>
      </c>
    </row>
    <row r="16" customFormat="false" ht="15" hidden="false" customHeight="false" outlineLevel="0" collapsed="false">
      <c r="A16" s="0" t="s">
        <v>181</v>
      </c>
      <c r="B16" s="24" t="n">
        <f aca="false">E10*(1+B6)/(B5-B6)</f>
        <v>78372.1529207289</v>
      </c>
      <c r="D16" s="19" t="n">
        <v>0.0734</v>
      </c>
      <c r="E16" s="35" t="n">
        <f aca="false">(SUMPRODUCT($B$10:$E$10/(1+$D16)^($B$9:$E$9-0.5))+$E$10*(1+E$15)/($D16-E$15)/(1+$D16)^($E$9-0.5)+$B$19+$B$20)/$B$22*100</f>
        <v>11331.6754985072</v>
      </c>
      <c r="F16" s="35" t="n">
        <f aca="false">(SUMPRODUCT($B$10:$E$10/(1+$D16)^($B$9:$E$9-0.5))+$E$10*(1+F$15)/($D16-F$15)/(1+$D16)^($E$9-0.5)+$B$19+$B$20)/$B$22*100</f>
        <v>12705.496288087</v>
      </c>
      <c r="G16" s="35" t="n">
        <f aca="false">(SUMPRODUCT($B$10:$E$10/(1+$D16)^($B$9:$E$9-0.5))+$E$10*(1+G$15)/($D16-G$15)/(1+$D16)^($E$9-0.5)+$B$19+$B$20)/$B$22*100</f>
        <v>14395.8656466943</v>
      </c>
      <c r="H16" s="35" t="n">
        <f aca="false">(SUMPRODUCT($B$10:$E$10/(1+$D16)^($B$9:$E$9-0.5))+$E$10*(1+H$15)/($D16-H$15)/(1+$D16)^($E$9-0.5)+$B$19+$B$20)/$B$22*100</f>
        <v>16526.4353591056</v>
      </c>
      <c r="I16" s="35" t="n">
        <f aca="false">(SUMPRODUCT($B$10:$E$10/(1+$D16)^($B$9:$E$9-0.5))+$E$10*(1+I$15)/($D16-I$15)/(1+$D16)^($E$9-0.5)+$B$19+$B$20)/$B$22*100</f>
        <v>19294.9001949934</v>
      </c>
    </row>
    <row r="17" customFormat="false" ht="15" hidden="false" customHeight="false" outlineLevel="0" collapsed="false">
      <c r="A17" s="0" t="s">
        <v>182</v>
      </c>
      <c r="B17" s="24" t="n">
        <f aca="false">B16/(1+B5)^(E9-0.5)</f>
        <v>59203.6190594709</v>
      </c>
      <c r="D17" s="19" t="n">
        <v>0.0784</v>
      </c>
      <c r="E17" s="35" t="n">
        <f aca="false">(SUMPRODUCT($B$10:$E$10/(1+$D17)^($B$9:$E$9-0.5))+$E$10*(1+E$15)/($D17-E$15)/(1+$D17)^($E$9-0.5)+$B$19+$B$20)/$B$22*100</f>
        <v>10038.9122448027</v>
      </c>
      <c r="F17" s="35" t="n">
        <f aca="false">(SUMPRODUCT($B$10:$E$10/(1+$D17)^($B$9:$E$9-0.5))+$E$10*(1+F$15)/($D17-F$15)/(1+$D17)^($E$9-0.5)+$B$19+$B$20)/$B$22*100</f>
        <v>11164.3380734989</v>
      </c>
      <c r="G17" s="35" t="n">
        <f aca="false">(SUMPRODUCT($B$10:$E$10/(1+$D17)^($B$9:$E$9-0.5))+$E$10*(1+G$15)/($D17-G$15)/(1+$D17)^($E$9-0.5)+$B$19+$B$20)/$B$22*100</f>
        <v>12522.2898998596</v>
      </c>
      <c r="H17" s="35" t="n">
        <f aca="false">(SUMPRODUCT($B$10:$E$10/(1+$D17)^($B$9:$E$9-0.5))+$E$10*(1+H$15)/($D17-H$15)/(1+$D17)^($E$9-0.5)+$B$19+$B$20)/$B$22*100</f>
        <v>14193.1338521099</v>
      </c>
      <c r="I17" s="35" t="n">
        <f aca="false">(SUMPRODUCT($B$10:$E$10/(1+$D17)^($B$9:$E$9-0.5))+$E$10*(1+I$15)/($D17-I$15)/(1+$D17)^($E$9-0.5)+$B$19+$B$20)/$B$22*100</f>
        <v>16299.0934169254</v>
      </c>
    </row>
    <row r="18" customFormat="false" ht="15" hidden="false" customHeight="false" outlineLevel="0" collapsed="false">
      <c r="A18" s="25" t="s">
        <v>183</v>
      </c>
      <c r="B18" s="42" t="n">
        <f aca="false">B15+B17</f>
        <v>71606.1600989843</v>
      </c>
      <c r="D18" s="19" t="n">
        <v>0.0834</v>
      </c>
      <c r="E18" s="35" t="n">
        <f aca="false">(SUMPRODUCT($B$10:$E$10/(1+$D18)^($B$9:$E$9-0.5))+$E$10*(1+E$15)/($D18-E$15)/(1+$D18)^($E$9-0.5)+$B$19+$B$20)/$B$22*100</f>
        <v>8950.15869160651</v>
      </c>
      <c r="F18" s="35" t="n">
        <f aca="false">(SUMPRODUCT($B$10:$E$10/(1+$D18)^($B$9:$E$9-0.5))+$E$10*(1+F$15)/($D18-F$15)/(1+$D18)^($E$9-0.5)+$B$19+$B$20)/$B$22*100</f>
        <v>9887.17359193348</v>
      </c>
      <c r="G18" s="35" t="n">
        <f aca="false">(SUMPRODUCT($B$10:$E$10/(1+$D18)^($B$9:$E$9-0.5))+$E$10*(1+G$15)/($D18-G$15)/(1+$D18)^($E$9-0.5)+$B$19+$B$20)/$B$22*100</f>
        <v>10999.6594473779</v>
      </c>
      <c r="H18" s="35" t="n">
        <f aca="false">(SUMPRODUCT($B$10:$E$10/(1+$D18)^($B$9:$E$9-0.5))+$E$10*(1+H$15)/($D18-H$15)/(1+$D18)^($E$9-0.5)+$B$19+$B$20)/$B$22*100</f>
        <v>12341.9977522942</v>
      </c>
      <c r="I18" s="35" t="n">
        <f aca="false">(SUMPRODUCT($B$10:$E$10/(1+$D18)^($B$9:$E$9-0.5))+$E$10*(1+I$15)/($D18-I$15)/(1+$D18)^($E$9-0.5)+$B$19+$B$20)/$B$22*100</f>
        <v>13993.6305975139</v>
      </c>
    </row>
    <row r="19" customFormat="false" ht="15" hidden="false" customHeight="false" outlineLevel="0" collapsed="false">
      <c r="A19" s="0" t="s">
        <v>184</v>
      </c>
      <c r="B19" s="24" t="n">
        <f aca="false">-Model!E69</f>
        <v>-9065.52620205326</v>
      </c>
      <c r="D19" s="19" t="n">
        <v>0.0884</v>
      </c>
      <c r="E19" s="35" t="n">
        <f aca="false">(SUMPRODUCT($B$10:$E$10/(1+$D19)^($B$9:$E$9-0.5))+$E$10*(1+E$15)/($D19-E$15)/(1+$D19)^($E$9-0.5)+$B$19+$B$20)/$B$22*100</f>
        <v>8020.67341749664</v>
      </c>
      <c r="F19" s="35" t="n">
        <f aca="false">(SUMPRODUCT($B$10:$E$10/(1+$D19)^($B$9:$E$9-0.5))+$E$10*(1+F$15)/($D19-F$15)/(1+$D19)^($E$9-0.5)+$B$19+$B$20)/$B$22*100</f>
        <v>8811.54138886407</v>
      </c>
      <c r="G19" s="35" t="n">
        <f aca="false">(SUMPRODUCT($B$10:$E$10/(1+$D19)^($B$9:$E$9-0.5))+$E$10*(1+G$15)/($D19-G$15)/(1+$D19)^($E$9-0.5)+$B$19+$B$20)/$B$22*100</f>
        <v>9737.8319580684</v>
      </c>
      <c r="H19" s="35" t="n">
        <f aca="false">(SUMPRODUCT($B$10:$E$10/(1+$D19)^($B$9:$E$9-0.5))+$E$10*(1+H$15)/($D19-H$15)/(1+$D19)^($E$9-0.5)+$B$19+$B$20)/$B$22*100</f>
        <v>10837.5851806818</v>
      </c>
      <c r="I19" s="35" t="n">
        <f aca="false">(SUMPRODUCT($B$10:$E$10/(1+$D19)^($B$9:$E$9-0.5))+$E$10*(1+I$15)/($D19-I$15)/(1+$D19)^($E$9-0.5)+$B$19+$B$20)/$B$22*100</f>
        <v>12164.5601435045</v>
      </c>
    </row>
    <row r="20" customFormat="false" ht="15" hidden="false" customHeight="false" outlineLevel="0" collapsed="false">
      <c r="A20" s="0" t="s">
        <v>185</v>
      </c>
      <c r="B20" s="24" t="n">
        <f aca="false">-Model!F29*Inputs!$C$60</f>
        <v>-9830.9158428106</v>
      </c>
      <c r="D20" s="19" t="n">
        <v>0.0934</v>
      </c>
      <c r="E20" s="35" t="n">
        <f aca="false">(SUMPRODUCT($B$10:$E$10/(1+$D20)^($B$9:$E$9-0.5))+$E$10*(1+E$15)/($D20-E$15)/(1+$D20)^($E$9-0.5)+$B$19+$B$20)/$B$22*100</f>
        <v>7217.90618228006</v>
      </c>
      <c r="F20" s="35" t="n">
        <f aca="false">(SUMPRODUCT($B$10:$E$10/(1+$D20)^($B$9:$E$9-0.5))+$E$10*(1+F$15)/($D20-F$15)/(1+$D20)^($E$9-0.5)+$B$19+$B$20)/$B$22*100</f>
        <v>7893.24364938889</v>
      </c>
      <c r="G20" s="35" t="n">
        <f aca="false">(SUMPRODUCT($B$10:$E$10/(1+$D20)^($B$9:$E$9-0.5))+$E$10*(1+G$15)/($D20-G$15)/(1+$D20)^($E$9-0.5)+$B$19+$B$20)/$B$22*100</f>
        <v>8675.10122171994</v>
      </c>
      <c r="H20" s="35" t="n">
        <f aca="false">(SUMPRODUCT($B$10:$E$10/(1+$D20)^($B$9:$E$9-0.5))+$E$10*(1+H$15)/($D20-H$15)/(1+$D20)^($E$9-0.5)+$B$19+$B$20)/$B$22*100</f>
        <v>9590.83851534054</v>
      </c>
      <c r="I20" s="35" t="n">
        <f aca="false">(SUMPRODUCT($B$10:$E$10/(1+$D20)^($B$9:$E$9-0.5))+$E$10*(1+I$15)/($D20-I$15)/(1+$D20)^($E$9-0.5)+$B$19+$B$20)/$B$22*100</f>
        <v>10678.0621935343</v>
      </c>
    </row>
    <row r="21" customFormat="false" ht="15" hidden="false" customHeight="false" outlineLevel="0" collapsed="false">
      <c r="A21" s="25" t="s">
        <v>186</v>
      </c>
      <c r="B21" s="42" t="n">
        <f aca="false">B18+B19+B20</f>
        <v>52709.7180541205</v>
      </c>
    </row>
    <row r="22" customFormat="false" ht="15" hidden="false" customHeight="false" outlineLevel="0" collapsed="false">
      <c r="A22" s="0" t="s">
        <v>187</v>
      </c>
      <c r="B22" s="33" t="n">
        <f aca="false">Model!E58</f>
        <v>479.645096257118</v>
      </c>
    </row>
    <row r="23" customFormat="false" ht="15" hidden="false" customHeight="false" outlineLevel="0" collapsed="false">
      <c r="A23" s="25" t="s">
        <v>188</v>
      </c>
      <c r="B23" s="43" t="n">
        <f aca="false">B21/B22*100</f>
        <v>10989.3165729073</v>
      </c>
    </row>
    <row r="24" customFormat="false" ht="15" hidden="false" customHeight="false" outlineLevel="0" collapsed="false">
      <c r="A24" s="0" t="s">
        <v>189</v>
      </c>
      <c r="B24" s="35" t="n">
        <f aca="false">Inputs!$C$13</f>
        <v>9510</v>
      </c>
    </row>
    <row r="25" customFormat="false" ht="15" hidden="false" customHeight="false" outlineLevel="0" collapsed="false">
      <c r="A25" s="25" t="s">
        <v>6</v>
      </c>
      <c r="B25" s="40" t="n">
        <f aca="false">B23/B24-1</f>
        <v>0.155553793155339</v>
      </c>
    </row>
    <row r="26" customFormat="false" ht="15" hidden="false" customHeight="false" outlineLevel="0" collapsed="false">
      <c r="A26" s="0" t="s">
        <v>190</v>
      </c>
      <c r="B26" s="13" t="n">
        <f aca="false">B17/B18</f>
        <v>0.826795054749914</v>
      </c>
    </row>
    <row r="27" customFormat="false" ht="15" hidden="false" customHeight="false" outlineLevel="0" collapsed="false">
      <c r="A27" s="0" t="s">
        <v>191</v>
      </c>
      <c r="B27" s="39" t="n">
        <f aca="false">B16/Model!I21</f>
        <v>11.6233067552914</v>
      </c>
    </row>
    <row r="28" customFormat="false" ht="15" hidden="false" customHeight="false" outlineLevel="0" collapsed="false">
      <c r="A28" s="0" t="s">
        <v>192</v>
      </c>
      <c r="B28" s="39" t="n">
        <f aca="false">B24/Model!F31</f>
        <v>16.9029558011889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</cols>
  <sheetData>
    <row r="1" customFormat="false" ht="17.35" hidden="false" customHeight="false" outlineLevel="0" collapsed="false">
      <c r="A1" s="8" t="s">
        <v>193</v>
      </c>
    </row>
    <row r="2" customFormat="false" ht="15" hidden="false" customHeight="false" outlineLevel="0" collapsed="false">
      <c r="A2" s="0" t="s">
        <v>194</v>
      </c>
    </row>
    <row r="4" customFormat="false" ht="15" hidden="false" customHeight="false" outlineLevel="0" collapsed="false">
      <c r="A4" s="9"/>
      <c r="B4" s="9" t="s">
        <v>195</v>
      </c>
      <c r="C4" s="9" t="s">
        <v>196</v>
      </c>
      <c r="D4" s="9" t="s">
        <v>197</v>
      </c>
    </row>
    <row r="5" customFormat="false" ht="15" hidden="false" customHeight="false" outlineLevel="0" collapsed="false">
      <c r="A5" s="0" t="s">
        <v>198</v>
      </c>
      <c r="B5" s="13" t="n">
        <v>0.25</v>
      </c>
      <c r="C5" s="13" t="n">
        <v>0.5</v>
      </c>
      <c r="D5" s="13" t="n">
        <v>0.25</v>
      </c>
    </row>
    <row r="6" customFormat="false" ht="15" hidden="false" customHeight="false" outlineLevel="0" collapsed="false">
      <c r="A6" s="0" t="s">
        <v>199</v>
      </c>
      <c r="B6" s="13" t="n">
        <v>-0.025</v>
      </c>
      <c r="C6" s="13" t="n">
        <v>0</v>
      </c>
      <c r="D6" s="13" t="n">
        <v>0.015</v>
      </c>
    </row>
    <row r="7" customFormat="false" ht="15" hidden="false" customHeight="false" outlineLevel="0" collapsed="false">
      <c r="A7" s="0" t="s">
        <v>200</v>
      </c>
      <c r="B7" s="13" t="n">
        <v>-0.01</v>
      </c>
      <c r="C7" s="13" t="n">
        <v>0</v>
      </c>
      <c r="D7" s="13" t="n">
        <v>0.006</v>
      </c>
    </row>
    <row r="8" customFormat="false" ht="15" hidden="false" customHeight="false" outlineLevel="0" collapsed="false">
      <c r="A8" s="0" t="s">
        <v>27</v>
      </c>
      <c r="B8" s="13" t="n">
        <v>0.025</v>
      </c>
      <c r="C8" s="13" t="n">
        <v>0.03</v>
      </c>
      <c r="D8" s="13" t="n">
        <v>0.035</v>
      </c>
    </row>
    <row r="9" customFormat="false" ht="15" hidden="false" customHeight="false" outlineLevel="0" collapsed="false">
      <c r="A9" s="0" t="s">
        <v>201</v>
      </c>
      <c r="B9" s="24" t="n">
        <v>10467.4754177689</v>
      </c>
      <c r="C9" s="24" t="n">
        <v>11216.4896758939</v>
      </c>
      <c r="D9" s="24" t="n">
        <v>11683.0887317689</v>
      </c>
    </row>
    <row r="10" customFormat="false" ht="15" hidden="false" customHeight="false" outlineLevel="0" collapsed="false">
      <c r="A10" s="0" t="s">
        <v>202</v>
      </c>
      <c r="B10" s="13" t="n">
        <v>0.514679038310472</v>
      </c>
      <c r="C10" s="13" t="n">
        <v>0.524638161730451</v>
      </c>
      <c r="D10" s="13" t="n">
        <v>0.530621134292044</v>
      </c>
    </row>
    <row r="11" customFormat="false" ht="15" hidden="false" customHeight="false" outlineLevel="0" collapsed="false">
      <c r="A11" s="0" t="s">
        <v>203</v>
      </c>
      <c r="B11" s="37" t="n">
        <v>562.730346965614</v>
      </c>
      <c r="C11" s="37" t="n">
        <v>624.460890711389</v>
      </c>
      <c r="D11" s="37" t="n">
        <v>663.74034321464</v>
      </c>
    </row>
    <row r="12" customFormat="false" ht="15" hidden="false" customHeight="false" outlineLevel="0" collapsed="false">
      <c r="A12" s="0" t="s">
        <v>204</v>
      </c>
      <c r="B12" s="35" t="n">
        <v>8315.66262743206</v>
      </c>
      <c r="C12" s="35" t="n">
        <v>10989.3165729073</v>
      </c>
      <c r="D12" s="35" t="n">
        <v>13568.0909038087</v>
      </c>
    </row>
    <row r="13" customFormat="false" ht="15" hidden="false" customHeight="false" outlineLevel="0" collapsed="false">
      <c r="A13" s="0" t="s">
        <v>6</v>
      </c>
      <c r="B13" s="13" t="n">
        <v>-0.12558752603238</v>
      </c>
      <c r="C13" s="13" t="n">
        <v>0.155553793155339</v>
      </c>
      <c r="D13" s="13" t="n">
        <v>0.426718286415212</v>
      </c>
    </row>
    <row r="15" customFormat="false" ht="15" hidden="false" customHeight="false" outlineLevel="0" collapsed="false">
      <c r="A15" s="25" t="s">
        <v>7</v>
      </c>
      <c r="B15" s="43" t="n">
        <f aca="false">SUMPRODUCT(B5:D5,B12:D12)</f>
        <v>10965.5966692638</v>
      </c>
    </row>
    <row r="16" customFormat="false" ht="15" hidden="false" customHeight="false" outlineLevel="0" collapsed="false">
      <c r="A16" s="0" t="s">
        <v>205</v>
      </c>
      <c r="B16" s="13" t="n">
        <f aca="false">B15/Inputs!$C$13-1</f>
        <v>0.153059586673377</v>
      </c>
    </row>
    <row r="18" customFormat="false" ht="15" hidden="false" customHeight="false" outlineLevel="0" collapsed="false">
      <c r="A18" s="0" t="s">
        <v>206</v>
      </c>
    </row>
    <row r="19" customFormat="false" ht="15" hidden="false" customHeight="false" outlineLevel="0" collapsed="false">
      <c r="A19" s="0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8" t="s">
        <v>208</v>
      </c>
    </row>
    <row r="3" customFormat="false" ht="15" hidden="false" customHeight="false" outlineLevel="0" collapsed="false">
      <c r="A3" s="0" t="s">
        <v>209</v>
      </c>
      <c r="B3" s="0" t="s">
        <v>210</v>
      </c>
    </row>
    <row r="4" customFormat="false" ht="15" hidden="false" customHeight="false" outlineLevel="0" collapsed="false">
      <c r="A4" s="0" t="s">
        <v>211</v>
      </c>
      <c r="B4" s="0" t="s">
        <v>212</v>
      </c>
    </row>
    <row r="5" customFormat="false" ht="15" hidden="false" customHeight="false" outlineLevel="0" collapsed="false">
      <c r="A5" s="0" t="s">
        <v>213</v>
      </c>
      <c r="B5" s="0" t="s">
        <v>214</v>
      </c>
    </row>
    <row r="6" customFormat="false" ht="15" hidden="false" customHeight="false" outlineLevel="0" collapsed="false">
      <c r="A6" s="0" t="s">
        <v>215</v>
      </c>
      <c r="B6" s="0" t="s">
        <v>216</v>
      </c>
    </row>
    <row r="7" customFormat="false" ht="15" hidden="false" customHeight="false" outlineLevel="0" collapsed="false">
      <c r="A7" s="0" t="s">
        <v>217</v>
      </c>
      <c r="B7" s="0" t="s">
        <v>32</v>
      </c>
    </row>
    <row r="10" customFormat="false" ht="15" hidden="false" customHeight="false" outlineLevel="0" collapsed="false">
      <c r="A10" s="0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LibreOffice/26.2.6.3$Linux_AARCH64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2026-10-25T13:23:25Z</dcterms:created>
  <dc:creator>openpyxl</dc:creator>
  <dc:description/>
  <dc:language>en-US</dc:language>
  <cp:lastModifiedBy/>
  <dcterms:modified xsi:type="dcterms:W3CDTF">2026-10-25T13:23:25Z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