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Selection" sheetId="2" state="visible" r:id="rId4"/>
    <sheet name="Sensitivity" sheetId="3" state="visible" r:id="rId5"/>
    <sheet name="Input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<sst xmlns="http://schemas.openxmlformats.org/spreadsheetml/2006/main" count="97" uniqueCount="80">
  <si>
    <t xml:space="preserve">Fund selection: retail family case</t>
  </si>
  <si>
    <t xml:space="preserve">Decision</t>
  </si>
  <si>
    <t xml:space="preserve">PASS institutional Class I despite lower published fee</t>
  </si>
  <si>
    <t xml:space="preserve">Anchor</t>
  </si>
  <si>
    <t xml:space="preserve">Hypothetical US-dollar family after a liquidity event</t>
  </si>
  <si>
    <t xml:space="preserve">Scope</t>
  </si>
  <si>
    <t xml:space="preserve">Two share classes of one fund, not two different managers</t>
  </si>
  <si>
    <t xml:space="preserve">As of</t>
  </si>
  <si>
    <t xml:space="preserve">30 June 2026. Historical research snapshot, not current dealing advice</t>
  </si>
  <si>
    <t xml:space="preserve">Limitations</t>
  </si>
  <si>
    <t xml:space="preserve">No allocation made; eligibility, tax and distribution-channel access need prospectus/platform review</t>
  </si>
  <si>
    <t xml:space="preserve">Share-class comparison</t>
  </si>
  <si>
    <t xml:space="preserve">Class I</t>
  </si>
  <si>
    <t xml:space="preserve">Class R</t>
  </si>
  <si>
    <t xml:space="preserve">Net expense ratio</t>
  </si>
  <si>
    <t xml:space="preserve">Gross expense ratio</t>
  </si>
  <si>
    <t xml:space="preserve">Illustrative first-year fee</t>
  </si>
  <si>
    <t xml:space="preserve">10-year ending capital</t>
  </si>
  <si>
    <t xml:space="preserve">Net fee gap, basis points</t>
  </si>
  <si>
    <t xml:space="preserve">Annual indicative cost difference</t>
  </si>
  <si>
    <t xml:space="preserve">10-year wealth difference</t>
  </si>
  <si>
    <t xml:space="preserve">I access gate</t>
  </si>
  <si>
    <t xml:space="preserve">R published minimum met</t>
  </si>
  <si>
    <t xml:space="preserve">100bp parallel-yield stress, price only</t>
  </si>
  <si>
    <t xml:space="preserve">Pass I: institutional eligibility not assumed. R remains a candidate, not a recommendation</t>
  </si>
  <si>
    <t xml:space="preserve">Return convention</t>
  </si>
  <si>
    <t xml:space="preserve">Hypothetical pre-expense return minus expense ratio. Never subtract fees again from published net returns</t>
  </si>
  <si>
    <t xml:space="preserve">Stress limitation</t>
  </si>
  <si>
    <t xml:space="preserve">First-order duration only: excludes carry, convexity, FX, spread and active changes</t>
  </si>
  <si>
    <t xml:space="preserve">Gross return assumption</t>
  </si>
  <si>
    <t xml:space="preserve">I terminal wealth: net fees</t>
  </si>
  <si>
    <t xml:space="preserve">R terminal wealth: net fees</t>
  </si>
  <si>
    <t xml:space="preserve">I less R</t>
  </si>
  <si>
    <t xml:space="preserve">Illustrative no-waiver case</t>
  </si>
  <si>
    <t xml:space="preserve">I wealth at gross expense</t>
  </si>
  <si>
    <t xml:space="preserve">R wealth at gross expense</t>
  </si>
  <si>
    <t xml:space="preserve">Not a forecast</t>
  </si>
  <si>
    <t xml:space="preserve">Inputs: sourced and assumed values</t>
  </si>
  <si>
    <t xml:space="preserve">Value</t>
  </si>
  <si>
    <t xml:space="preserve">Tag</t>
  </si>
  <si>
    <t xml:space="preserve">Source / rationale</t>
  </si>
  <si>
    <t xml:space="preserve">capital</t>
  </si>
  <si>
    <t xml:space="preserve">A</t>
  </si>
  <si>
    <t xml:space="preserve">Hypothetical US-dollar family bond sleeve after a liquidity event; not a real client</t>
  </si>
  <si>
    <t xml:space="preserve">gross_return</t>
  </si>
  <si>
    <t xml:space="preserve">Illustrative constant annual pre-expense return; not a forecast</t>
  </si>
  <si>
    <t xml:space="preserve">years</t>
  </si>
  <si>
    <t xml:space="preserve">Illustrative holding horizon</t>
  </si>
  <si>
    <t xml:space="preserve">i_net_fee</t>
  </si>
  <si>
    <t xml:space="preserve">S</t>
  </si>
  <si>
    <t xml:space="preserve">factsheet p1, 30 Jun 2026</t>
  </si>
  <si>
    <t xml:space="preserve">r_net_fee</t>
  </si>
  <si>
    <t xml:space="preserve">i_gross_fee</t>
  </si>
  <si>
    <t xml:space="preserve">factsheet p1</t>
  </si>
  <si>
    <t xml:space="preserve">r_gross_fee</t>
  </si>
  <si>
    <t xml:space="preserve">i_minimum</t>
  </si>
  <si>
    <t xml:space="preserve">factsheet p1: institutional investors only</t>
  </si>
  <si>
    <t xml:space="preserve">r_minimum</t>
  </si>
  <si>
    <t xml:space="preserve">factsheet p1: retail shares</t>
  </si>
  <si>
    <t xml:space="preserve">family_institutional</t>
  </si>
  <si>
    <t xml:space="preserve">Hypothetical direct retail family; no institutional vehicle assumed</t>
  </si>
  <si>
    <t xml:space="preserve">duration</t>
  </si>
  <si>
    <t xml:space="preserve">waiver_expiry</t>
  </si>
  <si>
    <t xml:space="preserve">2027-01-31</t>
  </si>
  <si>
    <t xml:space="preserve">factsheet p1: arrangement expiration, not a promise fees revert</t>
  </si>
  <si>
    <t xml:space="preserve">Sources</t>
  </si>
  <si>
    <t xml:space="preserve">URL / detail</t>
  </si>
  <si>
    <t xml:space="preserve">Page / date</t>
  </si>
  <si>
    <t xml:space="preserve">Factsheet</t>
  </si>
  <si>
    <t xml:space="preserve">https://www.loomissayles.com/wp-content/uploads/2026/07/GlobalBondFund-FactSheet.pdf</t>
  </si>
  <si>
    <t xml:space="preserve">Pages 1-2; 30 Jun 2026</t>
  </si>
  <si>
    <t xml:space="preserve">Hypothetical client</t>
  </si>
  <si>
    <t xml:space="preserve">Retail family; US-dollar sleeve; not an actual client</t>
  </si>
  <si>
    <t xml:space="preserve">Assumption</t>
  </si>
  <si>
    <t xml:space="preserve">Model</t>
  </si>
  <si>
    <t xml:space="preserve">Flat annual pre-expense return and fee approximation; no taxes or cash flows</t>
  </si>
  <si>
    <t xml:space="preserve">Waiver</t>
  </si>
  <si>
    <t xml:space="preserve">31 Jan 2027 expiry is not evidence of automatic fee rise</t>
  </si>
  <si>
    <t xml:space="preserve">Identifier discrepancy</t>
  </si>
  <si>
    <t xml:space="preserve">Header says LSGBXR; fund-facts table says LSGLX. Use class names, request clarification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</si>
</sst>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\$#,##0;&quot;($&quot;#,##0\);\-"/>
    <numFmt numFmtId="167" formatCode="0%"/>
    <numFmt numFmtId="168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ptos"/>
      <family val="0"/>
      <charset val="1"/>
    </font>
    <font>
      <sz val="10"/>
      <color rgb="FF222222"/>
      <name val="Aptos"/>
      <family val="0"/>
      <charset val="1"/>
    </font>
    <font>
      <sz val="10"/>
      <color rgb="FF008000"/>
      <name val="Aptos"/>
      <family val="0"/>
      <charset val="1"/>
    </font>
    <font>
      <sz val="10"/>
      <color rgb="FF000000"/>
      <name val="Aptos"/>
      <family val="0"/>
      <charset val="1"/>
    </font>
    <font>
      <sz val="10"/>
      <color rgb="FF0000FF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1</v>
      </c>
      <c r="B2" s="2" t="s">
        <v>2</v>
      </c>
    </row>
    <row r="3" customFormat="false" ht="27.75" hidden="false" customHeight="true" outlineLevel="0" collapsed="false">
      <c r="A3" s="2" t="s">
        <v>3</v>
      </c>
      <c r="B3" s="2" t="s">
        <v>4</v>
      </c>
    </row>
    <row r="4" customFormat="false" ht="27.75" hidden="false" customHeight="true" outlineLevel="0" collapsed="false">
      <c r="A4" s="2" t="s">
        <v>5</v>
      </c>
      <c r="B4" s="2" t="s">
        <v>6</v>
      </c>
    </row>
    <row r="5" customFormat="false" ht="27.75" hidden="false" customHeight="true" outlineLevel="0" collapsed="false">
      <c r="A5" s="2" t="s">
        <v>7</v>
      </c>
      <c r="B5" s="2" t="s">
        <v>8</v>
      </c>
    </row>
    <row r="6" customFormat="false" ht="37.5" hidden="false" customHeight="true" outlineLevel="0" collapsed="false">
      <c r="A6" s="2" t="s">
        <v>9</v>
      </c>
      <c r="B6" s="2" t="s">
        <v>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8"/>
  </cols>
  <sheetData>
    <row r="1" customFormat="false" ht="27.75" hidden="false" customHeight="true" outlineLevel="0" collapsed="false">
      <c r="A1" s="1" t="s">
        <v>11</v>
      </c>
      <c r="B1" s="1" t="s">
        <v>12</v>
      </c>
      <c r="C1" s="1" t="s">
        <v>13</v>
      </c>
    </row>
    <row r="2" customFormat="false" ht="27.75" hidden="false" customHeight="true" outlineLevel="0" collapsed="false">
      <c r="A2" s="2" t="s">
        <v>14</v>
      </c>
      <c r="B2" s="3" t="n">
        <f aca="false">Inputs!B5</f>
        <v>0.0067</v>
      </c>
      <c r="C2" s="3" t="n">
        <f aca="false">Inputs!B6</f>
        <v>0.0092</v>
      </c>
    </row>
    <row r="3" customFormat="false" ht="27.75" hidden="false" customHeight="true" outlineLevel="0" collapsed="false">
      <c r="A3" s="2" t="s">
        <v>15</v>
      </c>
      <c r="B3" s="3" t="n">
        <f aca="false">Inputs!B7</f>
        <v>0.0079</v>
      </c>
      <c r="C3" s="3" t="n">
        <f aca="false">Inputs!B8</f>
        <v>0.0104</v>
      </c>
    </row>
    <row r="4" customFormat="false" ht="27.75" hidden="false" customHeight="true" outlineLevel="0" collapsed="false">
      <c r="A4" s="2" t="s">
        <v>16</v>
      </c>
      <c r="B4" s="4" t="n">
        <f aca="false">Inputs!B2*B2</f>
        <v>6700</v>
      </c>
      <c r="C4" s="4" t="n">
        <f aca="false">Inputs!B2*C2</f>
        <v>9200</v>
      </c>
    </row>
    <row r="5" customFormat="false" ht="27.75" hidden="false" customHeight="true" outlineLevel="0" collapsed="false">
      <c r="A5" s="2" t="s">
        <v>17</v>
      </c>
      <c r="B5" s="4" t="n">
        <f aca="false">Inputs!B2*(1+Inputs!B3-B2)^Inputs!B4</f>
        <v>1527889.94850049</v>
      </c>
      <c r="C5" s="4" t="n">
        <f aca="false">Inputs!B2*(1+Inputs!B3-C2)^Inputs!B4</f>
        <v>1491670.27516615</v>
      </c>
    </row>
    <row r="6" customFormat="false" ht="27.75" hidden="false" customHeight="true" outlineLevel="0" collapsed="false">
      <c r="A6" s="2" t="s">
        <v>18</v>
      </c>
      <c r="B6" s="5" t="n">
        <f aca="false">(C2-B2)*10000</f>
        <v>25</v>
      </c>
      <c r="C6" s="2"/>
    </row>
    <row r="7" customFormat="false" ht="27.75" hidden="false" customHeight="true" outlineLevel="0" collapsed="false">
      <c r="A7" s="2" t="s">
        <v>19</v>
      </c>
      <c r="B7" s="6" t="n">
        <f aca="false">C4-B4</f>
        <v>2500</v>
      </c>
      <c r="C7" s="7"/>
    </row>
    <row r="8" customFormat="false" ht="27.75" hidden="false" customHeight="true" outlineLevel="0" collapsed="false">
      <c r="A8" s="2" t="s">
        <v>20</v>
      </c>
      <c r="B8" s="6" t="n">
        <f aca="false">B5-C5</f>
        <v>36219.6733343364</v>
      </c>
      <c r="C8" s="7"/>
    </row>
    <row r="9" customFormat="false" ht="27.75" hidden="false" customHeight="true" outlineLevel="0" collapsed="false">
      <c r="A9" s="2" t="s">
        <v>21</v>
      </c>
      <c r="B9" s="8" t="b">
        <f aca="false">AND(Inputs!B11,Inputs!B2&gt;=Inputs!B9)</f>
        <v>0</v>
      </c>
      <c r="C9" s="2"/>
    </row>
    <row r="10" customFormat="false" ht="27.75" hidden="false" customHeight="true" outlineLevel="0" collapsed="false">
      <c r="A10" s="2" t="s">
        <v>22</v>
      </c>
      <c r="B10" s="8" t="b">
        <f aca="false">Inputs!B2&gt;=Inputs!B10</f>
        <v>1</v>
      </c>
      <c r="C10" s="2"/>
    </row>
    <row r="11" customFormat="false" ht="37.5" hidden="false" customHeight="true" outlineLevel="0" collapsed="false">
      <c r="A11" s="2" t="s">
        <v>23</v>
      </c>
      <c r="B11" s="3" t="n">
        <f aca="false">-Inputs!B12*0.01</f>
        <v>-0.0687</v>
      </c>
      <c r="C11" s="9"/>
    </row>
    <row r="12" customFormat="false" ht="37.5" hidden="false" customHeight="true" outlineLevel="0" collapsed="false">
      <c r="A12" s="2" t="s">
        <v>1</v>
      </c>
      <c r="B12" s="10" t="s">
        <v>24</v>
      </c>
      <c r="C12" s="10"/>
    </row>
    <row r="13" customFormat="false" ht="51.75" hidden="false" customHeight="true" outlineLevel="0" collapsed="false">
      <c r="A13" s="2" t="s">
        <v>25</v>
      </c>
      <c r="B13" s="10" t="s">
        <v>26</v>
      </c>
      <c r="C13" s="10"/>
    </row>
    <row r="14" customFormat="false" ht="37.5" hidden="false" customHeight="true" outlineLevel="0" collapsed="false">
      <c r="A14" s="2" t="s">
        <v>27</v>
      </c>
      <c r="B14" s="10" t="s">
        <v>28</v>
      </c>
      <c r="C14" s="10"/>
    </row>
  </sheetData>
  <mergeCells count="3">
    <mergeCell ref="B12:C12"/>
    <mergeCell ref="B13:C13"/>
    <mergeCell ref="B14:C1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8"/>
  </cols>
  <sheetData>
    <row r="1" customFormat="false" ht="37.5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</row>
    <row r="2" customFormat="false" ht="27.75" hidden="false" customHeight="true" outlineLevel="0" collapsed="false">
      <c r="A2" s="11" t="n">
        <v>-0.02</v>
      </c>
      <c r="B2" s="12" t="n">
        <f aca="false">Inputs!B2*(1+A2-Inputs!B5)^Inputs!B4</f>
        <v>762899.330470909</v>
      </c>
      <c r="C2" s="12" t="n">
        <f aca="false">Inputs!B2*(1+A2-Inputs!B6)^Inputs!B4</f>
        <v>743528.596887102</v>
      </c>
      <c r="D2" s="13" t="n">
        <f aca="false">B2-C2</f>
        <v>19370.7335838066</v>
      </c>
    </row>
    <row r="3" customFormat="false" ht="27.75" hidden="false" customHeight="true" outlineLevel="0" collapsed="false">
      <c r="A3" s="11" t="n">
        <v>0.05</v>
      </c>
      <c r="B3" s="12" t="n">
        <f aca="false">Inputs!B2*(1+A3-Inputs!B5)^Inputs!B4</f>
        <v>1527889.94850049</v>
      </c>
      <c r="C3" s="12" t="n">
        <f aca="false">Inputs!B2*(1+A3-Inputs!B6)^Inputs!B4</f>
        <v>1491670.27516615</v>
      </c>
      <c r="D3" s="13" t="n">
        <f aca="false">B3-C3</f>
        <v>36219.6733343364</v>
      </c>
    </row>
    <row r="4" customFormat="false" ht="27.75" hidden="false" customHeight="true" outlineLevel="0" collapsed="false">
      <c r="A4" s="11" t="n">
        <v>0.08</v>
      </c>
      <c r="B4" s="12" t="n">
        <f aca="false">Inputs!B2*(1+A4-Inputs!B5)^Inputs!B4</f>
        <v>2028669.47078651</v>
      </c>
      <c r="C4" s="12" t="n">
        <f aca="false">Inputs!B2*(1+A4-Inputs!B6)^Inputs!B4</f>
        <v>1981908.61353932</v>
      </c>
      <c r="D4" s="13" t="n">
        <f aca="false">B4-C4</f>
        <v>46760.8572471864</v>
      </c>
    </row>
    <row r="5" customFormat="false" ht="37.5" hidden="false" customHeight="true" outlineLevel="0" collapsed="false">
      <c r="A5" s="2" t="s">
        <v>33</v>
      </c>
      <c r="B5" s="2" t="s">
        <v>34</v>
      </c>
      <c r="C5" s="2" t="s">
        <v>35</v>
      </c>
      <c r="D5" s="2"/>
    </row>
    <row r="6" customFormat="false" ht="27.75" hidden="false" customHeight="true" outlineLevel="0" collapsed="false">
      <c r="A6" s="2" t="s">
        <v>36</v>
      </c>
      <c r="B6" s="12" t="n">
        <f aca="false">Inputs!B2*(1+Inputs!B3-Inputs!B7)^Inputs!B4</f>
        <v>1510406.89310879</v>
      </c>
      <c r="C6" s="12" t="n">
        <f aca="false">Inputs!B2*(1+Inputs!B3-Inputs!B8)^Inputs!B4</f>
        <v>1474560.88126627</v>
      </c>
      <c r="D6" s="2"/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4" min="2" style="0" width="28"/>
  </cols>
  <sheetData>
    <row r="1" customFormat="false" ht="27.75" hidden="false" customHeight="true" outlineLevel="0" collapsed="false">
      <c r="A1" s="1" t="s">
        <v>37</v>
      </c>
      <c r="B1" s="1" t="s">
        <v>38</v>
      </c>
      <c r="C1" s="1" t="s">
        <v>39</v>
      </c>
      <c r="D1" s="1" t="s">
        <v>40</v>
      </c>
    </row>
    <row r="2" customFormat="false" ht="66" hidden="false" customHeight="true" outlineLevel="0" collapsed="false">
      <c r="A2" s="2" t="s">
        <v>41</v>
      </c>
      <c r="B2" s="14" t="n">
        <v>1000000</v>
      </c>
      <c r="C2" s="2" t="s">
        <v>42</v>
      </c>
      <c r="D2" s="2" t="s">
        <v>43</v>
      </c>
    </row>
    <row r="3" customFormat="false" ht="51.75" hidden="false" customHeight="true" outlineLevel="0" collapsed="false">
      <c r="A3" s="2" t="s">
        <v>44</v>
      </c>
      <c r="B3" s="15" t="n">
        <v>0.05</v>
      </c>
      <c r="C3" s="2" t="s">
        <v>42</v>
      </c>
      <c r="D3" s="2" t="s">
        <v>45</v>
      </c>
    </row>
    <row r="4" customFormat="false" ht="37.5" hidden="false" customHeight="true" outlineLevel="0" collapsed="false">
      <c r="A4" s="2" t="s">
        <v>46</v>
      </c>
      <c r="B4" s="16" t="n">
        <v>10</v>
      </c>
      <c r="C4" s="2" t="s">
        <v>42</v>
      </c>
      <c r="D4" s="2" t="s">
        <v>47</v>
      </c>
    </row>
    <row r="5" customFormat="false" ht="37.5" hidden="false" customHeight="true" outlineLevel="0" collapsed="false">
      <c r="A5" s="2" t="s">
        <v>48</v>
      </c>
      <c r="B5" s="15" t="n">
        <v>0.0067</v>
      </c>
      <c r="C5" s="2" t="s">
        <v>49</v>
      </c>
      <c r="D5" s="2" t="s">
        <v>50</v>
      </c>
    </row>
    <row r="6" customFormat="false" ht="37.5" hidden="false" customHeight="true" outlineLevel="0" collapsed="false">
      <c r="A6" s="2" t="s">
        <v>51</v>
      </c>
      <c r="B6" s="15" t="n">
        <v>0.0092</v>
      </c>
      <c r="C6" s="2" t="s">
        <v>49</v>
      </c>
      <c r="D6" s="2" t="s">
        <v>50</v>
      </c>
    </row>
    <row r="7" customFormat="false" ht="27.75" hidden="false" customHeight="true" outlineLevel="0" collapsed="false">
      <c r="A7" s="2" t="s">
        <v>52</v>
      </c>
      <c r="B7" s="15" t="n">
        <v>0.0079</v>
      </c>
      <c r="C7" s="2" t="s">
        <v>49</v>
      </c>
      <c r="D7" s="2" t="s">
        <v>53</v>
      </c>
    </row>
    <row r="8" customFormat="false" ht="27.75" hidden="false" customHeight="true" outlineLevel="0" collapsed="false">
      <c r="A8" s="2" t="s">
        <v>54</v>
      </c>
      <c r="B8" s="15" t="n">
        <v>0.0104</v>
      </c>
      <c r="C8" s="2" t="s">
        <v>49</v>
      </c>
      <c r="D8" s="2" t="s">
        <v>53</v>
      </c>
    </row>
    <row r="9" customFormat="false" ht="37.5" hidden="false" customHeight="true" outlineLevel="0" collapsed="false">
      <c r="A9" s="2" t="s">
        <v>55</v>
      </c>
      <c r="B9" s="14" t="n">
        <v>100000</v>
      </c>
      <c r="C9" s="2" t="s">
        <v>49</v>
      </c>
      <c r="D9" s="2" t="s">
        <v>56</v>
      </c>
    </row>
    <row r="10" customFormat="false" ht="37.5" hidden="false" customHeight="true" outlineLevel="0" collapsed="false">
      <c r="A10" s="2" t="s">
        <v>57</v>
      </c>
      <c r="B10" s="14" t="n">
        <v>2500</v>
      </c>
      <c r="C10" s="2" t="s">
        <v>49</v>
      </c>
      <c r="D10" s="2" t="s">
        <v>58</v>
      </c>
    </row>
    <row r="11" customFormat="false" ht="51.75" hidden="false" customHeight="true" outlineLevel="0" collapsed="false">
      <c r="A11" s="2" t="s">
        <v>59</v>
      </c>
      <c r="B11" s="16" t="b">
        <f aca="false">FALSE()</f>
        <v>0</v>
      </c>
      <c r="C11" s="2" t="s">
        <v>42</v>
      </c>
      <c r="D11" s="2" t="s">
        <v>60</v>
      </c>
    </row>
    <row r="12" customFormat="false" ht="27.75" hidden="false" customHeight="true" outlineLevel="0" collapsed="false">
      <c r="A12" s="2" t="s">
        <v>61</v>
      </c>
      <c r="B12" s="16" t="n">
        <v>6.87</v>
      </c>
      <c r="C12" s="2" t="s">
        <v>49</v>
      </c>
      <c r="D12" s="2" t="s">
        <v>53</v>
      </c>
    </row>
    <row r="13" customFormat="false" ht="51.75" hidden="false" customHeight="true" outlineLevel="0" collapsed="false">
      <c r="A13" s="2" t="s">
        <v>62</v>
      </c>
      <c r="B13" s="2" t="s">
        <v>63</v>
      </c>
      <c r="C13" s="2" t="s">
        <v>49</v>
      </c>
      <c r="D13" s="2" t="s">
        <v>64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05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1" t="s">
        <v>65</v>
      </c>
      <c r="B1" s="1" t="s">
        <v>66</v>
      </c>
      <c r="C1" s="1" t="s">
        <v>67</v>
      </c>
    </row>
    <row r="2" customFormat="false" ht="27.75" hidden="false" customHeight="true" outlineLevel="0" collapsed="false">
      <c r="A2" s="2" t="s">
        <v>68</v>
      </c>
      <c r="B2" s="2" t="s">
        <v>69</v>
      </c>
      <c r="C2" s="2" t="s">
        <v>70</v>
      </c>
    </row>
    <row r="3" customFormat="false" ht="27.75" hidden="false" customHeight="true" outlineLevel="0" collapsed="false">
      <c r="A3" s="2" t="s">
        <v>71</v>
      </c>
      <c r="B3" s="2" t="s">
        <v>72</v>
      </c>
      <c r="C3" s="2" t="s">
        <v>73</v>
      </c>
    </row>
    <row r="4" customFormat="false" ht="27.75" hidden="false" customHeight="true" outlineLevel="0" collapsed="false">
      <c r="A4" s="2" t="s">
        <v>74</v>
      </c>
      <c r="B4" s="2" t="s">
        <v>75</v>
      </c>
      <c r="C4" s="2" t="s">
        <v>73</v>
      </c>
    </row>
    <row r="5" customFormat="false" ht="27.75" hidden="false" customHeight="true" outlineLevel="0" collapsed="false">
      <c r="A5" s="2" t="s">
        <v>76</v>
      </c>
      <c r="B5" s="2" t="s">
        <v>77</v>
      </c>
      <c r="C5" s="2" t="s">
        <v>53</v>
      </c>
    </row>
    <row r="6" customFormat="false" ht="27.75" hidden="false" customHeight="true" outlineLevel="0" collapsed="false">
      <c r="A6" s="2" t="s">
        <v>78</v>
      </c>
      <c r="B6" s="2" t="s">
        <v>79</v>
      </c>
      <c r="C6" s="2" t="s">
        <v>53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2026-10-27T16:35:23Z</dcterms:created>
  <dc:creator>openpyxl</dc:creator>
  <dc:description/>
  <dc:language>en-GB</dc:language>
  <cp:lastModifiedBy/>
  <dcterms:modified xsi:type="dcterms:W3CDTF">2026-10-27T16:35:23Z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